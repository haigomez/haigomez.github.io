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hidePivotFieldList="1"/>
  <mc:AlternateContent xmlns:mc="http://schemas.openxmlformats.org/markup-compatibility/2006">
    <mc:Choice Requires="x15">
      <x15ac:absPath xmlns:x15ac="http://schemas.microsoft.com/office/spreadsheetml/2010/11/ac" url="C:\Users\Hailey Gomez\Documents\"/>
    </mc:Choice>
  </mc:AlternateContent>
  <xr:revisionPtr revIDLastSave="0" documentId="8_{FD9FB0A9-F98B-4EBB-A84A-C0F879BBB548}" xr6:coauthVersionLast="47" xr6:coauthVersionMax="47" xr10:uidLastSave="{00000000-0000-0000-0000-000000000000}"/>
  <bookViews>
    <workbookView xWindow="-120" yWindow="-120" windowWidth="38640" windowHeight="15840" xr2:uid="{00000000-000D-0000-FFFF-FFFF00000000}"/>
  </bookViews>
  <sheets>
    <sheet name="Cover Sheet" sheetId="1" r:id="rId1"/>
    <sheet name="Additional Instructions" sheetId="2" r:id="rId2"/>
    <sheet name="Data" sheetId="3" r:id="rId3"/>
    <sheet name="Pivot Table" sheetId="4" r:id="rId4"/>
  </sheets>
  <calcPr calcId="191028"/>
  <pivotCaches>
    <pivotCache cacheId="0" r:id="rId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712" i="3" l="1"/>
  <c r="J1711" i="3"/>
  <c r="J1710" i="3"/>
  <c r="J1709" i="3"/>
  <c r="J1708" i="3"/>
  <c r="N22" i="3"/>
  <c r="N23" i="3"/>
  <c r="N24" i="3"/>
  <c r="N25" i="3"/>
  <c r="N26" i="3"/>
  <c r="N27" i="3"/>
  <c r="N28" i="3"/>
  <c r="N29" i="3"/>
  <c r="N30" i="3"/>
  <c r="N31" i="3"/>
  <c r="N32" i="3"/>
  <c r="N33" i="3"/>
  <c r="N34" i="3"/>
  <c r="N35" i="3"/>
  <c r="N36" i="3"/>
  <c r="N37" i="3"/>
  <c r="N38" i="3"/>
  <c r="N39" i="3"/>
  <c r="N40" i="3"/>
  <c r="N41" i="3"/>
  <c r="N42" i="3"/>
  <c r="N43" i="3"/>
  <c r="N44" i="3"/>
  <c r="N45" i="3"/>
  <c r="N46" i="3"/>
  <c r="N47" i="3"/>
  <c r="N48" i="3"/>
  <c r="N49" i="3"/>
  <c r="N50" i="3"/>
  <c r="N51" i="3"/>
  <c r="N52" i="3"/>
  <c r="N53" i="3"/>
  <c r="N54" i="3"/>
  <c r="N55" i="3"/>
  <c r="N56" i="3"/>
  <c r="N57" i="3"/>
  <c r="N58" i="3"/>
  <c r="N59" i="3"/>
  <c r="N60" i="3"/>
  <c r="N61" i="3"/>
  <c r="N62" i="3"/>
  <c r="N63" i="3"/>
  <c r="N64" i="3"/>
  <c r="N65" i="3"/>
  <c r="N66" i="3"/>
  <c r="N67" i="3"/>
  <c r="N68" i="3"/>
  <c r="N69" i="3"/>
  <c r="N70" i="3"/>
  <c r="N71" i="3"/>
  <c r="N72" i="3"/>
  <c r="N73" i="3"/>
  <c r="N74" i="3"/>
  <c r="N75" i="3"/>
  <c r="N76" i="3"/>
  <c r="N77" i="3"/>
  <c r="N78" i="3"/>
  <c r="N79" i="3"/>
  <c r="N80" i="3"/>
  <c r="N81" i="3"/>
  <c r="N82" i="3"/>
  <c r="N83" i="3"/>
  <c r="N84" i="3"/>
  <c r="N85" i="3"/>
  <c r="N86" i="3"/>
  <c r="N87" i="3"/>
  <c r="N88" i="3"/>
  <c r="N89" i="3"/>
  <c r="N90" i="3"/>
  <c r="N91" i="3"/>
  <c r="N92" i="3"/>
  <c r="N93" i="3"/>
  <c r="N94" i="3"/>
  <c r="N95" i="3"/>
  <c r="N96" i="3"/>
  <c r="N97" i="3"/>
  <c r="N98" i="3"/>
  <c r="N99" i="3"/>
  <c r="N100" i="3"/>
  <c r="N101" i="3"/>
  <c r="N102" i="3"/>
  <c r="N103" i="3"/>
  <c r="N104" i="3"/>
  <c r="N105" i="3"/>
  <c r="N106" i="3"/>
  <c r="N107" i="3"/>
  <c r="N108" i="3"/>
  <c r="N109" i="3"/>
  <c r="N110" i="3"/>
  <c r="N111" i="3"/>
  <c r="N112" i="3"/>
  <c r="N113" i="3"/>
  <c r="N114" i="3"/>
  <c r="N115" i="3"/>
  <c r="N116" i="3"/>
  <c r="N117" i="3"/>
  <c r="N118" i="3"/>
  <c r="N119" i="3"/>
  <c r="N120" i="3"/>
  <c r="N121" i="3"/>
  <c r="N122" i="3"/>
  <c r="N123" i="3"/>
  <c r="N124" i="3"/>
  <c r="N125" i="3"/>
  <c r="N126" i="3"/>
  <c r="N127" i="3"/>
  <c r="N128" i="3"/>
  <c r="N129" i="3"/>
  <c r="N130" i="3"/>
  <c r="N131" i="3"/>
  <c r="N132" i="3"/>
  <c r="N133" i="3"/>
  <c r="N134" i="3"/>
  <c r="N135" i="3"/>
  <c r="N136" i="3"/>
  <c r="N137" i="3"/>
  <c r="N138" i="3"/>
  <c r="N139" i="3"/>
  <c r="N140" i="3"/>
  <c r="N141" i="3"/>
  <c r="N142" i="3"/>
  <c r="N143" i="3"/>
  <c r="N144" i="3"/>
  <c r="N145" i="3"/>
  <c r="N146" i="3"/>
  <c r="N147" i="3"/>
  <c r="N148" i="3"/>
  <c r="N149" i="3"/>
  <c r="N150" i="3"/>
  <c r="N151" i="3"/>
  <c r="N152" i="3"/>
  <c r="N153" i="3"/>
  <c r="N154" i="3"/>
  <c r="N155" i="3"/>
  <c r="N156" i="3"/>
  <c r="N157" i="3"/>
  <c r="N158" i="3"/>
  <c r="N159" i="3"/>
  <c r="N160" i="3"/>
  <c r="N161" i="3"/>
  <c r="N162" i="3"/>
  <c r="N163" i="3"/>
  <c r="N164" i="3"/>
  <c r="N165" i="3"/>
  <c r="N166" i="3"/>
  <c r="N167" i="3"/>
  <c r="N168" i="3"/>
  <c r="N169" i="3"/>
  <c r="N170" i="3"/>
  <c r="N171" i="3"/>
  <c r="N172" i="3"/>
  <c r="N173" i="3"/>
  <c r="N174" i="3"/>
  <c r="N175" i="3"/>
  <c r="N176" i="3"/>
  <c r="N177" i="3"/>
  <c r="N178" i="3"/>
  <c r="N179" i="3"/>
  <c r="N180" i="3"/>
  <c r="N181" i="3"/>
  <c r="N182" i="3"/>
  <c r="N183" i="3"/>
  <c r="N184" i="3"/>
  <c r="N185" i="3"/>
  <c r="N186" i="3"/>
  <c r="N187" i="3"/>
  <c r="N188" i="3"/>
  <c r="N189" i="3"/>
  <c r="N190" i="3"/>
  <c r="N191" i="3"/>
  <c r="N192" i="3"/>
  <c r="N193" i="3"/>
  <c r="N194" i="3"/>
  <c r="N195" i="3"/>
  <c r="N196" i="3"/>
  <c r="N197" i="3"/>
  <c r="N198" i="3"/>
  <c r="N199" i="3"/>
  <c r="N200" i="3"/>
  <c r="N201" i="3"/>
  <c r="N202" i="3"/>
  <c r="N203" i="3"/>
  <c r="N204" i="3"/>
  <c r="N205" i="3"/>
  <c r="N206" i="3"/>
  <c r="N207" i="3"/>
  <c r="N208" i="3"/>
  <c r="N209" i="3"/>
  <c r="N210" i="3"/>
  <c r="N211" i="3"/>
  <c r="N212" i="3"/>
  <c r="N213" i="3"/>
  <c r="N214" i="3"/>
  <c r="N215" i="3"/>
  <c r="N216" i="3"/>
  <c r="N217" i="3"/>
  <c r="N218" i="3"/>
  <c r="N219" i="3"/>
  <c r="N220" i="3"/>
  <c r="N221" i="3"/>
  <c r="N222" i="3"/>
  <c r="N223" i="3"/>
  <c r="N224" i="3"/>
  <c r="N225" i="3"/>
  <c r="N226" i="3"/>
  <c r="N227" i="3"/>
  <c r="N228" i="3"/>
  <c r="N229" i="3"/>
  <c r="N230" i="3"/>
  <c r="N231" i="3"/>
  <c r="N232" i="3"/>
  <c r="N233" i="3"/>
  <c r="N234" i="3"/>
  <c r="N235" i="3"/>
  <c r="N236" i="3"/>
  <c r="N237" i="3"/>
  <c r="N238" i="3"/>
  <c r="N239" i="3"/>
  <c r="N240" i="3"/>
  <c r="N241" i="3"/>
  <c r="N242" i="3"/>
  <c r="N243" i="3"/>
  <c r="N244" i="3"/>
  <c r="N245" i="3"/>
  <c r="N246" i="3"/>
  <c r="N247" i="3"/>
  <c r="N248" i="3"/>
  <c r="N249" i="3"/>
  <c r="N250" i="3"/>
  <c r="N251" i="3"/>
  <c r="N252" i="3"/>
  <c r="N253" i="3"/>
  <c r="N254" i="3"/>
  <c r="N255" i="3"/>
  <c r="N256" i="3"/>
  <c r="N257" i="3"/>
  <c r="N258" i="3"/>
  <c r="N259" i="3"/>
  <c r="N260" i="3"/>
  <c r="N261" i="3"/>
  <c r="N262" i="3"/>
  <c r="N263" i="3"/>
  <c r="N264" i="3"/>
  <c r="N265" i="3"/>
  <c r="N266" i="3"/>
  <c r="N267" i="3"/>
  <c r="N268" i="3"/>
  <c r="N269" i="3"/>
  <c r="N270" i="3"/>
  <c r="N271" i="3"/>
  <c r="N272" i="3"/>
  <c r="N273" i="3"/>
  <c r="N274" i="3"/>
  <c r="N275" i="3"/>
  <c r="N276" i="3"/>
  <c r="N277" i="3"/>
  <c r="N278" i="3"/>
  <c r="N279" i="3"/>
  <c r="N280" i="3"/>
  <c r="N281" i="3"/>
  <c r="N282" i="3"/>
  <c r="N283" i="3"/>
  <c r="N284" i="3"/>
  <c r="N285" i="3"/>
  <c r="N286" i="3"/>
  <c r="N287" i="3"/>
  <c r="N288" i="3"/>
  <c r="N289" i="3"/>
  <c r="N290" i="3"/>
  <c r="N291" i="3"/>
  <c r="N292" i="3"/>
  <c r="N293" i="3"/>
  <c r="N294" i="3"/>
  <c r="N295" i="3"/>
  <c r="N296" i="3"/>
  <c r="N297" i="3"/>
  <c r="N298" i="3"/>
  <c r="N299" i="3"/>
  <c r="N300" i="3"/>
  <c r="N301" i="3"/>
  <c r="N302" i="3"/>
  <c r="N303" i="3"/>
  <c r="N304" i="3"/>
  <c r="N305" i="3"/>
  <c r="N306" i="3"/>
  <c r="N307" i="3"/>
  <c r="N308" i="3"/>
  <c r="N309" i="3"/>
  <c r="N310" i="3"/>
  <c r="N311" i="3"/>
  <c r="N312" i="3"/>
  <c r="N313" i="3"/>
  <c r="N314" i="3"/>
  <c r="N315" i="3"/>
  <c r="N316" i="3"/>
  <c r="N317" i="3"/>
  <c r="N318" i="3"/>
  <c r="N319" i="3"/>
  <c r="N320" i="3"/>
  <c r="N321" i="3"/>
  <c r="N322" i="3"/>
  <c r="N323" i="3"/>
  <c r="N324" i="3"/>
  <c r="N325" i="3"/>
  <c r="N326" i="3"/>
  <c r="N327" i="3"/>
  <c r="N328" i="3"/>
  <c r="N329" i="3"/>
  <c r="N330" i="3"/>
  <c r="N331" i="3"/>
  <c r="N332" i="3"/>
  <c r="N333" i="3"/>
  <c r="N334" i="3"/>
  <c r="N335" i="3"/>
  <c r="N336" i="3"/>
  <c r="N337" i="3"/>
  <c r="N338" i="3"/>
  <c r="N339" i="3"/>
  <c r="N340" i="3"/>
  <c r="N341" i="3"/>
  <c r="N342" i="3"/>
  <c r="N343" i="3"/>
  <c r="N344" i="3"/>
  <c r="N345" i="3"/>
  <c r="N346" i="3"/>
  <c r="N347" i="3"/>
  <c r="N348" i="3"/>
  <c r="N349" i="3"/>
  <c r="N350" i="3"/>
  <c r="N351" i="3"/>
  <c r="N352" i="3"/>
  <c r="N353" i="3"/>
  <c r="N354" i="3"/>
  <c r="N355" i="3"/>
  <c r="N356" i="3"/>
  <c r="N357" i="3"/>
  <c r="N358" i="3"/>
  <c r="N359" i="3"/>
  <c r="N360" i="3"/>
  <c r="N361" i="3"/>
  <c r="N362" i="3"/>
  <c r="N363" i="3"/>
  <c r="N364" i="3"/>
  <c r="N365" i="3"/>
  <c r="N366" i="3"/>
  <c r="N367" i="3"/>
  <c r="N368" i="3"/>
  <c r="N369" i="3"/>
  <c r="N370" i="3"/>
  <c r="N371" i="3"/>
  <c r="N372" i="3"/>
  <c r="N373" i="3"/>
  <c r="N374" i="3"/>
  <c r="N375" i="3"/>
  <c r="N376" i="3"/>
  <c r="N377" i="3"/>
  <c r="N378" i="3"/>
  <c r="N379" i="3"/>
  <c r="N380" i="3"/>
  <c r="N381" i="3"/>
  <c r="N382" i="3"/>
  <c r="N383" i="3"/>
  <c r="N384" i="3"/>
  <c r="N385" i="3"/>
  <c r="N386" i="3"/>
  <c r="N387" i="3"/>
  <c r="N388" i="3"/>
  <c r="N389" i="3"/>
  <c r="N390" i="3"/>
  <c r="N391" i="3"/>
  <c r="N392" i="3"/>
  <c r="N393" i="3"/>
  <c r="N394" i="3"/>
  <c r="N395" i="3"/>
  <c r="N396" i="3"/>
  <c r="N397" i="3"/>
  <c r="N398" i="3"/>
  <c r="N399" i="3"/>
  <c r="N400" i="3"/>
  <c r="N401" i="3"/>
  <c r="N402" i="3"/>
  <c r="N403" i="3"/>
  <c r="N404" i="3"/>
  <c r="N405" i="3"/>
  <c r="N406" i="3"/>
  <c r="N407" i="3"/>
  <c r="N408" i="3"/>
  <c r="N409" i="3"/>
  <c r="N410" i="3"/>
  <c r="N411" i="3"/>
  <c r="N412" i="3"/>
  <c r="N413" i="3"/>
  <c r="N414" i="3"/>
  <c r="N415" i="3"/>
  <c r="N416" i="3"/>
  <c r="N417" i="3"/>
  <c r="N418" i="3"/>
  <c r="N419" i="3"/>
  <c r="N420" i="3"/>
  <c r="N421" i="3"/>
  <c r="N422" i="3"/>
  <c r="N423" i="3"/>
  <c r="N424" i="3"/>
  <c r="N425" i="3"/>
  <c r="N426" i="3"/>
  <c r="N427" i="3"/>
  <c r="N428" i="3"/>
  <c r="N429" i="3"/>
  <c r="N430" i="3"/>
  <c r="N431" i="3"/>
  <c r="N432" i="3"/>
  <c r="N433" i="3"/>
  <c r="N434" i="3"/>
  <c r="N435" i="3"/>
  <c r="N436" i="3"/>
  <c r="N437" i="3"/>
  <c r="N438" i="3"/>
  <c r="N439" i="3"/>
  <c r="N440" i="3"/>
  <c r="N441" i="3"/>
  <c r="N442" i="3"/>
  <c r="N443" i="3"/>
  <c r="N444" i="3"/>
  <c r="N445" i="3"/>
  <c r="N446" i="3"/>
  <c r="N447" i="3"/>
  <c r="N448" i="3"/>
  <c r="N449" i="3"/>
  <c r="N450" i="3"/>
  <c r="N451" i="3"/>
  <c r="N452" i="3"/>
  <c r="N453" i="3"/>
  <c r="N454" i="3"/>
  <c r="N455" i="3"/>
  <c r="N456" i="3"/>
  <c r="N457" i="3"/>
  <c r="N458" i="3"/>
  <c r="N459" i="3"/>
  <c r="N460" i="3"/>
  <c r="N461" i="3"/>
  <c r="N462" i="3"/>
  <c r="N463" i="3"/>
  <c r="N464" i="3"/>
  <c r="N465" i="3"/>
  <c r="N466" i="3"/>
  <c r="N467" i="3"/>
  <c r="N468" i="3"/>
  <c r="N469" i="3"/>
  <c r="N470" i="3"/>
  <c r="N471" i="3"/>
  <c r="N472" i="3"/>
  <c r="N473" i="3"/>
  <c r="N474" i="3"/>
  <c r="N475" i="3"/>
  <c r="N476" i="3"/>
  <c r="N477" i="3"/>
  <c r="N478" i="3"/>
  <c r="N479" i="3"/>
  <c r="N480" i="3"/>
  <c r="N481" i="3"/>
  <c r="N482" i="3"/>
  <c r="N483" i="3"/>
  <c r="N484" i="3"/>
  <c r="N485" i="3"/>
  <c r="N486" i="3"/>
  <c r="N487" i="3"/>
  <c r="N488" i="3"/>
  <c r="N489" i="3"/>
  <c r="N490" i="3"/>
  <c r="N491" i="3"/>
  <c r="N492" i="3"/>
  <c r="N493" i="3"/>
  <c r="N494" i="3"/>
  <c r="N495" i="3"/>
  <c r="N496" i="3"/>
  <c r="N497" i="3"/>
  <c r="N498" i="3"/>
  <c r="N499" i="3"/>
  <c r="N500" i="3"/>
  <c r="N501" i="3"/>
  <c r="N502" i="3"/>
  <c r="N503" i="3"/>
  <c r="N504" i="3"/>
  <c r="N505" i="3"/>
  <c r="N506" i="3"/>
  <c r="N507" i="3"/>
  <c r="N508" i="3"/>
  <c r="N509" i="3"/>
  <c r="N510" i="3"/>
  <c r="N511" i="3"/>
  <c r="N512" i="3"/>
  <c r="N513" i="3"/>
  <c r="N514" i="3"/>
  <c r="N515" i="3"/>
  <c r="N516" i="3"/>
  <c r="N517" i="3"/>
  <c r="N518" i="3"/>
  <c r="N519" i="3"/>
  <c r="N520" i="3"/>
  <c r="N521" i="3"/>
  <c r="N522" i="3"/>
  <c r="N523" i="3"/>
  <c r="N524" i="3"/>
  <c r="N525" i="3"/>
  <c r="N526" i="3"/>
  <c r="N527" i="3"/>
  <c r="N528" i="3"/>
  <c r="N529" i="3"/>
  <c r="N530" i="3"/>
  <c r="N531" i="3"/>
  <c r="N532" i="3"/>
  <c r="N533" i="3"/>
  <c r="N534" i="3"/>
  <c r="N535" i="3"/>
  <c r="N536" i="3"/>
  <c r="N537" i="3"/>
  <c r="N538" i="3"/>
  <c r="N539" i="3"/>
  <c r="N540" i="3"/>
  <c r="N541" i="3"/>
  <c r="N542" i="3"/>
  <c r="N543" i="3"/>
  <c r="N544" i="3"/>
  <c r="N545" i="3"/>
  <c r="N546" i="3"/>
  <c r="N547" i="3"/>
  <c r="N548" i="3"/>
  <c r="N549" i="3"/>
  <c r="N550" i="3"/>
  <c r="N551" i="3"/>
  <c r="N552" i="3"/>
  <c r="N553" i="3"/>
  <c r="N554" i="3"/>
  <c r="N555" i="3"/>
  <c r="N556" i="3"/>
  <c r="N557" i="3"/>
  <c r="N558" i="3"/>
  <c r="N559" i="3"/>
  <c r="N560" i="3"/>
  <c r="N561" i="3"/>
  <c r="N562" i="3"/>
  <c r="N563" i="3"/>
  <c r="N564" i="3"/>
  <c r="N565" i="3"/>
  <c r="N566" i="3"/>
  <c r="N567" i="3"/>
  <c r="N568" i="3"/>
  <c r="N569" i="3"/>
  <c r="N570" i="3"/>
  <c r="N571" i="3"/>
  <c r="N572" i="3"/>
  <c r="N573" i="3"/>
  <c r="N574" i="3"/>
  <c r="N575" i="3"/>
  <c r="N576" i="3"/>
  <c r="N577" i="3"/>
  <c r="N578" i="3"/>
  <c r="N579" i="3"/>
  <c r="N580" i="3"/>
  <c r="N581" i="3"/>
  <c r="N582" i="3"/>
  <c r="N583" i="3"/>
  <c r="N584" i="3"/>
  <c r="N585" i="3"/>
  <c r="N586" i="3"/>
  <c r="N587" i="3"/>
  <c r="N588" i="3"/>
  <c r="N589" i="3"/>
  <c r="N590" i="3"/>
  <c r="N591" i="3"/>
  <c r="N592" i="3"/>
  <c r="N593" i="3"/>
  <c r="N594" i="3"/>
  <c r="N595" i="3"/>
  <c r="N596" i="3"/>
  <c r="N597" i="3"/>
  <c r="N598" i="3"/>
  <c r="N599" i="3"/>
  <c r="N600" i="3"/>
  <c r="N601" i="3"/>
  <c r="N602" i="3"/>
  <c r="N603" i="3"/>
  <c r="N604" i="3"/>
  <c r="N605" i="3"/>
  <c r="N606" i="3"/>
  <c r="N607" i="3"/>
  <c r="N608" i="3"/>
  <c r="N609" i="3"/>
  <c r="N610" i="3"/>
  <c r="N611" i="3"/>
  <c r="N612" i="3"/>
  <c r="N613" i="3"/>
  <c r="N614" i="3"/>
  <c r="N615" i="3"/>
  <c r="N616" i="3"/>
  <c r="N617" i="3"/>
  <c r="N618" i="3"/>
  <c r="N619" i="3"/>
  <c r="N620" i="3"/>
  <c r="N621" i="3"/>
  <c r="N622" i="3"/>
  <c r="N623" i="3"/>
  <c r="N624" i="3"/>
  <c r="N625" i="3"/>
  <c r="N626" i="3"/>
  <c r="N627" i="3"/>
  <c r="N628" i="3"/>
  <c r="N629" i="3"/>
  <c r="N630" i="3"/>
  <c r="N631" i="3"/>
  <c r="N632" i="3"/>
  <c r="N633" i="3"/>
  <c r="N634" i="3"/>
  <c r="N635" i="3"/>
  <c r="N636" i="3"/>
  <c r="N637" i="3"/>
  <c r="N638" i="3"/>
  <c r="N639" i="3"/>
  <c r="N640" i="3"/>
  <c r="N641" i="3"/>
  <c r="N642" i="3"/>
  <c r="N643" i="3"/>
  <c r="N644" i="3"/>
  <c r="N645" i="3"/>
  <c r="N646" i="3"/>
  <c r="N647" i="3"/>
  <c r="N648" i="3"/>
  <c r="N649" i="3"/>
  <c r="N650" i="3"/>
  <c r="N651" i="3"/>
  <c r="N652" i="3"/>
  <c r="N653" i="3"/>
  <c r="N654" i="3"/>
  <c r="N655" i="3"/>
  <c r="N656" i="3"/>
  <c r="N657" i="3"/>
  <c r="N658" i="3"/>
  <c r="N659" i="3"/>
  <c r="N660" i="3"/>
  <c r="N661" i="3"/>
  <c r="N662" i="3"/>
  <c r="N663" i="3"/>
  <c r="N664" i="3"/>
  <c r="N665" i="3"/>
  <c r="N666" i="3"/>
  <c r="N667" i="3"/>
  <c r="N668" i="3"/>
  <c r="N669" i="3"/>
  <c r="N670" i="3"/>
  <c r="N671" i="3"/>
  <c r="N672" i="3"/>
  <c r="N673" i="3"/>
  <c r="N674" i="3"/>
  <c r="N675" i="3"/>
  <c r="N676" i="3"/>
  <c r="N677" i="3"/>
  <c r="N678" i="3"/>
  <c r="N679" i="3"/>
  <c r="N680" i="3"/>
  <c r="N681" i="3"/>
  <c r="N682" i="3"/>
  <c r="N683" i="3"/>
  <c r="N684" i="3"/>
  <c r="N685" i="3"/>
  <c r="N686" i="3"/>
  <c r="N687" i="3"/>
  <c r="N688" i="3"/>
  <c r="N689" i="3"/>
  <c r="N690" i="3"/>
  <c r="N691" i="3"/>
  <c r="N692" i="3"/>
  <c r="N693" i="3"/>
  <c r="N694" i="3"/>
  <c r="N695" i="3"/>
  <c r="N696" i="3"/>
  <c r="N697" i="3"/>
  <c r="N698" i="3"/>
  <c r="N699" i="3"/>
  <c r="N700" i="3"/>
  <c r="N701" i="3"/>
  <c r="N702" i="3"/>
  <c r="N703" i="3"/>
  <c r="N704" i="3"/>
  <c r="N705" i="3"/>
  <c r="N706" i="3"/>
  <c r="N707" i="3"/>
  <c r="N708" i="3"/>
  <c r="N709" i="3"/>
  <c r="N710" i="3"/>
  <c r="N711" i="3"/>
  <c r="N712" i="3"/>
  <c r="N713" i="3"/>
  <c r="N714" i="3"/>
  <c r="N715" i="3"/>
  <c r="N716" i="3"/>
  <c r="N717" i="3"/>
  <c r="N718" i="3"/>
  <c r="N719" i="3"/>
  <c r="N720" i="3"/>
  <c r="N721" i="3"/>
  <c r="N722" i="3"/>
  <c r="N723" i="3"/>
  <c r="N724" i="3"/>
  <c r="N725" i="3"/>
  <c r="N726" i="3"/>
  <c r="N727" i="3"/>
  <c r="N728" i="3"/>
  <c r="N729" i="3"/>
  <c r="N730" i="3"/>
  <c r="N731" i="3"/>
  <c r="N732" i="3"/>
  <c r="N733" i="3"/>
  <c r="N734" i="3"/>
  <c r="N735" i="3"/>
  <c r="N736" i="3"/>
  <c r="N737" i="3"/>
  <c r="N738" i="3"/>
  <c r="N739" i="3"/>
  <c r="N740" i="3"/>
  <c r="N741" i="3"/>
  <c r="N742" i="3"/>
  <c r="N743" i="3"/>
  <c r="N744" i="3"/>
  <c r="N745" i="3"/>
  <c r="N746" i="3"/>
  <c r="N747" i="3"/>
  <c r="N748" i="3"/>
  <c r="N749" i="3"/>
  <c r="N750" i="3"/>
  <c r="N751" i="3"/>
  <c r="N752" i="3"/>
  <c r="N753" i="3"/>
  <c r="N754" i="3"/>
  <c r="N755" i="3"/>
  <c r="N756" i="3"/>
  <c r="N757" i="3"/>
  <c r="N758" i="3"/>
  <c r="N759" i="3"/>
  <c r="N760" i="3"/>
  <c r="N761" i="3"/>
  <c r="N762" i="3"/>
  <c r="N763" i="3"/>
  <c r="N764" i="3"/>
  <c r="N765" i="3"/>
  <c r="N766" i="3"/>
  <c r="N767" i="3"/>
  <c r="N768" i="3"/>
  <c r="N769" i="3"/>
  <c r="N770" i="3"/>
  <c r="N771" i="3"/>
  <c r="N772" i="3"/>
  <c r="N773" i="3"/>
  <c r="N774" i="3"/>
  <c r="N775" i="3"/>
  <c r="N776" i="3"/>
  <c r="N777" i="3"/>
  <c r="N778" i="3"/>
  <c r="N779" i="3"/>
  <c r="N780" i="3"/>
  <c r="N781" i="3"/>
  <c r="N782" i="3"/>
  <c r="N783" i="3"/>
  <c r="N784" i="3"/>
  <c r="N785" i="3"/>
  <c r="N786" i="3"/>
  <c r="N787" i="3"/>
  <c r="N788" i="3"/>
  <c r="N789" i="3"/>
  <c r="N790" i="3"/>
  <c r="N791" i="3"/>
  <c r="N792" i="3"/>
  <c r="N793" i="3"/>
  <c r="N794" i="3"/>
  <c r="N795" i="3"/>
  <c r="N796" i="3"/>
  <c r="N797" i="3"/>
  <c r="N798" i="3"/>
  <c r="N799" i="3"/>
  <c r="N800" i="3"/>
  <c r="N801" i="3"/>
  <c r="N802" i="3"/>
  <c r="N803" i="3"/>
  <c r="N804" i="3"/>
  <c r="N805" i="3"/>
  <c r="N806" i="3"/>
  <c r="N807" i="3"/>
  <c r="N808" i="3"/>
  <c r="N809" i="3"/>
  <c r="N810" i="3"/>
  <c r="N811" i="3"/>
  <c r="N812" i="3"/>
  <c r="N813" i="3"/>
  <c r="N814" i="3"/>
  <c r="N815" i="3"/>
  <c r="N816" i="3"/>
  <c r="N817" i="3"/>
  <c r="N818" i="3"/>
  <c r="N819" i="3"/>
  <c r="N820" i="3"/>
  <c r="N821" i="3"/>
  <c r="N822" i="3"/>
  <c r="N823" i="3"/>
  <c r="N824" i="3"/>
  <c r="N825" i="3"/>
  <c r="N826" i="3"/>
  <c r="N827" i="3"/>
  <c r="N828" i="3"/>
  <c r="N829" i="3"/>
  <c r="N830" i="3"/>
  <c r="N831" i="3"/>
  <c r="N832" i="3"/>
  <c r="N833" i="3"/>
  <c r="N834" i="3"/>
  <c r="N835" i="3"/>
  <c r="N836" i="3"/>
  <c r="N837" i="3"/>
  <c r="N838" i="3"/>
  <c r="N839" i="3"/>
  <c r="N840" i="3"/>
  <c r="N841" i="3"/>
  <c r="N842" i="3"/>
  <c r="N843" i="3"/>
  <c r="N844" i="3"/>
  <c r="N845" i="3"/>
  <c r="N846" i="3"/>
  <c r="N847" i="3"/>
  <c r="N848" i="3"/>
  <c r="N849" i="3"/>
  <c r="N850" i="3"/>
  <c r="N851" i="3"/>
  <c r="N852" i="3"/>
  <c r="N853" i="3"/>
  <c r="N854" i="3"/>
  <c r="N855" i="3"/>
  <c r="N856" i="3"/>
  <c r="N857" i="3"/>
  <c r="N858" i="3"/>
  <c r="N859" i="3"/>
  <c r="N860" i="3"/>
  <c r="N861" i="3"/>
  <c r="N862" i="3"/>
  <c r="N863" i="3"/>
  <c r="N864" i="3"/>
  <c r="N865" i="3"/>
  <c r="N866" i="3"/>
  <c r="N867" i="3"/>
  <c r="N868" i="3"/>
  <c r="N869" i="3"/>
  <c r="N870" i="3"/>
  <c r="N871" i="3"/>
  <c r="N872" i="3"/>
  <c r="N873" i="3"/>
  <c r="N874" i="3"/>
  <c r="N875" i="3"/>
  <c r="N876" i="3"/>
  <c r="N877" i="3"/>
  <c r="N878" i="3"/>
  <c r="N879" i="3"/>
  <c r="N880" i="3"/>
  <c r="N881" i="3"/>
  <c r="N882" i="3"/>
  <c r="N883" i="3"/>
  <c r="N884" i="3"/>
  <c r="N885" i="3"/>
  <c r="N886" i="3"/>
  <c r="N887" i="3"/>
  <c r="N888" i="3"/>
  <c r="N889" i="3"/>
  <c r="N890" i="3"/>
  <c r="N891" i="3"/>
  <c r="N892" i="3"/>
  <c r="N893" i="3"/>
  <c r="N894" i="3"/>
  <c r="N895" i="3"/>
  <c r="N896" i="3"/>
  <c r="N897" i="3"/>
  <c r="N898" i="3"/>
  <c r="N899" i="3"/>
  <c r="N900" i="3"/>
  <c r="N901" i="3"/>
  <c r="N902" i="3"/>
  <c r="N903" i="3"/>
  <c r="N904" i="3"/>
  <c r="N905" i="3"/>
  <c r="N906" i="3"/>
  <c r="N907" i="3"/>
  <c r="N908" i="3"/>
  <c r="N909" i="3"/>
  <c r="N910" i="3"/>
  <c r="N911" i="3"/>
  <c r="N912" i="3"/>
  <c r="N913" i="3"/>
  <c r="N914" i="3"/>
  <c r="N915" i="3"/>
  <c r="N916" i="3"/>
  <c r="N917" i="3"/>
  <c r="N918" i="3"/>
  <c r="N919" i="3"/>
  <c r="N920" i="3"/>
  <c r="N921" i="3"/>
  <c r="N922" i="3"/>
  <c r="N923" i="3"/>
  <c r="N924" i="3"/>
  <c r="N925" i="3"/>
  <c r="N926" i="3"/>
  <c r="N927" i="3"/>
  <c r="N928" i="3"/>
  <c r="N929" i="3"/>
  <c r="N930" i="3"/>
  <c r="N931" i="3"/>
  <c r="N932" i="3"/>
  <c r="N933" i="3"/>
  <c r="N934" i="3"/>
  <c r="N935" i="3"/>
  <c r="N936" i="3"/>
  <c r="N937" i="3"/>
  <c r="N938" i="3"/>
  <c r="N939" i="3"/>
  <c r="N940" i="3"/>
  <c r="N941" i="3"/>
  <c r="N942" i="3"/>
  <c r="N943" i="3"/>
  <c r="N944" i="3"/>
  <c r="N945" i="3"/>
  <c r="N946" i="3"/>
  <c r="N947" i="3"/>
  <c r="N948" i="3"/>
  <c r="N949" i="3"/>
  <c r="N950" i="3"/>
  <c r="N951" i="3"/>
  <c r="N952" i="3"/>
  <c r="N953" i="3"/>
  <c r="N954" i="3"/>
  <c r="N955" i="3"/>
  <c r="N956" i="3"/>
  <c r="N957" i="3"/>
  <c r="N958" i="3"/>
  <c r="N959" i="3"/>
  <c r="N960" i="3"/>
  <c r="N961" i="3"/>
  <c r="N962" i="3"/>
  <c r="N963" i="3"/>
  <c r="N964" i="3"/>
  <c r="N965" i="3"/>
  <c r="N966" i="3"/>
  <c r="N967" i="3"/>
  <c r="N968" i="3"/>
  <c r="N969" i="3"/>
  <c r="N970" i="3"/>
  <c r="N971" i="3"/>
  <c r="N972" i="3"/>
  <c r="N973" i="3"/>
  <c r="N974" i="3"/>
  <c r="N975" i="3"/>
  <c r="N976" i="3"/>
  <c r="N977" i="3"/>
  <c r="N978" i="3"/>
  <c r="N979" i="3"/>
  <c r="N980" i="3"/>
  <c r="N981" i="3"/>
  <c r="N982" i="3"/>
  <c r="N983" i="3"/>
  <c r="N984" i="3"/>
  <c r="N985" i="3"/>
  <c r="N986" i="3"/>
  <c r="N987" i="3"/>
  <c r="N988" i="3"/>
  <c r="N989" i="3"/>
  <c r="N990" i="3"/>
  <c r="N991" i="3"/>
  <c r="N992" i="3"/>
  <c r="N993" i="3"/>
  <c r="N994" i="3"/>
  <c r="N995" i="3"/>
  <c r="N996" i="3"/>
  <c r="N997" i="3"/>
  <c r="N998" i="3"/>
  <c r="N999" i="3"/>
  <c r="N1000" i="3"/>
  <c r="N1001" i="3"/>
  <c r="N1002" i="3"/>
  <c r="N1003" i="3"/>
  <c r="N1004" i="3"/>
  <c r="N1005" i="3"/>
  <c r="N1006" i="3"/>
  <c r="N1007" i="3"/>
  <c r="N1008" i="3"/>
  <c r="N1009" i="3"/>
  <c r="N1010" i="3"/>
  <c r="N1011" i="3"/>
  <c r="N1012" i="3"/>
  <c r="N1013" i="3"/>
  <c r="N1014" i="3"/>
  <c r="N1015" i="3"/>
  <c r="N1016" i="3"/>
  <c r="N1017" i="3"/>
  <c r="N1018" i="3"/>
  <c r="N1019" i="3"/>
  <c r="N1020" i="3"/>
  <c r="N1021" i="3"/>
  <c r="N1022" i="3"/>
  <c r="N1023" i="3"/>
  <c r="N1024" i="3"/>
  <c r="N1025" i="3"/>
  <c r="N1026" i="3"/>
  <c r="N1027" i="3"/>
  <c r="N1028" i="3"/>
  <c r="N1029" i="3"/>
  <c r="N1030" i="3"/>
  <c r="N1031" i="3"/>
  <c r="N1032" i="3"/>
  <c r="N1033" i="3"/>
  <c r="N1034" i="3"/>
  <c r="N1035" i="3"/>
  <c r="N1036" i="3"/>
  <c r="N1037" i="3"/>
  <c r="N1038" i="3"/>
  <c r="N1039" i="3"/>
  <c r="N1040" i="3"/>
  <c r="N1041" i="3"/>
  <c r="N1042" i="3"/>
  <c r="N1043" i="3"/>
  <c r="N1044" i="3"/>
  <c r="N1045" i="3"/>
  <c r="N1046" i="3"/>
  <c r="N1047" i="3"/>
  <c r="N1048" i="3"/>
  <c r="N1049" i="3"/>
  <c r="N1050" i="3"/>
  <c r="N1051" i="3"/>
  <c r="N1052" i="3"/>
  <c r="N1053" i="3"/>
  <c r="N1054" i="3"/>
  <c r="N1055" i="3"/>
  <c r="N1056" i="3"/>
  <c r="N1057" i="3"/>
  <c r="N1058" i="3"/>
  <c r="N1059" i="3"/>
  <c r="N1060" i="3"/>
  <c r="N1061" i="3"/>
  <c r="N1062" i="3"/>
  <c r="N1063" i="3"/>
  <c r="N1064" i="3"/>
  <c r="N1065" i="3"/>
  <c r="N1066" i="3"/>
  <c r="N1067" i="3"/>
  <c r="N1068" i="3"/>
  <c r="N1069" i="3"/>
  <c r="N1070" i="3"/>
  <c r="N1071" i="3"/>
  <c r="N1072" i="3"/>
  <c r="N1073" i="3"/>
  <c r="N1074" i="3"/>
  <c r="N1075" i="3"/>
  <c r="N1076" i="3"/>
  <c r="N1077" i="3"/>
  <c r="N1078" i="3"/>
  <c r="N1079" i="3"/>
  <c r="N1080" i="3"/>
  <c r="N1081" i="3"/>
  <c r="N1082" i="3"/>
  <c r="N1083" i="3"/>
  <c r="N1084" i="3"/>
  <c r="N1085" i="3"/>
  <c r="N1086" i="3"/>
  <c r="N1087" i="3"/>
  <c r="N1088" i="3"/>
  <c r="N1089" i="3"/>
  <c r="N1090" i="3"/>
  <c r="N1091" i="3"/>
  <c r="N1092" i="3"/>
  <c r="N1093" i="3"/>
  <c r="N1094" i="3"/>
  <c r="N1095" i="3"/>
  <c r="N1096" i="3"/>
  <c r="N1097" i="3"/>
  <c r="N1098" i="3"/>
  <c r="N1099" i="3"/>
  <c r="N1100" i="3"/>
  <c r="N1101" i="3"/>
  <c r="N1102" i="3"/>
  <c r="N1103" i="3"/>
  <c r="N1104" i="3"/>
  <c r="N1105" i="3"/>
  <c r="N1106" i="3"/>
  <c r="N1107" i="3"/>
  <c r="N1108" i="3"/>
  <c r="N1109" i="3"/>
  <c r="N1110" i="3"/>
  <c r="N1111" i="3"/>
  <c r="N1112" i="3"/>
  <c r="N1113" i="3"/>
  <c r="N1114" i="3"/>
  <c r="N1115" i="3"/>
  <c r="N1116" i="3"/>
  <c r="N1117" i="3"/>
  <c r="N1118" i="3"/>
  <c r="N1119" i="3"/>
  <c r="N1120" i="3"/>
  <c r="N1121" i="3"/>
  <c r="N1122" i="3"/>
  <c r="N1123" i="3"/>
  <c r="N1124" i="3"/>
  <c r="N1125" i="3"/>
  <c r="N1126" i="3"/>
  <c r="N1127" i="3"/>
  <c r="N1128" i="3"/>
  <c r="N1129" i="3"/>
  <c r="N1130" i="3"/>
  <c r="N1131" i="3"/>
  <c r="N1132" i="3"/>
  <c r="N1133" i="3"/>
  <c r="N1134" i="3"/>
  <c r="N1135" i="3"/>
  <c r="N1136" i="3"/>
  <c r="N1137" i="3"/>
  <c r="N1138" i="3"/>
  <c r="N1139" i="3"/>
  <c r="N1140" i="3"/>
  <c r="N1141" i="3"/>
  <c r="N1142" i="3"/>
  <c r="N1143" i="3"/>
  <c r="N1144" i="3"/>
  <c r="N1145" i="3"/>
  <c r="N1146" i="3"/>
  <c r="N1147" i="3"/>
  <c r="N1148" i="3"/>
  <c r="N1149" i="3"/>
  <c r="N1150" i="3"/>
  <c r="N1151" i="3"/>
  <c r="N1152" i="3"/>
  <c r="N1153" i="3"/>
  <c r="N1154" i="3"/>
  <c r="N1155" i="3"/>
  <c r="N1156" i="3"/>
  <c r="N1157" i="3"/>
  <c r="N1158" i="3"/>
  <c r="N1159" i="3"/>
  <c r="N1160" i="3"/>
  <c r="N1161" i="3"/>
  <c r="N1162" i="3"/>
  <c r="N1163" i="3"/>
  <c r="N1164" i="3"/>
  <c r="N1165" i="3"/>
  <c r="N1166" i="3"/>
  <c r="N1167" i="3"/>
  <c r="N1168" i="3"/>
  <c r="N1169" i="3"/>
  <c r="N1170" i="3"/>
  <c r="N1171" i="3"/>
  <c r="N1172" i="3"/>
  <c r="N1173" i="3"/>
  <c r="N1174" i="3"/>
  <c r="N1175" i="3"/>
  <c r="N1176" i="3"/>
  <c r="N1177" i="3"/>
  <c r="N1178" i="3"/>
  <c r="N1179" i="3"/>
  <c r="N1180" i="3"/>
  <c r="N1181" i="3"/>
  <c r="N1182" i="3"/>
  <c r="N1183" i="3"/>
  <c r="N1184" i="3"/>
  <c r="N1185" i="3"/>
  <c r="N1186" i="3"/>
  <c r="N1187" i="3"/>
  <c r="N1188" i="3"/>
  <c r="N1189" i="3"/>
  <c r="N1190" i="3"/>
  <c r="N1191" i="3"/>
  <c r="N1192" i="3"/>
  <c r="N1193" i="3"/>
  <c r="N1194" i="3"/>
  <c r="N1195" i="3"/>
  <c r="N1196" i="3"/>
  <c r="N1197" i="3"/>
  <c r="N1198" i="3"/>
  <c r="N1199" i="3"/>
  <c r="N1200" i="3"/>
  <c r="N1201" i="3"/>
  <c r="N1202" i="3"/>
  <c r="N1203" i="3"/>
  <c r="N1204" i="3"/>
  <c r="N1205" i="3"/>
  <c r="N1206" i="3"/>
  <c r="N1207" i="3"/>
  <c r="N1208" i="3"/>
  <c r="N1209" i="3"/>
  <c r="N1210" i="3"/>
  <c r="N1211" i="3"/>
  <c r="N1212" i="3"/>
  <c r="N1213" i="3"/>
  <c r="N1214" i="3"/>
  <c r="N1215" i="3"/>
  <c r="N1216" i="3"/>
  <c r="N1217" i="3"/>
  <c r="N1218" i="3"/>
  <c r="N1219" i="3"/>
  <c r="N1220" i="3"/>
  <c r="N1221" i="3"/>
  <c r="N1222" i="3"/>
  <c r="N1223" i="3"/>
  <c r="N1224" i="3"/>
  <c r="N1225" i="3"/>
  <c r="N1226" i="3"/>
  <c r="N1227" i="3"/>
  <c r="N1228" i="3"/>
  <c r="N1229" i="3"/>
  <c r="N1230" i="3"/>
  <c r="N1231" i="3"/>
  <c r="N1232" i="3"/>
  <c r="N1233" i="3"/>
  <c r="N1234" i="3"/>
  <c r="N1235" i="3"/>
  <c r="N1236" i="3"/>
  <c r="N1237" i="3"/>
  <c r="N1238" i="3"/>
  <c r="N1239" i="3"/>
  <c r="N1240" i="3"/>
  <c r="N1241" i="3"/>
  <c r="N1242" i="3"/>
  <c r="N1243" i="3"/>
  <c r="N1244" i="3"/>
  <c r="N1245" i="3"/>
  <c r="N1246" i="3"/>
  <c r="N1247" i="3"/>
  <c r="N1248" i="3"/>
  <c r="N1249" i="3"/>
  <c r="N1250" i="3"/>
  <c r="N1251" i="3"/>
  <c r="N1252" i="3"/>
  <c r="N1253" i="3"/>
  <c r="N1254" i="3"/>
  <c r="N1255" i="3"/>
  <c r="N1256" i="3"/>
  <c r="N1257" i="3"/>
  <c r="N1258" i="3"/>
  <c r="N1259" i="3"/>
  <c r="N1260" i="3"/>
  <c r="N1261" i="3"/>
  <c r="N1262" i="3"/>
  <c r="N1263" i="3"/>
  <c r="N1264" i="3"/>
  <c r="N1265" i="3"/>
  <c r="N1266" i="3"/>
  <c r="N1267" i="3"/>
  <c r="N1268" i="3"/>
  <c r="N1269" i="3"/>
  <c r="N1270" i="3"/>
  <c r="N1271" i="3"/>
  <c r="N1272" i="3"/>
  <c r="N1273" i="3"/>
  <c r="N1274" i="3"/>
  <c r="N1275" i="3"/>
  <c r="N1276" i="3"/>
  <c r="N1277" i="3"/>
  <c r="N1278" i="3"/>
  <c r="N1279" i="3"/>
  <c r="N1280" i="3"/>
  <c r="N1281" i="3"/>
  <c r="N1282" i="3"/>
  <c r="N1283" i="3"/>
  <c r="N1284" i="3"/>
  <c r="N1285" i="3"/>
  <c r="N1286" i="3"/>
  <c r="N1287" i="3"/>
  <c r="N1288" i="3"/>
  <c r="N1289" i="3"/>
  <c r="N1290" i="3"/>
  <c r="N1291" i="3"/>
  <c r="N1292" i="3"/>
  <c r="N1293" i="3"/>
  <c r="N1294" i="3"/>
  <c r="N1295" i="3"/>
  <c r="N1296" i="3"/>
  <c r="N1297" i="3"/>
  <c r="N1298" i="3"/>
  <c r="N1299" i="3"/>
  <c r="N1300" i="3"/>
  <c r="N1301" i="3"/>
  <c r="N1302" i="3"/>
  <c r="N1303" i="3"/>
  <c r="N1304" i="3"/>
  <c r="N1305" i="3"/>
  <c r="N1306" i="3"/>
  <c r="N1307" i="3"/>
  <c r="N1308" i="3"/>
  <c r="N1309" i="3"/>
  <c r="N1310" i="3"/>
  <c r="N1311" i="3"/>
  <c r="N1312" i="3"/>
  <c r="N1313" i="3"/>
  <c r="N1314" i="3"/>
  <c r="N1315" i="3"/>
  <c r="N1316" i="3"/>
  <c r="N1317" i="3"/>
  <c r="N1318" i="3"/>
  <c r="N1319" i="3"/>
  <c r="N1320" i="3"/>
  <c r="N1321" i="3"/>
  <c r="N1322" i="3"/>
  <c r="N1323" i="3"/>
  <c r="N1324" i="3"/>
  <c r="N1325" i="3"/>
  <c r="N1326" i="3"/>
  <c r="N1327" i="3"/>
  <c r="N1328" i="3"/>
  <c r="N1329" i="3"/>
  <c r="N1330" i="3"/>
  <c r="N1331" i="3"/>
  <c r="N1332" i="3"/>
  <c r="N1333" i="3"/>
  <c r="N1334" i="3"/>
  <c r="N1335" i="3"/>
  <c r="N1336" i="3"/>
  <c r="N1337" i="3"/>
  <c r="N1338" i="3"/>
  <c r="N1339" i="3"/>
  <c r="N1340" i="3"/>
  <c r="N1341" i="3"/>
  <c r="N1342" i="3"/>
  <c r="N1343" i="3"/>
  <c r="N1344" i="3"/>
  <c r="N1345" i="3"/>
  <c r="N1346" i="3"/>
  <c r="N1347" i="3"/>
  <c r="N1348" i="3"/>
  <c r="N1349" i="3"/>
  <c r="N1350" i="3"/>
  <c r="N1351" i="3"/>
  <c r="N1352" i="3"/>
  <c r="N1353" i="3"/>
  <c r="N1354" i="3"/>
  <c r="N1355" i="3"/>
  <c r="N1356" i="3"/>
  <c r="N1357" i="3"/>
  <c r="N1358" i="3"/>
  <c r="N1359" i="3"/>
  <c r="N1360" i="3"/>
  <c r="N1361" i="3"/>
  <c r="N1362" i="3"/>
  <c r="N1363" i="3"/>
  <c r="N1364" i="3"/>
  <c r="N1365" i="3"/>
  <c r="N1366" i="3"/>
  <c r="N1367" i="3"/>
  <c r="N1368" i="3"/>
  <c r="N1369" i="3"/>
  <c r="N1370" i="3"/>
  <c r="N1371" i="3"/>
  <c r="N1372" i="3"/>
  <c r="N1373" i="3"/>
  <c r="N1374" i="3"/>
  <c r="N1375" i="3"/>
  <c r="N1376" i="3"/>
  <c r="N1377" i="3"/>
  <c r="N1378" i="3"/>
  <c r="N1379" i="3"/>
  <c r="N1380" i="3"/>
  <c r="N1381" i="3"/>
  <c r="N1382" i="3"/>
  <c r="N1383" i="3"/>
  <c r="N1384" i="3"/>
  <c r="N1385" i="3"/>
  <c r="N1386" i="3"/>
  <c r="N1387" i="3"/>
  <c r="N1388" i="3"/>
  <c r="N1389" i="3"/>
  <c r="N1390" i="3"/>
  <c r="N1391" i="3"/>
  <c r="N1392" i="3"/>
  <c r="N1393" i="3"/>
  <c r="N1394" i="3"/>
  <c r="N1395" i="3"/>
  <c r="N1396" i="3"/>
  <c r="N1397" i="3"/>
  <c r="N1398" i="3"/>
  <c r="N1399" i="3"/>
  <c r="N1400" i="3"/>
  <c r="N1401" i="3"/>
  <c r="N1402" i="3"/>
  <c r="N1403" i="3"/>
  <c r="N1404" i="3"/>
  <c r="N1405" i="3"/>
  <c r="N1406" i="3"/>
  <c r="N1407" i="3"/>
  <c r="N1408" i="3"/>
  <c r="N1409" i="3"/>
  <c r="N1410" i="3"/>
  <c r="N1411" i="3"/>
  <c r="N1412" i="3"/>
  <c r="N1413" i="3"/>
  <c r="N1414" i="3"/>
  <c r="N1415" i="3"/>
  <c r="N1416" i="3"/>
  <c r="N1417" i="3"/>
  <c r="N1418" i="3"/>
  <c r="N1419" i="3"/>
  <c r="N1420" i="3"/>
  <c r="N1421" i="3"/>
  <c r="N1422" i="3"/>
  <c r="N1423" i="3"/>
  <c r="N1424" i="3"/>
  <c r="N1425" i="3"/>
  <c r="N1426" i="3"/>
  <c r="N1427" i="3"/>
  <c r="N1428" i="3"/>
  <c r="N1429" i="3"/>
  <c r="N1430" i="3"/>
  <c r="N1431" i="3"/>
  <c r="N1432" i="3"/>
  <c r="N1433" i="3"/>
  <c r="N1434" i="3"/>
  <c r="N1435" i="3"/>
  <c r="N1436" i="3"/>
  <c r="N1437" i="3"/>
  <c r="N1438" i="3"/>
  <c r="N1439" i="3"/>
  <c r="N1440" i="3"/>
  <c r="N1441" i="3"/>
  <c r="N1442" i="3"/>
  <c r="N1443" i="3"/>
  <c r="N1444" i="3"/>
  <c r="N1445" i="3"/>
  <c r="N1446" i="3"/>
  <c r="N1447" i="3"/>
  <c r="N1448" i="3"/>
  <c r="N1449" i="3"/>
  <c r="N1450" i="3"/>
  <c r="N1451" i="3"/>
  <c r="N1452" i="3"/>
  <c r="N1453" i="3"/>
  <c r="N1454" i="3"/>
  <c r="N1455" i="3"/>
  <c r="N1456" i="3"/>
  <c r="N1457" i="3"/>
  <c r="N1458" i="3"/>
  <c r="N1459" i="3"/>
  <c r="N1460" i="3"/>
  <c r="N1461" i="3"/>
  <c r="N1462" i="3"/>
  <c r="N1463" i="3"/>
  <c r="N1464" i="3"/>
  <c r="N1465" i="3"/>
  <c r="N1466" i="3"/>
  <c r="N1467" i="3"/>
  <c r="N1468" i="3"/>
  <c r="N1469" i="3"/>
  <c r="N1470" i="3"/>
  <c r="N1471" i="3"/>
  <c r="N1472" i="3"/>
  <c r="N1473" i="3"/>
  <c r="N1474" i="3"/>
  <c r="N1475" i="3"/>
  <c r="N1476" i="3"/>
  <c r="N1477" i="3"/>
  <c r="N1478" i="3"/>
  <c r="N1479" i="3"/>
  <c r="N1480" i="3"/>
  <c r="N1481" i="3"/>
  <c r="N1482" i="3"/>
  <c r="N1483" i="3"/>
  <c r="N1484" i="3"/>
  <c r="N1485" i="3"/>
  <c r="N1486" i="3"/>
  <c r="N1487" i="3"/>
  <c r="N1488" i="3"/>
  <c r="N1489" i="3"/>
  <c r="N1490" i="3"/>
  <c r="N1491" i="3"/>
  <c r="N1492" i="3"/>
  <c r="N1493" i="3"/>
  <c r="N1494" i="3"/>
  <c r="N1495" i="3"/>
  <c r="N1496" i="3"/>
  <c r="N1497" i="3"/>
  <c r="N1498" i="3"/>
  <c r="N1499" i="3"/>
  <c r="N1500" i="3"/>
  <c r="N1501" i="3"/>
  <c r="N1502" i="3"/>
  <c r="N1503" i="3"/>
  <c r="N1504" i="3"/>
  <c r="N1505" i="3"/>
  <c r="N1506" i="3"/>
  <c r="N1507" i="3"/>
  <c r="N1508" i="3"/>
  <c r="N1509" i="3"/>
  <c r="N1510" i="3"/>
  <c r="N1511" i="3"/>
  <c r="N1512" i="3"/>
  <c r="N1513" i="3"/>
  <c r="N1514" i="3"/>
  <c r="N1515" i="3"/>
  <c r="N1516" i="3"/>
  <c r="N1517" i="3"/>
  <c r="N1518" i="3"/>
  <c r="N1519" i="3"/>
  <c r="N1520" i="3"/>
  <c r="N1521" i="3"/>
  <c r="N1522" i="3"/>
  <c r="N1523" i="3"/>
  <c r="N1524" i="3"/>
  <c r="N1525" i="3"/>
  <c r="N1526" i="3"/>
  <c r="N1527" i="3"/>
  <c r="N1528" i="3"/>
  <c r="N1529" i="3"/>
  <c r="N1530" i="3"/>
  <c r="N1531" i="3"/>
  <c r="N1532" i="3"/>
  <c r="N1533" i="3"/>
  <c r="N1534" i="3"/>
  <c r="N1535" i="3"/>
  <c r="N1536" i="3"/>
  <c r="N1537" i="3"/>
  <c r="N1538" i="3"/>
  <c r="N1539" i="3"/>
  <c r="N1540" i="3"/>
  <c r="N1541" i="3"/>
  <c r="N1542" i="3"/>
  <c r="N1543" i="3"/>
  <c r="N1544" i="3"/>
  <c r="N1545" i="3"/>
  <c r="N1546" i="3"/>
  <c r="N1547" i="3"/>
  <c r="N1548" i="3"/>
  <c r="N1549" i="3"/>
  <c r="N1550" i="3"/>
  <c r="N1551" i="3"/>
  <c r="N1552" i="3"/>
  <c r="N1553" i="3"/>
  <c r="N1554" i="3"/>
  <c r="N1555" i="3"/>
  <c r="N1556" i="3"/>
  <c r="N1557" i="3"/>
  <c r="N1558" i="3"/>
  <c r="N1559" i="3"/>
  <c r="N1560" i="3"/>
  <c r="N1561" i="3"/>
  <c r="N1562" i="3"/>
  <c r="N1563" i="3"/>
  <c r="N1564" i="3"/>
  <c r="N1565" i="3"/>
  <c r="N1566" i="3"/>
  <c r="N1567" i="3"/>
  <c r="N1568" i="3"/>
  <c r="N1569" i="3"/>
  <c r="N1570" i="3"/>
  <c r="N1571" i="3"/>
  <c r="N1572" i="3"/>
  <c r="N1573" i="3"/>
  <c r="N1574" i="3"/>
  <c r="N1575" i="3"/>
  <c r="N1576" i="3"/>
  <c r="N1577" i="3"/>
  <c r="N1578" i="3"/>
  <c r="N1579" i="3"/>
  <c r="N1580" i="3"/>
  <c r="N1581" i="3"/>
  <c r="N1582" i="3"/>
  <c r="N1583" i="3"/>
  <c r="N1584" i="3"/>
  <c r="N1585" i="3"/>
  <c r="N1586" i="3"/>
  <c r="N1587" i="3"/>
  <c r="N1588" i="3"/>
  <c r="N1589" i="3"/>
  <c r="N1590" i="3"/>
  <c r="N1591" i="3"/>
  <c r="N1592" i="3"/>
  <c r="N1593" i="3"/>
  <c r="N1594" i="3"/>
  <c r="N1595" i="3"/>
  <c r="N1596" i="3"/>
  <c r="N1597" i="3"/>
  <c r="N1598" i="3"/>
  <c r="N1599" i="3"/>
  <c r="N1600" i="3"/>
  <c r="N1601" i="3"/>
  <c r="N1602" i="3"/>
  <c r="N1603" i="3"/>
  <c r="N1604" i="3"/>
  <c r="N1605" i="3"/>
  <c r="N1606" i="3"/>
  <c r="N1607" i="3"/>
  <c r="N1608" i="3"/>
  <c r="N1609" i="3"/>
  <c r="N1610" i="3"/>
  <c r="N1611" i="3"/>
  <c r="N1612" i="3"/>
  <c r="N1613" i="3"/>
  <c r="N1614" i="3"/>
  <c r="N1615" i="3"/>
  <c r="N1616" i="3"/>
  <c r="N1617" i="3"/>
  <c r="N1618" i="3"/>
  <c r="N1619" i="3"/>
  <c r="N1620" i="3"/>
  <c r="N1621" i="3"/>
  <c r="N1622" i="3"/>
  <c r="N1623" i="3"/>
  <c r="N1624" i="3"/>
  <c r="N1625" i="3"/>
  <c r="N1626" i="3"/>
  <c r="N1627" i="3"/>
  <c r="N1628" i="3"/>
  <c r="N1629" i="3"/>
  <c r="N1630" i="3"/>
  <c r="N1631" i="3"/>
  <c r="N1632" i="3"/>
  <c r="N1633" i="3"/>
  <c r="N1634" i="3"/>
  <c r="N1635" i="3"/>
  <c r="N1636" i="3"/>
  <c r="N1637" i="3"/>
  <c r="N1638" i="3"/>
  <c r="N1639" i="3"/>
  <c r="N1640" i="3"/>
  <c r="N1641" i="3"/>
  <c r="N1642" i="3"/>
  <c r="N1643" i="3"/>
  <c r="N1644" i="3"/>
  <c r="N1645" i="3"/>
  <c r="N1646" i="3"/>
  <c r="N1647" i="3"/>
  <c r="N1648" i="3"/>
  <c r="N1649" i="3"/>
  <c r="N1650" i="3"/>
  <c r="N1651" i="3"/>
  <c r="N1652" i="3"/>
  <c r="N1653" i="3"/>
  <c r="N1654" i="3"/>
  <c r="N1655" i="3"/>
  <c r="N1656" i="3"/>
  <c r="N1657" i="3"/>
  <c r="N1658" i="3"/>
  <c r="N1659" i="3"/>
  <c r="N1660" i="3"/>
  <c r="N1661" i="3"/>
  <c r="N1662" i="3"/>
  <c r="N1663" i="3"/>
  <c r="N1664" i="3"/>
  <c r="N1665" i="3"/>
  <c r="N1666" i="3"/>
  <c r="N1667" i="3"/>
  <c r="N1668" i="3"/>
  <c r="N1669" i="3"/>
  <c r="N1670" i="3"/>
  <c r="N1671" i="3"/>
  <c r="N1672" i="3"/>
  <c r="N1673" i="3"/>
  <c r="N1674" i="3"/>
  <c r="N1675" i="3"/>
  <c r="N1676" i="3"/>
  <c r="N1677" i="3"/>
  <c r="N1678" i="3"/>
  <c r="N1679" i="3"/>
  <c r="N1680" i="3"/>
  <c r="N1681" i="3"/>
  <c r="N1682" i="3"/>
  <c r="N1683" i="3"/>
  <c r="N1684" i="3"/>
  <c r="N1685" i="3"/>
  <c r="N1686" i="3"/>
  <c r="N1687" i="3"/>
  <c r="N1688" i="3"/>
  <c r="N1689" i="3"/>
  <c r="N1690" i="3"/>
  <c r="N1691" i="3"/>
  <c r="N1692" i="3"/>
  <c r="N1693" i="3"/>
  <c r="N1694" i="3"/>
  <c r="N1695" i="3"/>
  <c r="N1696" i="3"/>
  <c r="N1697" i="3"/>
  <c r="N1698" i="3"/>
  <c r="N1699" i="3"/>
  <c r="N1700" i="3"/>
  <c r="N1701" i="3"/>
  <c r="N1702" i="3"/>
  <c r="N1703" i="3"/>
  <c r="N16" i="3"/>
  <c r="N17" i="3"/>
  <c r="N18" i="3"/>
  <c r="N19" i="3"/>
  <c r="N20" i="3"/>
  <c r="N21" i="3"/>
  <c r="N3" i="3"/>
  <c r="N4" i="3"/>
  <c r="N5" i="3"/>
  <c r="N6" i="3"/>
  <c r="N7" i="3"/>
  <c r="N8" i="3"/>
  <c r="N9" i="3"/>
  <c r="N10" i="3"/>
  <c r="N11" i="3"/>
  <c r="N12" i="3"/>
  <c r="N13" i="3"/>
  <c r="N14" i="3"/>
  <c r="N15" i="3"/>
  <c r="N2" i="3"/>
  <c r="M9" i="3"/>
  <c r="M10" i="3"/>
  <c r="M13" i="3"/>
  <c r="M14" i="3"/>
  <c r="M16" i="3"/>
  <c r="M17" i="3"/>
  <c r="M18" i="3"/>
  <c r="M19" i="3"/>
  <c r="M22" i="3"/>
  <c r="M23" i="3"/>
  <c r="M25" i="3"/>
  <c r="M28" i="3"/>
  <c r="M29" i="3"/>
  <c r="M31" i="3"/>
  <c r="M33" i="3"/>
  <c r="M35" i="3"/>
  <c r="M37" i="3"/>
  <c r="M39" i="3"/>
  <c r="M41" i="3"/>
  <c r="M42" i="3"/>
  <c r="M45" i="3"/>
  <c r="M49" i="3"/>
  <c r="M51" i="3"/>
  <c r="M55" i="3"/>
  <c r="M56" i="3"/>
  <c r="M58" i="3"/>
  <c r="M59" i="3"/>
  <c r="M60" i="3"/>
  <c r="M62" i="3"/>
  <c r="M63" i="3"/>
  <c r="M69" i="3"/>
  <c r="M70" i="3"/>
  <c r="M73" i="3"/>
  <c r="M74" i="3"/>
  <c r="M75" i="3"/>
  <c r="M76" i="3"/>
  <c r="M78" i="3"/>
  <c r="M81" i="3"/>
  <c r="M84" i="3"/>
  <c r="M87" i="3"/>
  <c r="M89" i="3"/>
  <c r="M90" i="3"/>
  <c r="M91" i="3"/>
  <c r="M92" i="3"/>
  <c r="M93" i="3"/>
  <c r="M94" i="3"/>
  <c r="M95" i="3"/>
  <c r="M100" i="3"/>
  <c r="M101" i="3"/>
  <c r="M102" i="3"/>
  <c r="M103" i="3"/>
  <c r="M105" i="3"/>
  <c r="M106" i="3"/>
  <c r="M107" i="3"/>
  <c r="M109" i="3"/>
  <c r="M113" i="3"/>
  <c r="M115" i="3"/>
  <c r="M117" i="3"/>
  <c r="M119" i="3"/>
  <c r="M120" i="3"/>
  <c r="M123" i="3"/>
  <c r="M124" i="3"/>
  <c r="M127" i="3"/>
  <c r="M128" i="3"/>
  <c r="M130" i="3"/>
  <c r="M131" i="3"/>
  <c r="M133" i="3"/>
  <c r="M134" i="3"/>
  <c r="M135" i="3"/>
  <c r="M137" i="3"/>
  <c r="M140" i="3"/>
  <c r="M143" i="3"/>
  <c r="M146" i="3"/>
  <c r="M148" i="3"/>
  <c r="M149" i="3"/>
  <c r="M151" i="3"/>
  <c r="M152" i="3"/>
  <c r="M158" i="3"/>
  <c r="M159" i="3"/>
  <c r="M161" i="3"/>
  <c r="M162" i="3"/>
  <c r="M164" i="3"/>
  <c r="M165" i="3"/>
  <c r="M169" i="3"/>
  <c r="M171" i="3"/>
  <c r="M173" i="3"/>
  <c r="M174" i="3"/>
  <c r="M178" i="3"/>
  <c r="M179" i="3"/>
  <c r="M182" i="3"/>
  <c r="M183" i="3"/>
  <c r="M184" i="3"/>
  <c r="M185" i="3"/>
  <c r="M186" i="3"/>
  <c r="M188" i="3"/>
  <c r="M189" i="3"/>
  <c r="M190" i="3"/>
  <c r="M193" i="3"/>
  <c r="M194" i="3"/>
  <c r="M195" i="3"/>
  <c r="M196" i="3"/>
  <c r="M198" i="3"/>
  <c r="M199" i="3"/>
  <c r="M200" i="3"/>
  <c r="M201" i="3"/>
  <c r="M203" i="3"/>
  <c r="M206" i="3"/>
  <c r="M207" i="3"/>
  <c r="M208" i="3"/>
  <c r="M210" i="3"/>
  <c r="M211" i="3"/>
  <c r="M212" i="3"/>
  <c r="M214" i="3"/>
  <c r="M216" i="3"/>
  <c r="M217" i="3"/>
  <c r="M219" i="3"/>
  <c r="M221" i="3"/>
  <c r="M225" i="3"/>
  <c r="M226" i="3"/>
  <c r="M227" i="3"/>
  <c r="M229" i="3"/>
  <c r="M230" i="3"/>
  <c r="M233" i="3"/>
  <c r="M234" i="3"/>
  <c r="M235" i="3"/>
  <c r="M236" i="3"/>
  <c r="M237" i="3"/>
  <c r="M239" i="3"/>
  <c r="M242" i="3"/>
  <c r="M243" i="3"/>
  <c r="M246" i="3"/>
  <c r="M248" i="3"/>
  <c r="M249" i="3"/>
  <c r="M251" i="3"/>
  <c r="M254" i="3"/>
  <c r="M259" i="3"/>
  <c r="M261" i="3"/>
  <c r="M263" i="3"/>
  <c r="M265" i="3"/>
  <c r="M267" i="3"/>
  <c r="M270" i="3"/>
  <c r="M272" i="3"/>
  <c r="M274" i="3"/>
  <c r="M276" i="3"/>
  <c r="M284" i="3"/>
  <c r="M286" i="3"/>
  <c r="M288" i="3"/>
  <c r="M289" i="3"/>
  <c r="M290" i="3"/>
  <c r="M291" i="3"/>
  <c r="M294" i="3"/>
  <c r="M295" i="3"/>
  <c r="M296" i="3"/>
  <c r="M297" i="3"/>
  <c r="M298" i="3"/>
  <c r="M299" i="3"/>
  <c r="M300" i="3"/>
  <c r="M301" i="3"/>
  <c r="M302" i="3"/>
  <c r="M305" i="3"/>
  <c r="M307" i="3"/>
  <c r="M311" i="3"/>
  <c r="M317" i="3"/>
  <c r="M319" i="3"/>
  <c r="M320" i="3"/>
  <c r="M321" i="3"/>
  <c r="M322" i="3"/>
  <c r="M323" i="3"/>
  <c r="M324" i="3"/>
  <c r="M325" i="3"/>
  <c r="M327" i="3"/>
  <c r="M332" i="3"/>
  <c r="M336" i="3"/>
  <c r="M338" i="3"/>
  <c r="M339" i="3"/>
  <c r="M341" i="3"/>
  <c r="M342" i="3"/>
  <c r="M343" i="3"/>
  <c r="M348" i="3"/>
  <c r="M349" i="3"/>
  <c r="M350" i="3"/>
  <c r="M351" i="3"/>
  <c r="M352" i="3"/>
  <c r="M355" i="3"/>
  <c r="M357" i="3"/>
  <c r="M358" i="3"/>
  <c r="M361" i="3"/>
  <c r="M364" i="3"/>
  <c r="M369" i="3"/>
  <c r="M370" i="3"/>
  <c r="M372" i="3"/>
  <c r="M374" i="3"/>
  <c r="M380" i="3"/>
  <c r="M382" i="3"/>
  <c r="M383" i="3"/>
  <c r="M385" i="3"/>
  <c r="M386" i="3"/>
  <c r="M393" i="3"/>
  <c r="M395" i="3"/>
  <c r="M396" i="3"/>
  <c r="M405" i="3"/>
  <c r="M406" i="3"/>
  <c r="M407" i="3"/>
  <c r="M409" i="3"/>
  <c r="M410" i="3"/>
  <c r="M411" i="3"/>
  <c r="M412" i="3"/>
  <c r="M414" i="3"/>
  <c r="M417" i="3"/>
  <c r="M420" i="3"/>
  <c r="M421" i="3"/>
  <c r="M422" i="3"/>
  <c r="M423" i="3"/>
  <c r="M424" i="3"/>
  <c r="M426" i="3"/>
  <c r="M428" i="3"/>
  <c r="M435" i="3"/>
  <c r="M437" i="3"/>
  <c r="M441" i="3"/>
  <c r="M442" i="3"/>
  <c r="M444" i="3"/>
  <c r="M446" i="3"/>
  <c r="M447" i="3"/>
  <c r="M448" i="3"/>
  <c r="M449" i="3"/>
  <c r="M451" i="3"/>
  <c r="M453" i="3"/>
  <c r="M454" i="3"/>
  <c r="M455" i="3"/>
  <c r="M456" i="3"/>
  <c r="M460" i="3"/>
  <c r="M466" i="3"/>
  <c r="M467" i="3"/>
  <c r="M468" i="3"/>
  <c r="M470" i="3"/>
  <c r="M472" i="3"/>
  <c r="M474" i="3"/>
  <c r="M475" i="3"/>
  <c r="M476" i="3"/>
  <c r="M477" i="3"/>
  <c r="M479" i="3"/>
  <c r="M480" i="3"/>
  <c r="M481" i="3"/>
  <c r="M484" i="3"/>
  <c r="M486" i="3"/>
  <c r="M488" i="3"/>
  <c r="M493" i="3"/>
  <c r="M494" i="3"/>
  <c r="M496" i="3"/>
  <c r="M498" i="3"/>
  <c r="M499" i="3"/>
  <c r="M500" i="3"/>
  <c r="M501" i="3"/>
  <c r="M504" i="3"/>
  <c r="M507" i="3"/>
  <c r="M510" i="3"/>
  <c r="M513" i="3"/>
  <c r="M515" i="3"/>
  <c r="M516" i="3"/>
  <c r="M518" i="3"/>
  <c r="M519" i="3"/>
  <c r="M520" i="3"/>
  <c r="M521" i="3"/>
  <c r="M523" i="3"/>
  <c r="M525" i="3"/>
  <c r="M527" i="3"/>
  <c r="M528" i="3"/>
  <c r="M530" i="3"/>
  <c r="M532" i="3"/>
  <c r="M533" i="3"/>
  <c r="M535" i="3"/>
  <c r="M540" i="3"/>
  <c r="M542" i="3"/>
  <c r="M548" i="3"/>
  <c r="M549" i="3"/>
  <c r="M550" i="3"/>
  <c r="M553" i="3"/>
  <c r="M554" i="3"/>
  <c r="M556" i="3"/>
  <c r="M557" i="3"/>
  <c r="M560" i="3"/>
  <c r="M561" i="3"/>
  <c r="M562" i="3"/>
  <c r="M565" i="3"/>
  <c r="M566" i="3"/>
  <c r="M569" i="3"/>
  <c r="M570" i="3"/>
  <c r="M571" i="3"/>
  <c r="M572" i="3"/>
  <c r="M573" i="3"/>
  <c r="M574" i="3"/>
  <c r="M576" i="3"/>
  <c r="M578" i="3"/>
  <c r="M581" i="3"/>
  <c r="M583" i="3"/>
  <c r="M585" i="3"/>
  <c r="M587" i="3"/>
  <c r="M588" i="3"/>
  <c r="M591" i="3"/>
  <c r="M592" i="3"/>
  <c r="M593" i="3"/>
  <c r="M596" i="3"/>
  <c r="M598" i="3"/>
  <c r="M599" i="3"/>
  <c r="M602" i="3"/>
  <c r="M604" i="3"/>
  <c r="M605" i="3"/>
  <c r="M606" i="3"/>
  <c r="M607" i="3"/>
  <c r="M608" i="3"/>
  <c r="M610" i="3"/>
  <c r="M612" i="3"/>
  <c r="M613" i="3"/>
  <c r="M617" i="3"/>
  <c r="M618" i="3"/>
  <c r="M620" i="3"/>
  <c r="M621" i="3"/>
  <c r="M622" i="3"/>
  <c r="M625" i="3"/>
  <c r="M626" i="3"/>
  <c r="M627" i="3"/>
  <c r="M628" i="3"/>
  <c r="M629" i="3"/>
  <c r="M630" i="3"/>
  <c r="M632" i="3"/>
  <c r="M633" i="3"/>
  <c r="M636" i="3"/>
  <c r="M642" i="3"/>
  <c r="M643" i="3"/>
  <c r="M645" i="3"/>
  <c r="M646" i="3"/>
  <c r="M648" i="3"/>
  <c r="M649" i="3"/>
  <c r="M654" i="3"/>
  <c r="M655" i="3"/>
  <c r="M656" i="3"/>
  <c r="M657" i="3"/>
  <c r="M660" i="3"/>
  <c r="M661" i="3"/>
  <c r="M665" i="3"/>
  <c r="M670" i="3"/>
  <c r="M671" i="3"/>
  <c r="M673" i="3"/>
  <c r="M675" i="3"/>
  <c r="M678" i="3"/>
  <c r="M679" i="3"/>
  <c r="M682" i="3"/>
  <c r="M683" i="3"/>
  <c r="M684" i="3"/>
  <c r="M685" i="3"/>
  <c r="M686" i="3"/>
  <c r="M689" i="3"/>
  <c r="M690" i="3"/>
  <c r="M691" i="3"/>
  <c r="M692" i="3"/>
  <c r="M695" i="3"/>
  <c r="M697" i="3"/>
  <c r="M701" i="3"/>
  <c r="M702" i="3"/>
  <c r="M703" i="3"/>
  <c r="M706" i="3"/>
  <c r="M707" i="3"/>
  <c r="M708" i="3"/>
  <c r="M710" i="3"/>
  <c r="M717" i="3"/>
  <c r="M720" i="3"/>
  <c r="M724" i="3"/>
  <c r="M725" i="3"/>
  <c r="M726" i="3"/>
  <c r="M727" i="3"/>
  <c r="M728" i="3"/>
  <c r="M729" i="3"/>
  <c r="M730" i="3"/>
  <c r="M732" i="3"/>
  <c r="M733" i="3"/>
  <c r="M735" i="3"/>
  <c r="M736" i="3"/>
  <c r="M739" i="3"/>
  <c r="M741" i="3"/>
  <c r="M744" i="3"/>
  <c r="M745" i="3"/>
  <c r="M746" i="3"/>
  <c r="M748" i="3"/>
  <c r="M750" i="3"/>
  <c r="M754" i="3"/>
  <c r="M755" i="3"/>
  <c r="M757" i="3"/>
  <c r="M758" i="3"/>
  <c r="M759" i="3"/>
  <c r="M761" i="3"/>
  <c r="M763" i="3"/>
  <c r="M764" i="3"/>
  <c r="M765" i="3"/>
  <c r="M769" i="3"/>
  <c r="M770" i="3"/>
  <c r="M772" i="3"/>
  <c r="M773" i="3"/>
  <c r="M774" i="3"/>
  <c r="M775" i="3"/>
  <c r="M776" i="3"/>
  <c r="M777" i="3"/>
  <c r="M779" i="3"/>
  <c r="M780" i="3"/>
  <c r="M782" i="3"/>
  <c r="M784" i="3"/>
  <c r="M787" i="3"/>
  <c r="M788" i="3"/>
  <c r="M792" i="3"/>
  <c r="M793" i="3"/>
  <c r="M797" i="3"/>
  <c r="M801" i="3"/>
  <c r="M802" i="3"/>
  <c r="M804" i="3"/>
  <c r="M807" i="3"/>
  <c r="M814" i="3"/>
  <c r="M817" i="3"/>
  <c r="M820" i="3"/>
  <c r="M821" i="3"/>
  <c r="M822" i="3"/>
  <c r="M823" i="3"/>
  <c r="M825" i="3"/>
  <c r="M826" i="3"/>
  <c r="M828" i="3"/>
  <c r="M829" i="3"/>
  <c r="M831" i="3"/>
  <c r="M832" i="3"/>
  <c r="M833" i="3"/>
  <c r="M836" i="3"/>
  <c r="M840" i="3"/>
  <c r="M843" i="3"/>
  <c r="M845" i="3"/>
  <c r="M846" i="3"/>
  <c r="M847" i="3"/>
  <c r="M849" i="3"/>
  <c r="M851" i="3"/>
  <c r="M853" i="3"/>
  <c r="M856" i="3"/>
  <c r="M859" i="3"/>
  <c r="M863" i="3"/>
  <c r="M864" i="3"/>
  <c r="M866" i="3"/>
  <c r="M873" i="3"/>
  <c r="M876" i="3"/>
  <c r="M878" i="3"/>
  <c r="M879" i="3"/>
  <c r="M880" i="3"/>
  <c r="M882" i="3"/>
  <c r="M888" i="3"/>
  <c r="M889" i="3"/>
  <c r="M891" i="3"/>
  <c r="M892" i="3"/>
  <c r="M893" i="3"/>
  <c r="M894" i="3"/>
  <c r="M895" i="3"/>
  <c r="M896" i="3"/>
  <c r="M897" i="3"/>
  <c r="M898" i="3"/>
  <c r="M899" i="3"/>
  <c r="M902" i="3"/>
  <c r="M908" i="3"/>
  <c r="M916" i="3"/>
  <c r="M917" i="3"/>
  <c r="M921" i="3"/>
  <c r="M922" i="3"/>
  <c r="M923" i="3"/>
  <c r="M925" i="3"/>
  <c r="M929" i="3"/>
  <c r="M931" i="3"/>
  <c r="M932" i="3"/>
  <c r="M933" i="3"/>
  <c r="M934" i="3"/>
  <c r="M936" i="3"/>
  <c r="M938" i="3"/>
  <c r="M939" i="3"/>
  <c r="M944" i="3"/>
  <c r="M946" i="3"/>
  <c r="M947" i="3"/>
  <c r="M949" i="3"/>
  <c r="M950" i="3"/>
  <c r="M953" i="3"/>
  <c r="M954" i="3"/>
  <c r="M955" i="3"/>
  <c r="M956" i="3"/>
  <c r="M960" i="3"/>
  <c r="M961" i="3"/>
  <c r="M962" i="3"/>
  <c r="M963" i="3"/>
  <c r="M964" i="3"/>
  <c r="M965" i="3"/>
  <c r="M967" i="3"/>
  <c r="M968" i="3"/>
  <c r="M970" i="3"/>
  <c r="M971" i="3"/>
  <c r="M973" i="3"/>
  <c r="M975" i="3"/>
  <c r="M976" i="3"/>
  <c r="M977" i="3"/>
  <c r="M978" i="3"/>
  <c r="M979" i="3"/>
  <c r="M982" i="3"/>
  <c r="M983" i="3"/>
  <c r="M986" i="3"/>
  <c r="M988" i="3"/>
  <c r="M989" i="3"/>
  <c r="M990" i="3"/>
  <c r="M993" i="3"/>
  <c r="M994" i="3"/>
  <c r="M995" i="3"/>
  <c r="M996" i="3"/>
  <c r="M997" i="3"/>
  <c r="M999" i="3"/>
  <c r="M1000" i="3"/>
  <c r="M1002" i="3"/>
  <c r="M1006" i="3"/>
  <c r="M1007" i="3"/>
  <c r="M1010" i="3"/>
  <c r="M1011" i="3"/>
  <c r="M1012" i="3"/>
  <c r="M1016" i="3"/>
  <c r="M1018" i="3"/>
  <c r="M1019" i="3"/>
  <c r="M1021" i="3"/>
  <c r="M1023" i="3"/>
  <c r="M1025" i="3"/>
  <c r="M1028" i="3"/>
  <c r="M1033" i="3"/>
  <c r="M1037" i="3"/>
  <c r="M1038" i="3"/>
  <c r="M1039" i="3"/>
  <c r="M1040" i="3"/>
  <c r="M1043" i="3"/>
  <c r="M1046" i="3"/>
  <c r="M1047" i="3"/>
  <c r="M1051" i="3"/>
  <c r="M1054" i="3"/>
  <c r="M1055" i="3"/>
  <c r="M1057" i="3"/>
  <c r="M1060" i="3"/>
  <c r="M1061" i="3"/>
  <c r="M1063" i="3"/>
  <c r="M1064" i="3"/>
  <c r="M1068" i="3"/>
  <c r="M1069" i="3"/>
  <c r="M1072" i="3"/>
  <c r="M1073" i="3"/>
  <c r="M1074" i="3"/>
  <c r="M1075" i="3"/>
  <c r="M1076" i="3"/>
  <c r="M1077" i="3"/>
  <c r="M1079" i="3"/>
  <c r="M1080" i="3"/>
  <c r="M1081" i="3"/>
  <c r="M1084" i="3"/>
  <c r="M1086" i="3"/>
  <c r="M1087" i="3"/>
  <c r="M1088" i="3"/>
  <c r="M1089" i="3"/>
  <c r="M1092" i="3"/>
  <c r="M1095" i="3"/>
  <c r="M1096" i="3"/>
  <c r="M1099" i="3"/>
  <c r="M1102" i="3"/>
  <c r="M1104" i="3"/>
  <c r="M1105" i="3"/>
  <c r="M1106" i="3"/>
  <c r="M1108" i="3"/>
  <c r="M1109" i="3"/>
  <c r="M1110" i="3"/>
  <c r="M1111" i="3"/>
  <c r="M1112" i="3"/>
  <c r="M1114" i="3"/>
  <c r="M1117" i="3"/>
  <c r="M1120" i="3"/>
  <c r="M1122" i="3"/>
  <c r="M1125" i="3"/>
  <c r="M1126" i="3"/>
  <c r="M1129" i="3"/>
  <c r="M1130" i="3"/>
  <c r="M1132" i="3"/>
  <c r="M1136" i="3"/>
  <c r="M1137" i="3"/>
  <c r="M1138" i="3"/>
  <c r="M1139" i="3"/>
  <c r="M1141" i="3"/>
  <c r="M1142" i="3"/>
  <c r="M1143" i="3"/>
  <c r="M1144" i="3"/>
  <c r="M1148" i="3"/>
  <c r="M1152" i="3"/>
  <c r="M1155" i="3"/>
  <c r="M1156" i="3"/>
  <c r="M1157" i="3"/>
  <c r="M1158" i="3"/>
  <c r="M1161" i="3"/>
  <c r="M1162" i="3"/>
  <c r="M1164" i="3"/>
  <c r="M1165" i="3"/>
  <c r="M1166" i="3"/>
  <c r="M1167" i="3"/>
  <c r="M1168" i="3"/>
  <c r="M1169" i="3"/>
  <c r="M1171" i="3"/>
  <c r="M1172" i="3"/>
  <c r="M1177" i="3"/>
  <c r="M1178" i="3"/>
  <c r="M1181" i="3"/>
  <c r="M1182" i="3"/>
  <c r="M1185" i="3"/>
  <c r="M1186" i="3"/>
  <c r="M1187" i="3"/>
  <c r="M1191" i="3"/>
  <c r="M1192" i="3"/>
  <c r="M1194" i="3"/>
  <c r="M1201" i="3"/>
  <c r="M1203" i="3"/>
  <c r="M1204" i="3"/>
  <c r="M1206" i="3"/>
  <c r="M1207" i="3"/>
  <c r="M1210" i="3"/>
  <c r="M1212" i="3"/>
  <c r="M1215" i="3"/>
  <c r="M1216" i="3"/>
  <c r="M1222" i="3"/>
  <c r="M1225" i="3"/>
  <c r="M1226" i="3"/>
  <c r="M1229" i="3"/>
  <c r="M1232" i="3"/>
  <c r="M1233" i="3"/>
  <c r="M1236" i="3"/>
  <c r="M1238" i="3"/>
  <c r="M1239" i="3"/>
  <c r="M1242" i="3"/>
  <c r="M1249" i="3"/>
  <c r="M1252" i="3"/>
  <c r="M1253" i="3"/>
  <c r="M1254" i="3"/>
  <c r="M1256" i="3"/>
  <c r="M1258" i="3"/>
  <c r="M1260" i="3"/>
  <c r="M1262" i="3"/>
  <c r="M1267" i="3"/>
  <c r="M1268" i="3"/>
  <c r="M1269" i="3"/>
  <c r="M1270" i="3"/>
  <c r="M1274" i="3"/>
  <c r="M1278" i="3"/>
  <c r="M1279" i="3"/>
  <c r="M1281" i="3"/>
  <c r="M1284" i="3"/>
  <c r="M1286" i="3"/>
  <c r="M1287" i="3"/>
  <c r="M1290" i="3"/>
  <c r="M1293" i="3"/>
  <c r="M1295" i="3"/>
  <c r="M1296" i="3"/>
  <c r="M1298" i="3"/>
  <c r="M1301" i="3"/>
  <c r="M1302" i="3"/>
  <c r="M1303" i="3"/>
  <c r="M1304" i="3"/>
  <c r="M1305" i="3"/>
  <c r="M1307" i="3"/>
  <c r="M1318" i="3"/>
  <c r="M1319" i="3"/>
  <c r="M1320" i="3"/>
  <c r="M1322" i="3"/>
  <c r="M1325" i="3"/>
  <c r="M1326" i="3"/>
  <c r="M1327" i="3"/>
  <c r="M1328" i="3"/>
  <c r="M1331" i="3"/>
  <c r="M1332" i="3"/>
  <c r="M1333" i="3"/>
  <c r="M1334" i="3"/>
  <c r="M1336" i="3"/>
  <c r="M1338" i="3"/>
  <c r="M1339" i="3"/>
  <c r="M1342" i="3"/>
  <c r="M1343" i="3"/>
  <c r="M1345" i="3"/>
  <c r="M1346" i="3"/>
  <c r="M1347" i="3"/>
  <c r="M1349" i="3"/>
  <c r="M1350" i="3"/>
  <c r="M1351" i="3"/>
  <c r="M1352" i="3"/>
  <c r="M1354" i="3"/>
  <c r="M1356" i="3"/>
  <c r="M1361" i="3"/>
  <c r="M1362" i="3"/>
  <c r="M1366" i="3"/>
  <c r="M1367" i="3"/>
  <c r="M1368" i="3"/>
  <c r="M1370" i="3"/>
  <c r="M1372" i="3"/>
  <c r="M1376" i="3"/>
  <c r="M1377" i="3"/>
  <c r="M1378" i="3"/>
  <c r="M1380" i="3"/>
  <c r="M1381" i="3"/>
  <c r="M1383" i="3"/>
  <c r="M1384" i="3"/>
  <c r="M1386" i="3"/>
  <c r="M1387" i="3"/>
  <c r="M1389" i="3"/>
  <c r="M1391" i="3"/>
  <c r="M1394" i="3"/>
  <c r="M1398" i="3"/>
  <c r="M1400" i="3"/>
  <c r="M1401" i="3"/>
  <c r="M1402" i="3"/>
  <c r="M1405" i="3"/>
  <c r="M1406" i="3"/>
  <c r="M1407" i="3"/>
  <c r="M1409" i="3"/>
  <c r="M1410" i="3"/>
  <c r="M1411" i="3"/>
  <c r="M1412" i="3"/>
  <c r="M1413" i="3"/>
  <c r="M1414" i="3"/>
  <c r="M1416" i="3"/>
  <c r="M1418" i="3"/>
  <c r="M1419" i="3"/>
  <c r="M1420" i="3"/>
  <c r="M1422" i="3"/>
  <c r="M1423" i="3"/>
  <c r="M1424" i="3"/>
  <c r="M1425" i="3"/>
  <c r="M1426" i="3"/>
  <c r="M1428" i="3"/>
  <c r="M1430" i="3"/>
  <c r="M1431" i="3"/>
  <c r="M1435" i="3"/>
  <c r="M1437" i="3"/>
  <c r="M1439" i="3"/>
  <c r="M1443" i="3"/>
  <c r="M1444" i="3"/>
  <c r="M1445" i="3"/>
  <c r="M1449" i="3"/>
  <c r="M1453" i="3"/>
  <c r="M1455" i="3"/>
  <c r="M1456" i="3"/>
  <c r="M1457" i="3"/>
  <c r="M1458" i="3"/>
  <c r="M1460" i="3"/>
  <c r="M1462" i="3"/>
  <c r="M1463" i="3"/>
  <c r="M1464" i="3"/>
  <c r="M1465" i="3"/>
  <c r="M1466" i="3"/>
  <c r="M1467" i="3"/>
  <c r="M1468" i="3"/>
  <c r="M1470" i="3"/>
  <c r="M1471" i="3"/>
  <c r="M1472" i="3"/>
  <c r="M1476" i="3"/>
  <c r="M1477" i="3"/>
  <c r="M1479" i="3"/>
  <c r="M1482" i="3"/>
  <c r="M1486" i="3"/>
  <c r="M1495" i="3"/>
  <c r="M1496" i="3"/>
  <c r="M1497" i="3"/>
  <c r="M1498" i="3"/>
  <c r="M1499" i="3"/>
  <c r="M1501" i="3"/>
  <c r="M1502" i="3"/>
  <c r="M1504" i="3"/>
  <c r="M1505" i="3"/>
  <c r="M1506" i="3"/>
  <c r="M1507" i="3"/>
  <c r="M1508" i="3"/>
  <c r="M1509" i="3"/>
  <c r="M1510" i="3"/>
  <c r="M1511" i="3"/>
  <c r="M1513" i="3"/>
  <c r="M1514" i="3"/>
  <c r="M1515" i="3"/>
  <c r="M1516" i="3"/>
  <c r="M1521" i="3"/>
  <c r="M1522" i="3"/>
  <c r="M1523" i="3"/>
  <c r="M1529" i="3"/>
  <c r="M1530" i="3"/>
  <c r="M1531" i="3"/>
  <c r="M1532" i="3"/>
  <c r="M1533" i="3"/>
  <c r="M1534" i="3"/>
  <c r="M1536" i="3"/>
  <c r="M1540" i="3"/>
  <c r="M1542" i="3"/>
  <c r="M1544" i="3"/>
  <c r="M1545" i="3"/>
  <c r="M1547" i="3"/>
  <c r="M1548" i="3"/>
  <c r="M1552" i="3"/>
  <c r="M1554" i="3"/>
  <c r="M1556" i="3"/>
  <c r="M1559" i="3"/>
  <c r="M1561" i="3"/>
  <c r="M1562" i="3"/>
  <c r="M1565" i="3"/>
  <c r="M1566" i="3"/>
  <c r="M1567" i="3"/>
  <c r="M1568" i="3"/>
  <c r="M1569" i="3"/>
  <c r="M1570" i="3"/>
  <c r="M1572" i="3"/>
  <c r="M1573" i="3"/>
  <c r="M1574" i="3"/>
  <c r="M1579" i="3"/>
  <c r="M1580" i="3"/>
  <c r="M1582" i="3"/>
  <c r="M1589" i="3"/>
  <c r="M1596" i="3"/>
  <c r="M1598" i="3"/>
  <c r="M1601" i="3"/>
  <c r="M1602" i="3"/>
  <c r="M1603" i="3"/>
  <c r="M1606" i="3"/>
  <c r="M1607" i="3"/>
  <c r="M1608" i="3"/>
  <c r="M1611" i="3"/>
  <c r="M1613" i="3"/>
  <c r="M1614" i="3"/>
  <c r="M1618" i="3"/>
  <c r="M1620" i="3"/>
  <c r="M1621" i="3"/>
  <c r="M1624" i="3"/>
  <c r="M1627" i="3"/>
  <c r="M1628" i="3"/>
  <c r="M1629" i="3"/>
  <c r="M1630" i="3"/>
  <c r="M1635" i="3"/>
  <c r="M1637" i="3"/>
  <c r="M1639" i="3"/>
  <c r="M1641" i="3"/>
  <c r="M1646" i="3"/>
  <c r="M1647" i="3"/>
  <c r="M1649" i="3"/>
  <c r="M1650" i="3"/>
  <c r="M1652" i="3"/>
  <c r="M1653" i="3"/>
  <c r="M1655" i="3"/>
  <c r="M1657" i="3"/>
  <c r="M1658" i="3"/>
  <c r="M1660" i="3"/>
  <c r="M1661" i="3"/>
  <c r="M1662" i="3"/>
  <c r="M1665" i="3"/>
  <c r="M1666" i="3"/>
  <c r="M1670" i="3"/>
  <c r="M1671" i="3"/>
  <c r="M1675" i="3"/>
  <c r="M1676" i="3"/>
  <c r="M1679" i="3"/>
  <c r="M1680" i="3"/>
  <c r="M1682" i="3"/>
  <c r="M1683" i="3"/>
  <c r="M1684" i="3"/>
  <c r="M1690" i="3"/>
  <c r="M1691" i="3"/>
  <c r="M1692" i="3"/>
  <c r="M1697" i="3"/>
  <c r="M1698" i="3"/>
  <c r="M7" i="3"/>
  <c r="M4" i="3"/>
  <c r="M3" i="3"/>
  <c r="M2" i="3"/>
  <c r="L1158" i="3"/>
  <c r="L1159" i="3"/>
  <c r="L1160" i="3"/>
  <c r="L1161" i="3"/>
  <c r="L1162" i="3"/>
  <c r="L1163" i="3"/>
  <c r="L1164" i="3"/>
  <c r="L1165" i="3"/>
  <c r="L1166" i="3"/>
  <c r="L1167" i="3"/>
  <c r="L1168" i="3"/>
  <c r="L1169" i="3"/>
  <c r="L1170" i="3"/>
  <c r="L1171" i="3"/>
  <c r="L1172" i="3"/>
  <c r="L1173" i="3"/>
  <c r="L1174" i="3"/>
  <c r="L1175" i="3"/>
  <c r="L1176" i="3"/>
  <c r="L1177" i="3"/>
  <c r="L1178" i="3"/>
  <c r="L1179" i="3"/>
  <c r="L1180" i="3"/>
  <c r="L1181" i="3"/>
  <c r="L1182" i="3"/>
  <c r="L1183" i="3"/>
  <c r="L1184" i="3"/>
  <c r="L1185" i="3"/>
  <c r="L1186" i="3"/>
  <c r="L1187" i="3"/>
  <c r="L1188" i="3"/>
  <c r="L1189" i="3"/>
  <c r="L1190" i="3"/>
  <c r="L1191" i="3"/>
  <c r="L1192" i="3"/>
  <c r="L1193" i="3"/>
  <c r="L1194" i="3"/>
  <c r="L1195" i="3"/>
  <c r="L1196" i="3"/>
  <c r="L1197" i="3"/>
  <c r="L1198" i="3"/>
  <c r="L1199" i="3"/>
  <c r="L1200" i="3"/>
  <c r="L1201" i="3"/>
  <c r="L1202" i="3"/>
  <c r="L1203" i="3"/>
  <c r="L1204" i="3"/>
  <c r="L1205" i="3"/>
  <c r="L1206" i="3"/>
  <c r="L1207" i="3"/>
  <c r="L1208" i="3"/>
  <c r="L1209" i="3"/>
  <c r="L1210" i="3"/>
  <c r="L1211" i="3"/>
  <c r="L1212" i="3"/>
  <c r="L1213" i="3"/>
  <c r="L1214" i="3"/>
  <c r="L1215" i="3"/>
  <c r="L1216" i="3"/>
  <c r="L1217" i="3"/>
  <c r="L1218" i="3"/>
  <c r="L1219" i="3"/>
  <c r="L1220" i="3"/>
  <c r="L1221" i="3"/>
  <c r="L1222" i="3"/>
  <c r="L1223" i="3"/>
  <c r="L1224" i="3"/>
  <c r="L1225" i="3"/>
  <c r="L1226" i="3"/>
  <c r="L1227" i="3"/>
  <c r="L1228" i="3"/>
  <c r="L1229" i="3"/>
  <c r="L1230" i="3"/>
  <c r="L1231" i="3"/>
  <c r="L1232" i="3"/>
  <c r="L1233" i="3"/>
  <c r="L1234" i="3"/>
  <c r="L1235" i="3"/>
  <c r="L1236" i="3"/>
  <c r="L1237" i="3"/>
  <c r="L1238" i="3"/>
  <c r="L1239" i="3"/>
  <c r="L1240" i="3"/>
  <c r="L1241" i="3"/>
  <c r="L1242" i="3"/>
  <c r="L1243" i="3"/>
  <c r="L1244" i="3"/>
  <c r="L1245" i="3"/>
  <c r="L1246" i="3"/>
  <c r="L1247" i="3"/>
  <c r="L1248" i="3"/>
  <c r="L1249" i="3"/>
  <c r="L1250" i="3"/>
  <c r="L1251" i="3"/>
  <c r="L1252" i="3"/>
  <c r="L1253" i="3"/>
  <c r="L1254" i="3"/>
  <c r="L1255" i="3"/>
  <c r="L1256" i="3"/>
  <c r="L1257" i="3"/>
  <c r="L1258" i="3"/>
  <c r="L1259" i="3"/>
  <c r="L1260" i="3"/>
  <c r="L1261" i="3"/>
  <c r="L1262" i="3"/>
  <c r="L1263" i="3"/>
  <c r="L1264" i="3"/>
  <c r="L1265" i="3"/>
  <c r="L1266" i="3"/>
  <c r="L1267" i="3"/>
  <c r="L1268" i="3"/>
  <c r="L1269" i="3"/>
  <c r="L1270" i="3"/>
  <c r="L1271" i="3"/>
  <c r="L1272" i="3"/>
  <c r="L1273" i="3"/>
  <c r="L1274" i="3"/>
  <c r="L1275" i="3"/>
  <c r="L1276" i="3"/>
  <c r="L1277" i="3"/>
  <c r="L1278" i="3"/>
  <c r="L1279" i="3"/>
  <c r="L1280" i="3"/>
  <c r="L1281" i="3"/>
  <c r="L1282" i="3"/>
  <c r="L1283" i="3"/>
  <c r="L1284" i="3"/>
  <c r="L1285" i="3"/>
  <c r="L1286" i="3"/>
  <c r="L1287" i="3"/>
  <c r="L1288" i="3"/>
  <c r="L1289" i="3"/>
  <c r="L1290" i="3"/>
  <c r="L1291" i="3"/>
  <c r="L1292" i="3"/>
  <c r="L1293" i="3"/>
  <c r="L1294" i="3"/>
  <c r="L1295" i="3"/>
  <c r="L1296" i="3"/>
  <c r="L1297" i="3"/>
  <c r="L1298" i="3"/>
  <c r="L1299" i="3"/>
  <c r="L1300" i="3"/>
  <c r="L1301" i="3"/>
  <c r="L1302" i="3"/>
  <c r="L1303" i="3"/>
  <c r="L1304" i="3"/>
  <c r="L1305" i="3"/>
  <c r="L1306" i="3"/>
  <c r="L1307" i="3"/>
  <c r="L1308" i="3"/>
  <c r="L1309" i="3"/>
  <c r="L1310" i="3"/>
  <c r="L1311" i="3"/>
  <c r="L1312" i="3"/>
  <c r="L1313" i="3"/>
  <c r="L1314" i="3"/>
  <c r="L1315" i="3"/>
  <c r="L1316" i="3"/>
  <c r="L1317" i="3"/>
  <c r="L1318" i="3"/>
  <c r="L1319" i="3"/>
  <c r="L1320" i="3"/>
  <c r="L1321" i="3"/>
  <c r="L1322" i="3"/>
  <c r="L1323" i="3"/>
  <c r="L1324" i="3"/>
  <c r="L1325" i="3"/>
  <c r="L1326" i="3"/>
  <c r="L1327" i="3"/>
  <c r="L1328" i="3"/>
  <c r="L1329" i="3"/>
  <c r="L1330" i="3"/>
  <c r="L1331" i="3"/>
  <c r="L1332" i="3"/>
  <c r="L1333" i="3"/>
  <c r="L1334" i="3"/>
  <c r="L1335" i="3"/>
  <c r="L1336" i="3"/>
  <c r="L1337" i="3"/>
  <c r="L1338" i="3"/>
  <c r="L1339" i="3"/>
  <c r="L1340" i="3"/>
  <c r="L1341" i="3"/>
  <c r="L1342" i="3"/>
  <c r="L1343" i="3"/>
  <c r="L1344" i="3"/>
  <c r="L1345" i="3"/>
  <c r="L1346" i="3"/>
  <c r="L1347" i="3"/>
  <c r="L1348" i="3"/>
  <c r="L1349" i="3"/>
  <c r="L1350" i="3"/>
  <c r="L1351" i="3"/>
  <c r="L1352" i="3"/>
  <c r="L1353" i="3"/>
  <c r="L1354" i="3"/>
  <c r="L1355" i="3"/>
  <c r="L1356" i="3"/>
  <c r="L1357" i="3"/>
  <c r="L1358" i="3"/>
  <c r="L1359" i="3"/>
  <c r="L1360" i="3"/>
  <c r="L1361" i="3"/>
  <c r="L1362" i="3"/>
  <c r="L1363" i="3"/>
  <c r="L1364" i="3"/>
  <c r="L1365" i="3"/>
  <c r="L1366" i="3"/>
  <c r="L1367" i="3"/>
  <c r="L1368" i="3"/>
  <c r="L1369" i="3"/>
  <c r="L1370" i="3"/>
  <c r="L1371" i="3"/>
  <c r="L1372" i="3"/>
  <c r="L1373" i="3"/>
  <c r="L1374" i="3"/>
  <c r="L1375" i="3"/>
  <c r="L1376" i="3"/>
  <c r="L1377" i="3"/>
  <c r="L1378" i="3"/>
  <c r="L1379" i="3"/>
  <c r="L1380" i="3"/>
  <c r="L1381" i="3"/>
  <c r="L1382" i="3"/>
  <c r="L1383" i="3"/>
  <c r="L1384" i="3"/>
  <c r="L1385" i="3"/>
  <c r="L1386" i="3"/>
  <c r="L1387" i="3"/>
  <c r="L1388" i="3"/>
  <c r="L1389" i="3"/>
  <c r="L1390" i="3"/>
  <c r="L1391" i="3"/>
  <c r="L1392" i="3"/>
  <c r="L1393" i="3"/>
  <c r="L1394" i="3"/>
  <c r="L1395" i="3"/>
  <c r="L1396" i="3"/>
  <c r="L1397" i="3"/>
  <c r="L1398" i="3"/>
  <c r="L1399" i="3"/>
  <c r="L1400" i="3"/>
  <c r="L1401" i="3"/>
  <c r="L1402" i="3"/>
  <c r="L1403" i="3"/>
  <c r="L1404" i="3"/>
  <c r="L1405" i="3"/>
  <c r="L1406" i="3"/>
  <c r="L1407" i="3"/>
  <c r="L1408" i="3"/>
  <c r="L1409" i="3"/>
  <c r="L1410" i="3"/>
  <c r="L1411" i="3"/>
  <c r="L1412" i="3"/>
  <c r="L1413" i="3"/>
  <c r="L1414" i="3"/>
  <c r="L1415" i="3"/>
  <c r="L1416" i="3"/>
  <c r="L1417" i="3"/>
  <c r="L1418" i="3"/>
  <c r="L1419" i="3"/>
  <c r="L1420" i="3"/>
  <c r="L1421" i="3"/>
  <c r="L1422" i="3"/>
  <c r="L1423" i="3"/>
  <c r="L1424" i="3"/>
  <c r="L1425" i="3"/>
  <c r="L1426" i="3"/>
  <c r="L1427" i="3"/>
  <c r="L1428" i="3"/>
  <c r="L1429" i="3"/>
  <c r="L1430" i="3"/>
  <c r="L1431" i="3"/>
  <c r="L1432" i="3"/>
  <c r="L1433" i="3"/>
  <c r="L1434" i="3"/>
  <c r="L1435" i="3"/>
  <c r="L1436" i="3"/>
  <c r="L1437" i="3"/>
  <c r="L1438" i="3"/>
  <c r="L1439" i="3"/>
  <c r="L1440" i="3"/>
  <c r="L1441" i="3"/>
  <c r="L1442" i="3"/>
  <c r="L1443" i="3"/>
  <c r="L1444" i="3"/>
  <c r="L1445" i="3"/>
  <c r="L1446" i="3"/>
  <c r="L1447" i="3"/>
  <c r="L1448" i="3"/>
  <c r="L1449" i="3"/>
  <c r="L1450" i="3"/>
  <c r="L1451" i="3"/>
  <c r="L1452" i="3"/>
  <c r="L1453" i="3"/>
  <c r="L1454" i="3"/>
  <c r="L1455" i="3"/>
  <c r="L1456" i="3"/>
  <c r="L1457" i="3"/>
  <c r="L1458" i="3"/>
  <c r="L1459" i="3"/>
  <c r="L1460" i="3"/>
  <c r="L1461" i="3"/>
  <c r="L1462" i="3"/>
  <c r="L1463" i="3"/>
  <c r="L1464" i="3"/>
  <c r="L1465" i="3"/>
  <c r="L1466" i="3"/>
  <c r="L1467" i="3"/>
  <c r="L1468" i="3"/>
  <c r="L1469" i="3"/>
  <c r="L1470" i="3"/>
  <c r="L1471" i="3"/>
  <c r="L1472" i="3"/>
  <c r="L1473" i="3"/>
  <c r="L1474" i="3"/>
  <c r="L1475" i="3"/>
  <c r="L1476" i="3"/>
  <c r="L1477" i="3"/>
  <c r="L1478" i="3"/>
  <c r="L1479" i="3"/>
  <c r="L1480" i="3"/>
  <c r="L1481" i="3"/>
  <c r="L1482" i="3"/>
  <c r="L1483" i="3"/>
  <c r="L1484" i="3"/>
  <c r="L1485" i="3"/>
  <c r="L1486" i="3"/>
  <c r="L1487" i="3"/>
  <c r="L1488" i="3"/>
  <c r="L1489" i="3"/>
  <c r="L1490" i="3"/>
  <c r="L1491" i="3"/>
  <c r="L1492" i="3"/>
  <c r="L1493" i="3"/>
  <c r="L1494" i="3"/>
  <c r="L1495" i="3"/>
  <c r="L1496" i="3"/>
  <c r="L1497" i="3"/>
  <c r="L1498" i="3"/>
  <c r="L1499" i="3"/>
  <c r="L1500" i="3"/>
  <c r="L1501" i="3"/>
  <c r="L1502" i="3"/>
  <c r="L1503" i="3"/>
  <c r="L1504" i="3"/>
  <c r="L1505" i="3"/>
  <c r="L1506" i="3"/>
  <c r="L1507" i="3"/>
  <c r="L1508" i="3"/>
  <c r="L1509" i="3"/>
  <c r="L1510" i="3"/>
  <c r="L1511" i="3"/>
  <c r="L1512" i="3"/>
  <c r="L1513" i="3"/>
  <c r="L1514" i="3"/>
  <c r="L1515" i="3"/>
  <c r="L1516" i="3"/>
  <c r="L1517" i="3"/>
  <c r="L1518" i="3"/>
  <c r="L1519" i="3"/>
  <c r="L1520" i="3"/>
  <c r="L1521" i="3"/>
  <c r="L1522" i="3"/>
  <c r="L1523" i="3"/>
  <c r="L1524" i="3"/>
  <c r="L1525" i="3"/>
  <c r="L1526" i="3"/>
  <c r="L1527" i="3"/>
  <c r="L1528" i="3"/>
  <c r="L1529" i="3"/>
  <c r="L1530" i="3"/>
  <c r="L1531" i="3"/>
  <c r="L1532" i="3"/>
  <c r="L1533" i="3"/>
  <c r="L1534" i="3"/>
  <c r="L1535" i="3"/>
  <c r="L1536" i="3"/>
  <c r="L1537" i="3"/>
  <c r="L1538" i="3"/>
  <c r="L1539" i="3"/>
  <c r="L1540" i="3"/>
  <c r="L1541" i="3"/>
  <c r="L1542" i="3"/>
  <c r="L1543" i="3"/>
  <c r="L1544" i="3"/>
  <c r="L1545" i="3"/>
  <c r="L1546" i="3"/>
  <c r="L1547" i="3"/>
  <c r="L1548" i="3"/>
  <c r="L1549" i="3"/>
  <c r="L1550" i="3"/>
  <c r="L1551" i="3"/>
  <c r="L1552" i="3"/>
  <c r="L1553" i="3"/>
  <c r="L1554" i="3"/>
  <c r="L1555" i="3"/>
  <c r="L1556" i="3"/>
  <c r="L1557" i="3"/>
  <c r="L1558" i="3"/>
  <c r="L1559" i="3"/>
  <c r="L1560" i="3"/>
  <c r="L1561" i="3"/>
  <c r="L1562" i="3"/>
  <c r="L1563" i="3"/>
  <c r="L1564" i="3"/>
  <c r="L1565" i="3"/>
  <c r="L1566" i="3"/>
  <c r="L1567" i="3"/>
  <c r="L1568" i="3"/>
  <c r="L1569" i="3"/>
  <c r="L1570" i="3"/>
  <c r="L1571" i="3"/>
  <c r="L1572" i="3"/>
  <c r="L1573" i="3"/>
  <c r="L1574" i="3"/>
  <c r="L1575" i="3"/>
  <c r="L1576" i="3"/>
  <c r="L1577" i="3"/>
  <c r="L1578" i="3"/>
  <c r="L1579" i="3"/>
  <c r="L1580" i="3"/>
  <c r="L1581" i="3"/>
  <c r="L1582" i="3"/>
  <c r="L1583" i="3"/>
  <c r="L1584" i="3"/>
  <c r="L1585" i="3"/>
  <c r="L1586" i="3"/>
  <c r="L1587" i="3"/>
  <c r="L1588" i="3"/>
  <c r="L1589" i="3"/>
  <c r="L1590" i="3"/>
  <c r="L1591" i="3"/>
  <c r="L1592" i="3"/>
  <c r="L1593" i="3"/>
  <c r="L1594" i="3"/>
  <c r="L1595" i="3"/>
  <c r="L1596" i="3"/>
  <c r="L1597" i="3"/>
  <c r="L1598" i="3"/>
  <c r="L1599" i="3"/>
  <c r="L1600" i="3"/>
  <c r="L1601" i="3"/>
  <c r="L1602" i="3"/>
  <c r="L1603" i="3"/>
  <c r="L1604" i="3"/>
  <c r="L1605" i="3"/>
  <c r="L1606" i="3"/>
  <c r="L1607" i="3"/>
  <c r="L1608" i="3"/>
  <c r="L1609" i="3"/>
  <c r="L1610" i="3"/>
  <c r="L1611" i="3"/>
  <c r="L1612" i="3"/>
  <c r="L1613" i="3"/>
  <c r="L1614" i="3"/>
  <c r="L1615" i="3"/>
  <c r="L1616" i="3"/>
  <c r="L1617" i="3"/>
  <c r="L1618" i="3"/>
  <c r="L1619" i="3"/>
  <c r="L1620" i="3"/>
  <c r="L1621" i="3"/>
  <c r="L1622" i="3"/>
  <c r="L1623" i="3"/>
  <c r="L1624" i="3"/>
  <c r="L1625" i="3"/>
  <c r="L1626" i="3"/>
  <c r="L1627" i="3"/>
  <c r="L1628" i="3"/>
  <c r="L1629" i="3"/>
  <c r="L1630" i="3"/>
  <c r="L1631" i="3"/>
  <c r="L1632" i="3"/>
  <c r="L1633" i="3"/>
  <c r="L1634" i="3"/>
  <c r="L1635" i="3"/>
  <c r="L1636" i="3"/>
  <c r="L1637" i="3"/>
  <c r="L1638" i="3"/>
  <c r="L1639" i="3"/>
  <c r="L1640" i="3"/>
  <c r="L1641" i="3"/>
  <c r="L1642" i="3"/>
  <c r="L1643" i="3"/>
  <c r="L1644" i="3"/>
  <c r="L1645" i="3"/>
  <c r="L1646" i="3"/>
  <c r="L1647" i="3"/>
  <c r="L1648" i="3"/>
  <c r="L1649" i="3"/>
  <c r="L1650" i="3"/>
  <c r="L1651" i="3"/>
  <c r="L1652" i="3"/>
  <c r="L1653" i="3"/>
  <c r="L1654" i="3"/>
  <c r="L1655" i="3"/>
  <c r="L1656" i="3"/>
  <c r="L1657" i="3"/>
  <c r="L1658" i="3"/>
  <c r="L1659" i="3"/>
  <c r="L1660" i="3"/>
  <c r="L1661" i="3"/>
  <c r="L1662" i="3"/>
  <c r="L1663" i="3"/>
  <c r="L1664" i="3"/>
  <c r="L1665" i="3"/>
  <c r="L1666" i="3"/>
  <c r="L1667" i="3"/>
  <c r="L1668" i="3"/>
  <c r="L1669" i="3"/>
  <c r="L1670" i="3"/>
  <c r="L1671" i="3"/>
  <c r="L1672" i="3"/>
  <c r="L1673" i="3"/>
  <c r="L1674" i="3"/>
  <c r="L1675" i="3"/>
  <c r="L1676" i="3"/>
  <c r="L1677" i="3"/>
  <c r="L1678" i="3"/>
  <c r="L1679" i="3"/>
  <c r="L1680" i="3"/>
  <c r="L1681" i="3"/>
  <c r="L1682" i="3"/>
  <c r="L1683" i="3"/>
  <c r="L1684" i="3"/>
  <c r="L1685" i="3"/>
  <c r="L1686" i="3"/>
  <c r="L1687" i="3"/>
  <c r="L1688" i="3"/>
  <c r="L1689" i="3"/>
  <c r="L1690" i="3"/>
  <c r="L1691" i="3"/>
  <c r="L1692" i="3"/>
  <c r="L1693" i="3"/>
  <c r="L1694" i="3"/>
  <c r="L1695" i="3"/>
  <c r="L1696" i="3"/>
  <c r="L1697" i="3"/>
  <c r="L1698" i="3"/>
  <c r="L1699" i="3"/>
  <c r="L1700" i="3"/>
  <c r="L1701" i="3"/>
  <c r="L1702" i="3"/>
  <c r="L1703" i="3"/>
  <c r="L1150" i="3"/>
  <c r="L1151" i="3"/>
  <c r="L1152" i="3"/>
  <c r="L1153" i="3"/>
  <c r="L1154" i="3"/>
  <c r="L1155" i="3"/>
  <c r="L1156" i="3"/>
  <c r="L1157" i="3"/>
  <c r="L3" i="3"/>
  <c r="L4" i="3"/>
  <c r="L5" i="3"/>
  <c r="L6" i="3"/>
  <c r="L7" i="3"/>
  <c r="L8" i="3"/>
  <c r="L9" i="3"/>
  <c r="L10" i="3"/>
  <c r="L11" i="3"/>
  <c r="L12" i="3"/>
  <c r="L13" i="3"/>
  <c r="L14" i="3"/>
  <c r="L15" i="3"/>
  <c r="L16" i="3"/>
  <c r="L17" i="3"/>
  <c r="L18" i="3"/>
  <c r="L19" i="3"/>
  <c r="L20" i="3"/>
  <c r="L21" i="3"/>
  <c r="L22" i="3"/>
  <c r="L23" i="3"/>
  <c r="L24" i="3"/>
  <c r="L25" i="3"/>
  <c r="L26" i="3"/>
  <c r="L27" i="3"/>
  <c r="L28" i="3"/>
  <c r="L29" i="3"/>
  <c r="L30" i="3"/>
  <c r="L31" i="3"/>
  <c r="L32" i="3"/>
  <c r="L33" i="3"/>
  <c r="L34" i="3"/>
  <c r="L35" i="3"/>
  <c r="L36" i="3"/>
  <c r="L37" i="3"/>
  <c r="L38" i="3"/>
  <c r="L39" i="3"/>
  <c r="L40" i="3"/>
  <c r="L41" i="3"/>
  <c r="L42" i="3"/>
  <c r="L43" i="3"/>
  <c r="L44" i="3"/>
  <c r="L45" i="3"/>
  <c r="L46" i="3"/>
  <c r="L47" i="3"/>
  <c r="L48" i="3"/>
  <c r="L49" i="3"/>
  <c r="L50" i="3"/>
  <c r="L51" i="3"/>
  <c r="L52" i="3"/>
  <c r="L53" i="3"/>
  <c r="L54" i="3"/>
  <c r="L55" i="3"/>
  <c r="L56" i="3"/>
  <c r="L57" i="3"/>
  <c r="L58" i="3"/>
  <c r="L59" i="3"/>
  <c r="L60" i="3"/>
  <c r="L61" i="3"/>
  <c r="L62" i="3"/>
  <c r="L63" i="3"/>
  <c r="L64" i="3"/>
  <c r="L65" i="3"/>
  <c r="L66" i="3"/>
  <c r="L67" i="3"/>
  <c r="L68" i="3"/>
  <c r="L69" i="3"/>
  <c r="L70" i="3"/>
  <c r="L71" i="3"/>
  <c r="L72" i="3"/>
  <c r="L73" i="3"/>
  <c r="L74" i="3"/>
  <c r="L75" i="3"/>
  <c r="L76" i="3"/>
  <c r="L77" i="3"/>
  <c r="L78" i="3"/>
  <c r="L79" i="3"/>
  <c r="L80" i="3"/>
  <c r="L81" i="3"/>
  <c r="L82" i="3"/>
  <c r="L83" i="3"/>
  <c r="L84" i="3"/>
  <c r="L85" i="3"/>
  <c r="L86" i="3"/>
  <c r="L87" i="3"/>
  <c r="L88" i="3"/>
  <c r="L89" i="3"/>
  <c r="L90" i="3"/>
  <c r="L91" i="3"/>
  <c r="L92" i="3"/>
  <c r="L93" i="3"/>
  <c r="L94" i="3"/>
  <c r="L95" i="3"/>
  <c r="L96" i="3"/>
  <c r="L97" i="3"/>
  <c r="L98" i="3"/>
  <c r="L99" i="3"/>
  <c r="L100" i="3"/>
  <c r="L101" i="3"/>
  <c r="L102" i="3"/>
  <c r="L103" i="3"/>
  <c r="L104" i="3"/>
  <c r="L105" i="3"/>
  <c r="L106" i="3"/>
  <c r="L107" i="3"/>
  <c r="L108" i="3"/>
  <c r="L109" i="3"/>
  <c r="L110" i="3"/>
  <c r="L111" i="3"/>
  <c r="L112" i="3"/>
  <c r="L113" i="3"/>
  <c r="L114" i="3"/>
  <c r="L115" i="3"/>
  <c r="L116" i="3"/>
  <c r="L117" i="3"/>
  <c r="L118" i="3"/>
  <c r="L119" i="3"/>
  <c r="L120" i="3"/>
  <c r="L121" i="3"/>
  <c r="L122" i="3"/>
  <c r="L123" i="3"/>
  <c r="L124" i="3"/>
  <c r="L125" i="3"/>
  <c r="L126" i="3"/>
  <c r="L127" i="3"/>
  <c r="L128" i="3"/>
  <c r="L129" i="3"/>
  <c r="L130" i="3"/>
  <c r="L131" i="3"/>
  <c r="L132" i="3"/>
  <c r="L133" i="3"/>
  <c r="L134" i="3"/>
  <c r="L135" i="3"/>
  <c r="L136" i="3"/>
  <c r="L137" i="3"/>
  <c r="L138" i="3"/>
  <c r="L139" i="3"/>
  <c r="L140" i="3"/>
  <c r="L141" i="3"/>
  <c r="L142" i="3"/>
  <c r="L143" i="3"/>
  <c r="L144" i="3"/>
  <c r="L145" i="3"/>
  <c r="L146" i="3"/>
  <c r="L147" i="3"/>
  <c r="L148" i="3"/>
  <c r="L149" i="3"/>
  <c r="L150" i="3"/>
  <c r="L151" i="3"/>
  <c r="L152" i="3"/>
  <c r="L153" i="3"/>
  <c r="L154" i="3"/>
  <c r="L155" i="3"/>
  <c r="L156" i="3"/>
  <c r="L157" i="3"/>
  <c r="L158" i="3"/>
  <c r="L159" i="3"/>
  <c r="L160" i="3"/>
  <c r="L161" i="3"/>
  <c r="L162" i="3"/>
  <c r="L163" i="3"/>
  <c r="L164" i="3"/>
  <c r="L165" i="3"/>
  <c r="L166" i="3"/>
  <c r="L167" i="3"/>
  <c r="L168" i="3"/>
  <c r="L169" i="3"/>
  <c r="L170" i="3"/>
  <c r="L171" i="3"/>
  <c r="L172" i="3"/>
  <c r="L173" i="3"/>
  <c r="L174" i="3"/>
  <c r="L175" i="3"/>
  <c r="L176" i="3"/>
  <c r="L177" i="3"/>
  <c r="L178" i="3"/>
  <c r="L179" i="3"/>
  <c r="L180" i="3"/>
  <c r="L181" i="3"/>
  <c r="L182" i="3"/>
  <c r="L183" i="3"/>
  <c r="L184" i="3"/>
  <c r="L185" i="3"/>
  <c r="L186" i="3"/>
  <c r="L187" i="3"/>
  <c r="L188" i="3"/>
  <c r="L189" i="3"/>
  <c r="L190" i="3"/>
  <c r="L191" i="3"/>
  <c r="L192" i="3"/>
  <c r="L193" i="3"/>
  <c r="L194" i="3"/>
  <c r="L195" i="3"/>
  <c r="L196" i="3"/>
  <c r="L197" i="3"/>
  <c r="L198" i="3"/>
  <c r="L199" i="3"/>
  <c r="L200" i="3"/>
  <c r="L201" i="3"/>
  <c r="L202" i="3"/>
  <c r="L203" i="3"/>
  <c r="L204" i="3"/>
  <c r="L205" i="3"/>
  <c r="L206" i="3"/>
  <c r="L207" i="3"/>
  <c r="L208" i="3"/>
  <c r="L209" i="3"/>
  <c r="L210" i="3"/>
  <c r="L211" i="3"/>
  <c r="L212" i="3"/>
  <c r="L213" i="3"/>
  <c r="L214" i="3"/>
  <c r="L215" i="3"/>
  <c r="L216" i="3"/>
  <c r="L217" i="3"/>
  <c r="L218" i="3"/>
  <c r="L219" i="3"/>
  <c r="L220" i="3"/>
  <c r="L221" i="3"/>
  <c r="L222" i="3"/>
  <c r="L223" i="3"/>
  <c r="L224" i="3"/>
  <c r="L225" i="3"/>
  <c r="L226" i="3"/>
  <c r="L227" i="3"/>
  <c r="L228" i="3"/>
  <c r="L229" i="3"/>
  <c r="L230" i="3"/>
  <c r="L231" i="3"/>
  <c r="L232" i="3"/>
  <c r="L233" i="3"/>
  <c r="L234" i="3"/>
  <c r="L235" i="3"/>
  <c r="L236" i="3"/>
  <c r="L237" i="3"/>
  <c r="L238" i="3"/>
  <c r="L239" i="3"/>
  <c r="L240" i="3"/>
  <c r="L241" i="3"/>
  <c r="L242" i="3"/>
  <c r="L243" i="3"/>
  <c r="L244" i="3"/>
  <c r="L245" i="3"/>
  <c r="L246" i="3"/>
  <c r="L247" i="3"/>
  <c r="L248" i="3"/>
  <c r="L249" i="3"/>
  <c r="L250" i="3"/>
  <c r="L251" i="3"/>
  <c r="L252" i="3"/>
  <c r="L253" i="3"/>
  <c r="L254" i="3"/>
  <c r="L255" i="3"/>
  <c r="L256" i="3"/>
  <c r="L257" i="3"/>
  <c r="L258" i="3"/>
  <c r="L259" i="3"/>
  <c r="L260" i="3"/>
  <c r="L261" i="3"/>
  <c r="L262" i="3"/>
  <c r="L263" i="3"/>
  <c r="L264" i="3"/>
  <c r="L265" i="3"/>
  <c r="L266" i="3"/>
  <c r="L267" i="3"/>
  <c r="L268" i="3"/>
  <c r="L269" i="3"/>
  <c r="L270" i="3"/>
  <c r="L271" i="3"/>
  <c r="L272" i="3"/>
  <c r="L273" i="3"/>
  <c r="L274" i="3"/>
  <c r="L275" i="3"/>
  <c r="L276" i="3"/>
  <c r="L277" i="3"/>
  <c r="L278" i="3"/>
  <c r="L279" i="3"/>
  <c r="L280" i="3"/>
  <c r="L281" i="3"/>
  <c r="L282" i="3"/>
  <c r="L283" i="3"/>
  <c r="L284" i="3"/>
  <c r="L285" i="3"/>
  <c r="L286" i="3"/>
  <c r="L287" i="3"/>
  <c r="L288" i="3"/>
  <c r="L289" i="3"/>
  <c r="L290" i="3"/>
  <c r="L291" i="3"/>
  <c r="L292" i="3"/>
  <c r="L293" i="3"/>
  <c r="L294" i="3"/>
  <c r="L295" i="3"/>
  <c r="L296" i="3"/>
  <c r="L297" i="3"/>
  <c r="L298" i="3"/>
  <c r="L299" i="3"/>
  <c r="L300" i="3"/>
  <c r="L301" i="3"/>
  <c r="L302" i="3"/>
  <c r="L303" i="3"/>
  <c r="L304" i="3"/>
  <c r="L305" i="3"/>
  <c r="L306" i="3"/>
  <c r="L307" i="3"/>
  <c r="L308" i="3"/>
  <c r="L309" i="3"/>
  <c r="L310" i="3"/>
  <c r="L311" i="3"/>
  <c r="L312" i="3"/>
  <c r="L313" i="3"/>
  <c r="L314" i="3"/>
  <c r="L315" i="3"/>
  <c r="L316" i="3"/>
  <c r="L317" i="3"/>
  <c r="L318" i="3"/>
  <c r="L319" i="3"/>
  <c r="L320" i="3"/>
  <c r="L321" i="3"/>
  <c r="L322" i="3"/>
  <c r="L323" i="3"/>
  <c r="L324" i="3"/>
  <c r="L325" i="3"/>
  <c r="L326" i="3"/>
  <c r="L327" i="3"/>
  <c r="L328" i="3"/>
  <c r="L329" i="3"/>
  <c r="L330" i="3"/>
  <c r="L331" i="3"/>
  <c r="L332" i="3"/>
  <c r="L333" i="3"/>
  <c r="L334" i="3"/>
  <c r="L335" i="3"/>
  <c r="L336" i="3"/>
  <c r="L337" i="3"/>
  <c r="L338" i="3"/>
  <c r="L339" i="3"/>
  <c r="L340" i="3"/>
  <c r="L341" i="3"/>
  <c r="L342" i="3"/>
  <c r="L343" i="3"/>
  <c r="L344" i="3"/>
  <c r="L345" i="3"/>
  <c r="L346" i="3"/>
  <c r="L347" i="3"/>
  <c r="L348" i="3"/>
  <c r="L349" i="3"/>
  <c r="L350" i="3"/>
  <c r="L351" i="3"/>
  <c r="L352" i="3"/>
  <c r="L353" i="3"/>
  <c r="L354" i="3"/>
  <c r="L355" i="3"/>
  <c r="L356" i="3"/>
  <c r="L357" i="3"/>
  <c r="L358" i="3"/>
  <c r="L359" i="3"/>
  <c r="L360" i="3"/>
  <c r="L361" i="3"/>
  <c r="L362" i="3"/>
  <c r="L363" i="3"/>
  <c r="L364" i="3"/>
  <c r="L365" i="3"/>
  <c r="L366" i="3"/>
  <c r="L367" i="3"/>
  <c r="L368" i="3"/>
  <c r="L369" i="3"/>
  <c r="L370" i="3"/>
  <c r="L371" i="3"/>
  <c r="L372" i="3"/>
  <c r="L373" i="3"/>
  <c r="L374" i="3"/>
  <c r="L375" i="3"/>
  <c r="L376" i="3"/>
  <c r="L377" i="3"/>
  <c r="L378" i="3"/>
  <c r="L379" i="3"/>
  <c r="L380" i="3"/>
  <c r="L381" i="3"/>
  <c r="L382" i="3"/>
  <c r="L383" i="3"/>
  <c r="L384" i="3"/>
  <c r="L385" i="3"/>
  <c r="L386" i="3"/>
  <c r="L387" i="3"/>
  <c r="L388" i="3"/>
  <c r="L389" i="3"/>
  <c r="L390" i="3"/>
  <c r="L391" i="3"/>
  <c r="L392" i="3"/>
  <c r="L393" i="3"/>
  <c r="L394" i="3"/>
  <c r="L395" i="3"/>
  <c r="L396" i="3"/>
  <c r="L397" i="3"/>
  <c r="L398" i="3"/>
  <c r="L399" i="3"/>
  <c r="L400" i="3"/>
  <c r="L401" i="3"/>
  <c r="L402" i="3"/>
  <c r="L403" i="3"/>
  <c r="L404" i="3"/>
  <c r="L405" i="3"/>
  <c r="L406" i="3"/>
  <c r="L407" i="3"/>
  <c r="L408" i="3"/>
  <c r="L409" i="3"/>
  <c r="L410" i="3"/>
  <c r="L411" i="3"/>
  <c r="L412" i="3"/>
  <c r="L413" i="3"/>
  <c r="L414" i="3"/>
  <c r="L415" i="3"/>
  <c r="L416" i="3"/>
  <c r="L417" i="3"/>
  <c r="L418" i="3"/>
  <c r="L419" i="3"/>
  <c r="L420" i="3"/>
  <c r="L421" i="3"/>
  <c r="L422" i="3"/>
  <c r="L423" i="3"/>
  <c r="L424" i="3"/>
  <c r="L425" i="3"/>
  <c r="L426" i="3"/>
  <c r="L427" i="3"/>
  <c r="L428" i="3"/>
  <c r="L429" i="3"/>
  <c r="L430" i="3"/>
  <c r="L431" i="3"/>
  <c r="L432" i="3"/>
  <c r="L433" i="3"/>
  <c r="L434" i="3"/>
  <c r="L435" i="3"/>
  <c r="L436" i="3"/>
  <c r="L437" i="3"/>
  <c r="L438" i="3"/>
  <c r="L439" i="3"/>
  <c r="L440" i="3"/>
  <c r="L441" i="3"/>
  <c r="L442" i="3"/>
  <c r="L443" i="3"/>
  <c r="L444" i="3"/>
  <c r="L445" i="3"/>
  <c r="L446" i="3"/>
  <c r="L447" i="3"/>
  <c r="L448" i="3"/>
  <c r="L449" i="3"/>
  <c r="L450" i="3"/>
  <c r="L451" i="3"/>
  <c r="L452" i="3"/>
  <c r="L453" i="3"/>
  <c r="L454" i="3"/>
  <c r="L455" i="3"/>
  <c r="L456" i="3"/>
  <c r="L457" i="3"/>
  <c r="L458" i="3"/>
  <c r="L459" i="3"/>
  <c r="L460" i="3"/>
  <c r="L461" i="3"/>
  <c r="L462" i="3"/>
  <c r="L463" i="3"/>
  <c r="L464" i="3"/>
  <c r="L465" i="3"/>
  <c r="L466" i="3"/>
  <c r="L467" i="3"/>
  <c r="L468" i="3"/>
  <c r="L469" i="3"/>
  <c r="L470" i="3"/>
  <c r="L471" i="3"/>
  <c r="L472" i="3"/>
  <c r="L473" i="3"/>
  <c r="L474" i="3"/>
  <c r="L475" i="3"/>
  <c r="L476" i="3"/>
  <c r="L477" i="3"/>
  <c r="L478" i="3"/>
  <c r="L479" i="3"/>
  <c r="L480" i="3"/>
  <c r="L481" i="3"/>
  <c r="L482" i="3"/>
  <c r="L483" i="3"/>
  <c r="L484" i="3"/>
  <c r="L485" i="3"/>
  <c r="L486" i="3"/>
  <c r="L487" i="3"/>
  <c r="L488" i="3"/>
  <c r="L489" i="3"/>
  <c r="L490" i="3"/>
  <c r="L491" i="3"/>
  <c r="L492" i="3"/>
  <c r="L493" i="3"/>
  <c r="L494" i="3"/>
  <c r="L495" i="3"/>
  <c r="L496" i="3"/>
  <c r="L497" i="3"/>
  <c r="L498" i="3"/>
  <c r="L499" i="3"/>
  <c r="L500" i="3"/>
  <c r="L501" i="3"/>
  <c r="L502" i="3"/>
  <c r="L503" i="3"/>
  <c r="L504" i="3"/>
  <c r="L505" i="3"/>
  <c r="L506" i="3"/>
  <c r="L507" i="3"/>
  <c r="L508" i="3"/>
  <c r="L509" i="3"/>
  <c r="L510" i="3"/>
  <c r="L511" i="3"/>
  <c r="L512" i="3"/>
  <c r="L513" i="3"/>
  <c r="L514" i="3"/>
  <c r="L515" i="3"/>
  <c r="L516" i="3"/>
  <c r="L517" i="3"/>
  <c r="L518" i="3"/>
  <c r="L519" i="3"/>
  <c r="L520" i="3"/>
  <c r="L521" i="3"/>
  <c r="L522" i="3"/>
  <c r="L523" i="3"/>
  <c r="L524" i="3"/>
  <c r="L525" i="3"/>
  <c r="L526" i="3"/>
  <c r="L527" i="3"/>
  <c r="L528" i="3"/>
  <c r="L529" i="3"/>
  <c r="L530" i="3"/>
  <c r="L531" i="3"/>
  <c r="L532" i="3"/>
  <c r="L533" i="3"/>
  <c r="L534" i="3"/>
  <c r="L535" i="3"/>
  <c r="L536" i="3"/>
  <c r="L537" i="3"/>
  <c r="L538" i="3"/>
  <c r="L539" i="3"/>
  <c r="L540" i="3"/>
  <c r="L541" i="3"/>
  <c r="L542" i="3"/>
  <c r="L543" i="3"/>
  <c r="L544" i="3"/>
  <c r="L545" i="3"/>
  <c r="L546" i="3"/>
  <c r="L547" i="3"/>
  <c r="L548" i="3"/>
  <c r="L549" i="3"/>
  <c r="L550" i="3"/>
  <c r="L551" i="3"/>
  <c r="L552" i="3"/>
  <c r="L553" i="3"/>
  <c r="L554" i="3"/>
  <c r="L555" i="3"/>
  <c r="L556" i="3"/>
  <c r="L557" i="3"/>
  <c r="L558" i="3"/>
  <c r="L559" i="3"/>
  <c r="L560" i="3"/>
  <c r="L561" i="3"/>
  <c r="L562" i="3"/>
  <c r="L563" i="3"/>
  <c r="L564" i="3"/>
  <c r="L565" i="3"/>
  <c r="L566" i="3"/>
  <c r="L567" i="3"/>
  <c r="L568" i="3"/>
  <c r="L569" i="3"/>
  <c r="L570" i="3"/>
  <c r="L571" i="3"/>
  <c r="L572" i="3"/>
  <c r="L573" i="3"/>
  <c r="L574" i="3"/>
  <c r="L575" i="3"/>
  <c r="L576" i="3"/>
  <c r="L577" i="3"/>
  <c r="L578" i="3"/>
  <c r="L579" i="3"/>
  <c r="L580" i="3"/>
  <c r="L581" i="3"/>
  <c r="L582" i="3"/>
  <c r="L583" i="3"/>
  <c r="L584" i="3"/>
  <c r="L585" i="3"/>
  <c r="L586" i="3"/>
  <c r="L587" i="3"/>
  <c r="L588" i="3"/>
  <c r="L589" i="3"/>
  <c r="L590" i="3"/>
  <c r="L591" i="3"/>
  <c r="L592" i="3"/>
  <c r="L593" i="3"/>
  <c r="L594" i="3"/>
  <c r="L595" i="3"/>
  <c r="L596" i="3"/>
  <c r="L597" i="3"/>
  <c r="L598" i="3"/>
  <c r="L599" i="3"/>
  <c r="L600" i="3"/>
  <c r="L601" i="3"/>
  <c r="L602" i="3"/>
  <c r="L603" i="3"/>
  <c r="L604" i="3"/>
  <c r="L605" i="3"/>
  <c r="L606" i="3"/>
  <c r="L607" i="3"/>
  <c r="L608" i="3"/>
  <c r="L609" i="3"/>
  <c r="L610" i="3"/>
  <c r="L611" i="3"/>
  <c r="L612" i="3"/>
  <c r="L613" i="3"/>
  <c r="L614" i="3"/>
  <c r="L615" i="3"/>
  <c r="L616" i="3"/>
  <c r="L617" i="3"/>
  <c r="L618" i="3"/>
  <c r="L619" i="3"/>
  <c r="L620" i="3"/>
  <c r="L621" i="3"/>
  <c r="L622" i="3"/>
  <c r="L623" i="3"/>
  <c r="L624" i="3"/>
  <c r="L625" i="3"/>
  <c r="L626" i="3"/>
  <c r="L627" i="3"/>
  <c r="L628" i="3"/>
  <c r="L629" i="3"/>
  <c r="L630" i="3"/>
  <c r="L631" i="3"/>
  <c r="L632" i="3"/>
  <c r="L633" i="3"/>
  <c r="L634" i="3"/>
  <c r="L635" i="3"/>
  <c r="L636" i="3"/>
  <c r="L637" i="3"/>
  <c r="L638" i="3"/>
  <c r="L639" i="3"/>
  <c r="L640" i="3"/>
  <c r="L641" i="3"/>
  <c r="L642" i="3"/>
  <c r="L643" i="3"/>
  <c r="L644" i="3"/>
  <c r="L645" i="3"/>
  <c r="L646" i="3"/>
  <c r="L647" i="3"/>
  <c r="L648" i="3"/>
  <c r="L649" i="3"/>
  <c r="L650" i="3"/>
  <c r="L651" i="3"/>
  <c r="L652" i="3"/>
  <c r="L653" i="3"/>
  <c r="L654" i="3"/>
  <c r="L655" i="3"/>
  <c r="L656" i="3"/>
  <c r="L657" i="3"/>
  <c r="L658" i="3"/>
  <c r="L659" i="3"/>
  <c r="L660" i="3"/>
  <c r="L661" i="3"/>
  <c r="L662" i="3"/>
  <c r="L663" i="3"/>
  <c r="L664" i="3"/>
  <c r="L665" i="3"/>
  <c r="L666" i="3"/>
  <c r="L667" i="3"/>
  <c r="L668" i="3"/>
  <c r="L669" i="3"/>
  <c r="L670" i="3"/>
  <c r="L671" i="3"/>
  <c r="L672" i="3"/>
  <c r="L673" i="3"/>
  <c r="L674" i="3"/>
  <c r="L675" i="3"/>
  <c r="L676" i="3"/>
  <c r="L677" i="3"/>
  <c r="L678" i="3"/>
  <c r="L679" i="3"/>
  <c r="L680" i="3"/>
  <c r="L681" i="3"/>
  <c r="L682" i="3"/>
  <c r="L683" i="3"/>
  <c r="L684" i="3"/>
  <c r="L685" i="3"/>
  <c r="L686" i="3"/>
  <c r="L687" i="3"/>
  <c r="L688" i="3"/>
  <c r="L689" i="3"/>
  <c r="L690" i="3"/>
  <c r="L691" i="3"/>
  <c r="L692" i="3"/>
  <c r="L693" i="3"/>
  <c r="L694" i="3"/>
  <c r="L695" i="3"/>
  <c r="L696" i="3"/>
  <c r="L697" i="3"/>
  <c r="L698" i="3"/>
  <c r="L699" i="3"/>
  <c r="L700" i="3"/>
  <c r="L701" i="3"/>
  <c r="L702" i="3"/>
  <c r="L703" i="3"/>
  <c r="L704" i="3"/>
  <c r="L705" i="3"/>
  <c r="L706" i="3"/>
  <c r="L707" i="3"/>
  <c r="L708" i="3"/>
  <c r="L709" i="3"/>
  <c r="L710" i="3"/>
  <c r="L711" i="3"/>
  <c r="L712" i="3"/>
  <c r="L713" i="3"/>
  <c r="L714" i="3"/>
  <c r="L715" i="3"/>
  <c r="L716" i="3"/>
  <c r="L717" i="3"/>
  <c r="L718" i="3"/>
  <c r="L719" i="3"/>
  <c r="L720" i="3"/>
  <c r="L721" i="3"/>
  <c r="L722" i="3"/>
  <c r="L723" i="3"/>
  <c r="L724" i="3"/>
  <c r="L725" i="3"/>
  <c r="L726" i="3"/>
  <c r="L727" i="3"/>
  <c r="L728" i="3"/>
  <c r="L729" i="3"/>
  <c r="L730" i="3"/>
  <c r="L731" i="3"/>
  <c r="L732" i="3"/>
  <c r="L733" i="3"/>
  <c r="L734" i="3"/>
  <c r="L735" i="3"/>
  <c r="L736" i="3"/>
  <c r="L737" i="3"/>
  <c r="L738" i="3"/>
  <c r="L739" i="3"/>
  <c r="L740" i="3"/>
  <c r="L741" i="3"/>
  <c r="L742" i="3"/>
  <c r="L743" i="3"/>
  <c r="L744" i="3"/>
  <c r="L745" i="3"/>
  <c r="L746" i="3"/>
  <c r="L747" i="3"/>
  <c r="L748" i="3"/>
  <c r="L749" i="3"/>
  <c r="L750" i="3"/>
  <c r="L751" i="3"/>
  <c r="L752" i="3"/>
  <c r="L753" i="3"/>
  <c r="L754" i="3"/>
  <c r="L755" i="3"/>
  <c r="L756" i="3"/>
  <c r="L757" i="3"/>
  <c r="L758" i="3"/>
  <c r="L759" i="3"/>
  <c r="L760" i="3"/>
  <c r="L761" i="3"/>
  <c r="L762" i="3"/>
  <c r="L763" i="3"/>
  <c r="L764" i="3"/>
  <c r="L765" i="3"/>
  <c r="L766" i="3"/>
  <c r="L767" i="3"/>
  <c r="L768" i="3"/>
  <c r="L769" i="3"/>
  <c r="L770" i="3"/>
  <c r="L771" i="3"/>
  <c r="L772" i="3"/>
  <c r="L773" i="3"/>
  <c r="L774" i="3"/>
  <c r="L775" i="3"/>
  <c r="L776" i="3"/>
  <c r="L777" i="3"/>
  <c r="L778" i="3"/>
  <c r="L779" i="3"/>
  <c r="L780" i="3"/>
  <c r="L781" i="3"/>
  <c r="L782" i="3"/>
  <c r="L783" i="3"/>
  <c r="L784" i="3"/>
  <c r="L785" i="3"/>
  <c r="L786" i="3"/>
  <c r="L787" i="3"/>
  <c r="L788" i="3"/>
  <c r="L789" i="3"/>
  <c r="L790" i="3"/>
  <c r="L791" i="3"/>
  <c r="L792" i="3"/>
  <c r="L793" i="3"/>
  <c r="L794" i="3"/>
  <c r="L795" i="3"/>
  <c r="L796" i="3"/>
  <c r="L797" i="3"/>
  <c r="L798" i="3"/>
  <c r="L799" i="3"/>
  <c r="L800" i="3"/>
  <c r="L801" i="3"/>
  <c r="L802" i="3"/>
  <c r="L803" i="3"/>
  <c r="L804" i="3"/>
  <c r="L805" i="3"/>
  <c r="L806" i="3"/>
  <c r="L807" i="3"/>
  <c r="L808" i="3"/>
  <c r="L809" i="3"/>
  <c r="L810" i="3"/>
  <c r="L811" i="3"/>
  <c r="L812" i="3"/>
  <c r="L813" i="3"/>
  <c r="L814" i="3"/>
  <c r="L815" i="3"/>
  <c r="L816" i="3"/>
  <c r="L817" i="3"/>
  <c r="L818" i="3"/>
  <c r="L819" i="3"/>
  <c r="L820" i="3"/>
  <c r="L821" i="3"/>
  <c r="L822" i="3"/>
  <c r="L823" i="3"/>
  <c r="L824" i="3"/>
  <c r="L825" i="3"/>
  <c r="L826" i="3"/>
  <c r="L827" i="3"/>
  <c r="L828" i="3"/>
  <c r="L829" i="3"/>
  <c r="L830" i="3"/>
  <c r="L831" i="3"/>
  <c r="L832" i="3"/>
  <c r="L833" i="3"/>
  <c r="L834" i="3"/>
  <c r="L835" i="3"/>
  <c r="L836" i="3"/>
  <c r="L837" i="3"/>
  <c r="L838" i="3"/>
  <c r="L839" i="3"/>
  <c r="L840" i="3"/>
  <c r="L841" i="3"/>
  <c r="L842" i="3"/>
  <c r="L843" i="3"/>
  <c r="L844" i="3"/>
  <c r="L845" i="3"/>
  <c r="L846" i="3"/>
  <c r="L847" i="3"/>
  <c r="L848" i="3"/>
  <c r="L849" i="3"/>
  <c r="L850" i="3"/>
  <c r="L851" i="3"/>
  <c r="L852" i="3"/>
  <c r="L853" i="3"/>
  <c r="L854" i="3"/>
  <c r="L855" i="3"/>
  <c r="L856" i="3"/>
  <c r="L857" i="3"/>
  <c r="L858" i="3"/>
  <c r="L859" i="3"/>
  <c r="L860" i="3"/>
  <c r="L861" i="3"/>
  <c r="L862" i="3"/>
  <c r="L863" i="3"/>
  <c r="L864" i="3"/>
  <c r="L865" i="3"/>
  <c r="L866" i="3"/>
  <c r="L867" i="3"/>
  <c r="L868" i="3"/>
  <c r="L869" i="3"/>
  <c r="L870" i="3"/>
  <c r="L871" i="3"/>
  <c r="L872" i="3"/>
  <c r="L873" i="3"/>
  <c r="L874" i="3"/>
  <c r="L875" i="3"/>
  <c r="L876" i="3"/>
  <c r="L877" i="3"/>
  <c r="L878" i="3"/>
  <c r="L879" i="3"/>
  <c r="L880" i="3"/>
  <c r="L881" i="3"/>
  <c r="L882" i="3"/>
  <c r="L883" i="3"/>
  <c r="L884" i="3"/>
  <c r="L885" i="3"/>
  <c r="L886" i="3"/>
  <c r="L887" i="3"/>
  <c r="L888" i="3"/>
  <c r="L889" i="3"/>
  <c r="L890" i="3"/>
  <c r="L891" i="3"/>
  <c r="L892" i="3"/>
  <c r="L893" i="3"/>
  <c r="L894" i="3"/>
  <c r="L895" i="3"/>
  <c r="L896" i="3"/>
  <c r="L897" i="3"/>
  <c r="L898" i="3"/>
  <c r="L899" i="3"/>
  <c r="L900" i="3"/>
  <c r="L901" i="3"/>
  <c r="L902" i="3"/>
  <c r="L903" i="3"/>
  <c r="L904" i="3"/>
  <c r="L905" i="3"/>
  <c r="L906" i="3"/>
  <c r="L907" i="3"/>
  <c r="L908" i="3"/>
  <c r="L909" i="3"/>
  <c r="L910" i="3"/>
  <c r="L911" i="3"/>
  <c r="L912" i="3"/>
  <c r="L913" i="3"/>
  <c r="L914" i="3"/>
  <c r="L915" i="3"/>
  <c r="L916" i="3"/>
  <c r="L917" i="3"/>
  <c r="L918" i="3"/>
  <c r="L919" i="3"/>
  <c r="L920" i="3"/>
  <c r="L921" i="3"/>
  <c r="L922" i="3"/>
  <c r="L923" i="3"/>
  <c r="L924" i="3"/>
  <c r="L925" i="3"/>
  <c r="L926" i="3"/>
  <c r="L927" i="3"/>
  <c r="L928" i="3"/>
  <c r="L929" i="3"/>
  <c r="L930" i="3"/>
  <c r="L931" i="3"/>
  <c r="L932" i="3"/>
  <c r="L933" i="3"/>
  <c r="L934" i="3"/>
  <c r="L935" i="3"/>
  <c r="L936" i="3"/>
  <c r="L937" i="3"/>
  <c r="L938" i="3"/>
  <c r="L939" i="3"/>
  <c r="L940" i="3"/>
  <c r="L941" i="3"/>
  <c r="L942" i="3"/>
  <c r="L943" i="3"/>
  <c r="L944" i="3"/>
  <c r="L945" i="3"/>
  <c r="L946" i="3"/>
  <c r="L947" i="3"/>
  <c r="L948" i="3"/>
  <c r="L949" i="3"/>
  <c r="L950" i="3"/>
  <c r="L951" i="3"/>
  <c r="L952" i="3"/>
  <c r="L953" i="3"/>
  <c r="L954" i="3"/>
  <c r="L955" i="3"/>
  <c r="L956" i="3"/>
  <c r="L957" i="3"/>
  <c r="L958" i="3"/>
  <c r="L959" i="3"/>
  <c r="L960" i="3"/>
  <c r="L961" i="3"/>
  <c r="L962" i="3"/>
  <c r="L963" i="3"/>
  <c r="L964" i="3"/>
  <c r="L965" i="3"/>
  <c r="L966" i="3"/>
  <c r="L967" i="3"/>
  <c r="L968" i="3"/>
  <c r="L969" i="3"/>
  <c r="L970" i="3"/>
  <c r="L971" i="3"/>
  <c r="L972" i="3"/>
  <c r="L973" i="3"/>
  <c r="L974" i="3"/>
  <c r="L975" i="3"/>
  <c r="L976" i="3"/>
  <c r="L977" i="3"/>
  <c r="L978" i="3"/>
  <c r="L979" i="3"/>
  <c r="L980" i="3"/>
  <c r="L981" i="3"/>
  <c r="L982" i="3"/>
  <c r="L983" i="3"/>
  <c r="L984" i="3"/>
  <c r="L985" i="3"/>
  <c r="L986" i="3"/>
  <c r="L987" i="3"/>
  <c r="L988" i="3"/>
  <c r="L989" i="3"/>
  <c r="L990" i="3"/>
  <c r="L991" i="3"/>
  <c r="L992" i="3"/>
  <c r="L993" i="3"/>
  <c r="L994" i="3"/>
  <c r="L995" i="3"/>
  <c r="L996" i="3"/>
  <c r="L997" i="3"/>
  <c r="L998" i="3"/>
  <c r="L999" i="3"/>
  <c r="L1000" i="3"/>
  <c r="L1001" i="3"/>
  <c r="L1002" i="3"/>
  <c r="L1003" i="3"/>
  <c r="L1004" i="3"/>
  <c r="L1005" i="3"/>
  <c r="L1006" i="3"/>
  <c r="L1007" i="3"/>
  <c r="L1008" i="3"/>
  <c r="L1009" i="3"/>
  <c r="L1010" i="3"/>
  <c r="L1011" i="3"/>
  <c r="L1012" i="3"/>
  <c r="L1013" i="3"/>
  <c r="L1014" i="3"/>
  <c r="L1015" i="3"/>
  <c r="L1016" i="3"/>
  <c r="L1017" i="3"/>
  <c r="L1018" i="3"/>
  <c r="L1019" i="3"/>
  <c r="L1020" i="3"/>
  <c r="L1021" i="3"/>
  <c r="L1022" i="3"/>
  <c r="L1023" i="3"/>
  <c r="L1024" i="3"/>
  <c r="L1025" i="3"/>
  <c r="L1026" i="3"/>
  <c r="L1027" i="3"/>
  <c r="L1028" i="3"/>
  <c r="L1029" i="3"/>
  <c r="L1030" i="3"/>
  <c r="L1031" i="3"/>
  <c r="L1032" i="3"/>
  <c r="L1033" i="3"/>
  <c r="L1034" i="3"/>
  <c r="L1035" i="3"/>
  <c r="L1036" i="3"/>
  <c r="L1037" i="3"/>
  <c r="L1038" i="3"/>
  <c r="L1039" i="3"/>
  <c r="L1040" i="3"/>
  <c r="L1041" i="3"/>
  <c r="L1042" i="3"/>
  <c r="L1043" i="3"/>
  <c r="L1044" i="3"/>
  <c r="L1045" i="3"/>
  <c r="L1046" i="3"/>
  <c r="L1047" i="3"/>
  <c r="L1048" i="3"/>
  <c r="L1049" i="3"/>
  <c r="L1050" i="3"/>
  <c r="L1051" i="3"/>
  <c r="L1052" i="3"/>
  <c r="L1053" i="3"/>
  <c r="L1054" i="3"/>
  <c r="L1055" i="3"/>
  <c r="L1056" i="3"/>
  <c r="L1057" i="3"/>
  <c r="L1058" i="3"/>
  <c r="L1059" i="3"/>
  <c r="L1060" i="3"/>
  <c r="L1061" i="3"/>
  <c r="L1062" i="3"/>
  <c r="L1063" i="3"/>
  <c r="L1064" i="3"/>
  <c r="L1065" i="3"/>
  <c r="L1066" i="3"/>
  <c r="L1067" i="3"/>
  <c r="L1068" i="3"/>
  <c r="L1069" i="3"/>
  <c r="L1070" i="3"/>
  <c r="L1071" i="3"/>
  <c r="L1072" i="3"/>
  <c r="L1073" i="3"/>
  <c r="L1074" i="3"/>
  <c r="L1075" i="3"/>
  <c r="L1076" i="3"/>
  <c r="L1077" i="3"/>
  <c r="L1078" i="3"/>
  <c r="L1079" i="3"/>
  <c r="L1080" i="3"/>
  <c r="L1081" i="3"/>
  <c r="L1082" i="3"/>
  <c r="L1083" i="3"/>
  <c r="L1084" i="3"/>
  <c r="L1085" i="3"/>
  <c r="L1086" i="3"/>
  <c r="L1087" i="3"/>
  <c r="L1088" i="3"/>
  <c r="L1089" i="3"/>
  <c r="L1090" i="3"/>
  <c r="L1091" i="3"/>
  <c r="L1092" i="3"/>
  <c r="L1093" i="3"/>
  <c r="L1094" i="3"/>
  <c r="L1095" i="3"/>
  <c r="L1096" i="3"/>
  <c r="L1097" i="3"/>
  <c r="L1098" i="3"/>
  <c r="L1099" i="3"/>
  <c r="L1100" i="3"/>
  <c r="L1101" i="3"/>
  <c r="L1102" i="3"/>
  <c r="L1103" i="3"/>
  <c r="L1104" i="3"/>
  <c r="L1105" i="3"/>
  <c r="L1106" i="3"/>
  <c r="L1107" i="3"/>
  <c r="L1108" i="3"/>
  <c r="L1109" i="3"/>
  <c r="L1110" i="3"/>
  <c r="L1111" i="3"/>
  <c r="L1112" i="3"/>
  <c r="L1113" i="3"/>
  <c r="L1114" i="3"/>
  <c r="L1115" i="3"/>
  <c r="L1116" i="3"/>
  <c r="L1117" i="3"/>
  <c r="L1118" i="3"/>
  <c r="L1119" i="3"/>
  <c r="L1120" i="3"/>
  <c r="L1121" i="3"/>
  <c r="L1122" i="3"/>
  <c r="L1123" i="3"/>
  <c r="L1124" i="3"/>
  <c r="L1125" i="3"/>
  <c r="L1126" i="3"/>
  <c r="L1127" i="3"/>
  <c r="L1128" i="3"/>
  <c r="L1129" i="3"/>
  <c r="L1130" i="3"/>
  <c r="L1131" i="3"/>
  <c r="L1132" i="3"/>
  <c r="L1133" i="3"/>
  <c r="L1134" i="3"/>
  <c r="L1135" i="3"/>
  <c r="L1136" i="3"/>
  <c r="L1137" i="3"/>
  <c r="L1138" i="3"/>
  <c r="L1139" i="3"/>
  <c r="L1140" i="3"/>
  <c r="L1141" i="3"/>
  <c r="L1142" i="3"/>
  <c r="L1143" i="3"/>
  <c r="L1144" i="3"/>
  <c r="L1145" i="3"/>
  <c r="L1146" i="3"/>
  <c r="L1147" i="3"/>
  <c r="L1148" i="3"/>
  <c r="L1149" i="3"/>
  <c r="L2" i="3"/>
  <c r="J1706" i="3" s="1"/>
  <c r="K3" i="3"/>
  <c r="K4" i="3"/>
  <c r="K5" i="3"/>
  <c r="K6" i="3"/>
  <c r="K7" i="3"/>
  <c r="K8" i="3"/>
  <c r="K9" i="3"/>
  <c r="K10" i="3"/>
  <c r="K11" i="3"/>
  <c r="K12" i="3"/>
  <c r="K13" i="3"/>
  <c r="K14" i="3"/>
  <c r="K15" i="3"/>
  <c r="K16" i="3"/>
  <c r="K17" i="3"/>
  <c r="K18" i="3"/>
  <c r="K19" i="3"/>
  <c r="K20" i="3"/>
  <c r="K21" i="3"/>
  <c r="K22" i="3"/>
  <c r="K23" i="3"/>
  <c r="K24" i="3"/>
  <c r="K25" i="3"/>
  <c r="K26" i="3"/>
  <c r="K27" i="3"/>
  <c r="K28" i="3"/>
  <c r="K29" i="3"/>
  <c r="K30" i="3"/>
  <c r="K31" i="3"/>
  <c r="K32" i="3"/>
  <c r="K33" i="3"/>
  <c r="K34" i="3"/>
  <c r="K35" i="3"/>
  <c r="K36" i="3"/>
  <c r="K37" i="3"/>
  <c r="K38" i="3"/>
  <c r="K39" i="3"/>
  <c r="K40" i="3"/>
  <c r="K41" i="3"/>
  <c r="K42" i="3"/>
  <c r="K43" i="3"/>
  <c r="K44" i="3"/>
  <c r="K45" i="3"/>
  <c r="K46" i="3"/>
  <c r="K47" i="3"/>
  <c r="K48" i="3"/>
  <c r="K49" i="3"/>
  <c r="K50" i="3"/>
  <c r="K51" i="3"/>
  <c r="K52" i="3"/>
  <c r="K53" i="3"/>
  <c r="K54" i="3"/>
  <c r="K55" i="3"/>
  <c r="K56" i="3"/>
  <c r="K57" i="3"/>
  <c r="K58" i="3"/>
  <c r="K59" i="3"/>
  <c r="K60" i="3"/>
  <c r="K61" i="3"/>
  <c r="K62" i="3"/>
  <c r="K63" i="3"/>
  <c r="K64" i="3"/>
  <c r="K65" i="3"/>
  <c r="K66" i="3"/>
  <c r="K67" i="3"/>
  <c r="K68" i="3"/>
  <c r="K69" i="3"/>
  <c r="K70" i="3"/>
  <c r="K71" i="3"/>
  <c r="K72" i="3"/>
  <c r="K73" i="3"/>
  <c r="K74" i="3"/>
  <c r="K75" i="3"/>
  <c r="K76" i="3"/>
  <c r="K77" i="3"/>
  <c r="K78" i="3"/>
  <c r="K79" i="3"/>
  <c r="K80" i="3"/>
  <c r="K81" i="3"/>
  <c r="K82" i="3"/>
  <c r="K83" i="3"/>
  <c r="K84" i="3"/>
  <c r="K85" i="3"/>
  <c r="K86" i="3"/>
  <c r="K87" i="3"/>
  <c r="K88" i="3"/>
  <c r="K89" i="3"/>
  <c r="K90" i="3"/>
  <c r="K91" i="3"/>
  <c r="K92" i="3"/>
  <c r="K93" i="3"/>
  <c r="K94" i="3"/>
  <c r="K95" i="3"/>
  <c r="K96" i="3"/>
  <c r="K97" i="3"/>
  <c r="K98" i="3"/>
  <c r="K99" i="3"/>
  <c r="K100" i="3"/>
  <c r="K101" i="3"/>
  <c r="K102" i="3"/>
  <c r="K103" i="3"/>
  <c r="K104" i="3"/>
  <c r="K105" i="3"/>
  <c r="K106" i="3"/>
  <c r="K107" i="3"/>
  <c r="K108" i="3"/>
  <c r="K109" i="3"/>
  <c r="K110" i="3"/>
  <c r="K111" i="3"/>
  <c r="K112" i="3"/>
  <c r="K113" i="3"/>
  <c r="K114" i="3"/>
  <c r="K115" i="3"/>
  <c r="K116" i="3"/>
  <c r="K117" i="3"/>
  <c r="K118" i="3"/>
  <c r="K119" i="3"/>
  <c r="K120" i="3"/>
  <c r="K121" i="3"/>
  <c r="K122" i="3"/>
  <c r="K123" i="3"/>
  <c r="K124" i="3"/>
  <c r="K125" i="3"/>
  <c r="K126" i="3"/>
  <c r="K127" i="3"/>
  <c r="K128" i="3"/>
  <c r="K129" i="3"/>
  <c r="K130" i="3"/>
  <c r="K131" i="3"/>
  <c r="K132" i="3"/>
  <c r="K133" i="3"/>
  <c r="K134" i="3"/>
  <c r="K135" i="3"/>
  <c r="K136" i="3"/>
  <c r="K137" i="3"/>
  <c r="K138" i="3"/>
  <c r="K139" i="3"/>
  <c r="K140" i="3"/>
  <c r="K141" i="3"/>
  <c r="K142" i="3"/>
  <c r="K143" i="3"/>
  <c r="K144" i="3"/>
  <c r="K145" i="3"/>
  <c r="K146" i="3"/>
  <c r="K147" i="3"/>
  <c r="K148" i="3"/>
  <c r="K149" i="3"/>
  <c r="K150" i="3"/>
  <c r="K151" i="3"/>
  <c r="K152" i="3"/>
  <c r="K153" i="3"/>
  <c r="K154" i="3"/>
  <c r="K155" i="3"/>
  <c r="K156" i="3"/>
  <c r="K157" i="3"/>
  <c r="K158" i="3"/>
  <c r="K159" i="3"/>
  <c r="K160" i="3"/>
  <c r="K161" i="3"/>
  <c r="K162" i="3"/>
  <c r="K163" i="3"/>
  <c r="K164" i="3"/>
  <c r="K165" i="3"/>
  <c r="K166" i="3"/>
  <c r="K167" i="3"/>
  <c r="K168" i="3"/>
  <c r="K169" i="3"/>
  <c r="K170" i="3"/>
  <c r="K171" i="3"/>
  <c r="K172" i="3"/>
  <c r="K173" i="3"/>
  <c r="K174" i="3"/>
  <c r="K175" i="3"/>
  <c r="K176" i="3"/>
  <c r="K177" i="3"/>
  <c r="K178" i="3"/>
  <c r="K179" i="3"/>
  <c r="K180" i="3"/>
  <c r="K181" i="3"/>
  <c r="K182" i="3"/>
  <c r="K183" i="3"/>
  <c r="K184" i="3"/>
  <c r="K185" i="3"/>
  <c r="K186" i="3"/>
  <c r="K187" i="3"/>
  <c r="K188" i="3"/>
  <c r="K189" i="3"/>
  <c r="K190" i="3"/>
  <c r="K191" i="3"/>
  <c r="K192" i="3"/>
  <c r="K193" i="3"/>
  <c r="K194" i="3"/>
  <c r="K195" i="3"/>
  <c r="K196" i="3"/>
  <c r="K197" i="3"/>
  <c r="K198" i="3"/>
  <c r="K199" i="3"/>
  <c r="K200" i="3"/>
  <c r="K201" i="3"/>
  <c r="K202" i="3"/>
  <c r="K203" i="3"/>
  <c r="K204" i="3"/>
  <c r="K205" i="3"/>
  <c r="K206" i="3"/>
  <c r="K207" i="3"/>
  <c r="K208" i="3"/>
  <c r="K209" i="3"/>
  <c r="K210" i="3"/>
  <c r="K211" i="3"/>
  <c r="K212" i="3"/>
  <c r="K213" i="3"/>
  <c r="K214" i="3"/>
  <c r="K215" i="3"/>
  <c r="K216" i="3"/>
  <c r="K217" i="3"/>
  <c r="K218" i="3"/>
  <c r="K219" i="3"/>
  <c r="K220" i="3"/>
  <c r="K221" i="3"/>
  <c r="K222" i="3"/>
  <c r="K223" i="3"/>
  <c r="K224" i="3"/>
  <c r="K225" i="3"/>
  <c r="K226" i="3"/>
  <c r="K227" i="3"/>
  <c r="K228" i="3"/>
  <c r="K229" i="3"/>
  <c r="K230" i="3"/>
  <c r="K231" i="3"/>
  <c r="K232" i="3"/>
  <c r="K233" i="3"/>
  <c r="K234" i="3"/>
  <c r="K235" i="3"/>
  <c r="K236" i="3"/>
  <c r="K237" i="3"/>
  <c r="K238" i="3"/>
  <c r="K239" i="3"/>
  <c r="K240" i="3"/>
  <c r="K241" i="3"/>
  <c r="K242" i="3"/>
  <c r="K243" i="3"/>
  <c r="K244" i="3"/>
  <c r="K245" i="3"/>
  <c r="K246" i="3"/>
  <c r="K247" i="3"/>
  <c r="K248" i="3"/>
  <c r="K249" i="3"/>
  <c r="K250" i="3"/>
  <c r="K251" i="3"/>
  <c r="K252" i="3"/>
  <c r="K253" i="3"/>
  <c r="K254" i="3"/>
  <c r="K255" i="3"/>
  <c r="K256" i="3"/>
  <c r="K257" i="3"/>
  <c r="K258" i="3"/>
  <c r="K259" i="3"/>
  <c r="K260" i="3"/>
  <c r="K261" i="3"/>
  <c r="K262" i="3"/>
  <c r="K263" i="3"/>
  <c r="K264" i="3"/>
  <c r="K265" i="3"/>
  <c r="K266" i="3"/>
  <c r="K267" i="3"/>
  <c r="K268" i="3"/>
  <c r="K269" i="3"/>
  <c r="K270" i="3"/>
  <c r="K271" i="3"/>
  <c r="K272" i="3"/>
  <c r="K273" i="3"/>
  <c r="K274" i="3"/>
  <c r="K275" i="3"/>
  <c r="K276" i="3"/>
  <c r="K277" i="3"/>
  <c r="K278" i="3"/>
  <c r="K279" i="3"/>
  <c r="K280" i="3"/>
  <c r="K281" i="3"/>
  <c r="K282" i="3"/>
  <c r="K283" i="3"/>
  <c r="K284" i="3"/>
  <c r="K285" i="3"/>
  <c r="K286" i="3"/>
  <c r="K287" i="3"/>
  <c r="K288" i="3"/>
  <c r="K289" i="3"/>
  <c r="K290" i="3"/>
  <c r="K291" i="3"/>
  <c r="K292" i="3"/>
  <c r="K293" i="3"/>
  <c r="K294" i="3"/>
  <c r="K295" i="3"/>
  <c r="K296" i="3"/>
  <c r="K297" i="3"/>
  <c r="K298" i="3"/>
  <c r="K299" i="3"/>
  <c r="K300" i="3"/>
  <c r="K301" i="3"/>
  <c r="K302" i="3"/>
  <c r="K303" i="3"/>
  <c r="K304" i="3"/>
  <c r="K305" i="3"/>
  <c r="K306" i="3"/>
  <c r="K307" i="3"/>
  <c r="K308" i="3"/>
  <c r="K309" i="3"/>
  <c r="K310" i="3"/>
  <c r="K311" i="3"/>
  <c r="K312" i="3"/>
  <c r="K313" i="3"/>
  <c r="K314" i="3"/>
  <c r="K315" i="3"/>
  <c r="K316" i="3"/>
  <c r="K317" i="3"/>
  <c r="K318" i="3"/>
  <c r="K319" i="3"/>
  <c r="K320" i="3"/>
  <c r="K321" i="3"/>
  <c r="K322" i="3"/>
  <c r="K323" i="3"/>
  <c r="K324" i="3"/>
  <c r="K325" i="3"/>
  <c r="K326" i="3"/>
  <c r="K327" i="3"/>
  <c r="K328" i="3"/>
  <c r="K329" i="3"/>
  <c r="K330" i="3"/>
  <c r="K331" i="3"/>
  <c r="K332" i="3"/>
  <c r="K333" i="3"/>
  <c r="K334" i="3"/>
  <c r="K335" i="3"/>
  <c r="K336" i="3"/>
  <c r="K337" i="3"/>
  <c r="K338" i="3"/>
  <c r="K339" i="3"/>
  <c r="K340" i="3"/>
  <c r="K341" i="3"/>
  <c r="K342" i="3"/>
  <c r="K343" i="3"/>
  <c r="K344" i="3"/>
  <c r="K345" i="3"/>
  <c r="K346" i="3"/>
  <c r="K347" i="3"/>
  <c r="K348" i="3"/>
  <c r="K349" i="3"/>
  <c r="K350" i="3"/>
  <c r="K351" i="3"/>
  <c r="K352" i="3"/>
  <c r="K353" i="3"/>
  <c r="K354" i="3"/>
  <c r="K355" i="3"/>
  <c r="K356" i="3"/>
  <c r="K357" i="3"/>
  <c r="K358" i="3"/>
  <c r="K359" i="3"/>
  <c r="K360" i="3"/>
  <c r="K361" i="3"/>
  <c r="K362" i="3"/>
  <c r="K363" i="3"/>
  <c r="K364" i="3"/>
  <c r="K365" i="3"/>
  <c r="K366" i="3"/>
  <c r="K367" i="3"/>
  <c r="K368" i="3"/>
  <c r="K369" i="3"/>
  <c r="K370" i="3"/>
  <c r="K371" i="3"/>
  <c r="K372" i="3"/>
  <c r="K373" i="3"/>
  <c r="K374" i="3"/>
  <c r="K375" i="3"/>
  <c r="K376" i="3"/>
  <c r="K377" i="3"/>
  <c r="K378" i="3"/>
  <c r="K379" i="3"/>
  <c r="K380" i="3"/>
  <c r="K381" i="3"/>
  <c r="K382" i="3"/>
  <c r="K383" i="3"/>
  <c r="K384" i="3"/>
  <c r="K385" i="3"/>
  <c r="K386" i="3"/>
  <c r="K387" i="3"/>
  <c r="K388" i="3"/>
  <c r="K389" i="3"/>
  <c r="K390" i="3"/>
  <c r="K391" i="3"/>
  <c r="K392" i="3"/>
  <c r="K393" i="3"/>
  <c r="K394" i="3"/>
  <c r="K395" i="3"/>
  <c r="K396" i="3"/>
  <c r="K397" i="3"/>
  <c r="K398" i="3"/>
  <c r="K399" i="3"/>
  <c r="K400" i="3"/>
  <c r="K401" i="3"/>
  <c r="K402" i="3"/>
  <c r="K403" i="3"/>
  <c r="K404" i="3"/>
  <c r="K405" i="3"/>
  <c r="K406" i="3"/>
  <c r="K407" i="3"/>
  <c r="K408" i="3"/>
  <c r="K409" i="3"/>
  <c r="K410" i="3"/>
  <c r="K411" i="3"/>
  <c r="K412" i="3"/>
  <c r="K413" i="3"/>
  <c r="K414" i="3"/>
  <c r="K415" i="3"/>
  <c r="K416" i="3"/>
  <c r="K417" i="3"/>
  <c r="K418" i="3"/>
  <c r="K419" i="3"/>
  <c r="K420" i="3"/>
  <c r="K421" i="3"/>
  <c r="K422" i="3"/>
  <c r="K423" i="3"/>
  <c r="K424" i="3"/>
  <c r="K425" i="3"/>
  <c r="K426" i="3"/>
  <c r="K427" i="3"/>
  <c r="K428" i="3"/>
  <c r="K429" i="3"/>
  <c r="K430" i="3"/>
  <c r="K431" i="3"/>
  <c r="K432" i="3"/>
  <c r="K433" i="3"/>
  <c r="K434" i="3"/>
  <c r="K435" i="3"/>
  <c r="K436" i="3"/>
  <c r="K437" i="3"/>
  <c r="K438" i="3"/>
  <c r="K439" i="3"/>
  <c r="K440" i="3"/>
  <c r="K441" i="3"/>
  <c r="K442" i="3"/>
  <c r="K443" i="3"/>
  <c r="K444" i="3"/>
  <c r="K445" i="3"/>
  <c r="K446" i="3"/>
  <c r="K447" i="3"/>
  <c r="K448" i="3"/>
  <c r="K449" i="3"/>
  <c r="K450" i="3"/>
  <c r="K451" i="3"/>
  <c r="K452" i="3"/>
  <c r="K453" i="3"/>
  <c r="K454" i="3"/>
  <c r="K455" i="3"/>
  <c r="K456" i="3"/>
  <c r="K457" i="3"/>
  <c r="K458" i="3"/>
  <c r="K459" i="3"/>
  <c r="K460" i="3"/>
  <c r="K461" i="3"/>
  <c r="K462" i="3"/>
  <c r="K463" i="3"/>
  <c r="K464" i="3"/>
  <c r="K465" i="3"/>
  <c r="K466" i="3"/>
  <c r="K467" i="3"/>
  <c r="K468" i="3"/>
  <c r="K469" i="3"/>
  <c r="K470" i="3"/>
  <c r="K471" i="3"/>
  <c r="K472" i="3"/>
  <c r="K473" i="3"/>
  <c r="K474" i="3"/>
  <c r="K475" i="3"/>
  <c r="K476" i="3"/>
  <c r="K477" i="3"/>
  <c r="K478" i="3"/>
  <c r="K479" i="3"/>
  <c r="K480" i="3"/>
  <c r="K481" i="3"/>
  <c r="K482" i="3"/>
  <c r="K483" i="3"/>
  <c r="K484" i="3"/>
  <c r="K485" i="3"/>
  <c r="K486" i="3"/>
  <c r="K487" i="3"/>
  <c r="K488" i="3"/>
  <c r="K489" i="3"/>
  <c r="K490" i="3"/>
  <c r="K491" i="3"/>
  <c r="K492" i="3"/>
  <c r="K493" i="3"/>
  <c r="K494" i="3"/>
  <c r="K495" i="3"/>
  <c r="K496" i="3"/>
  <c r="K497" i="3"/>
  <c r="K498" i="3"/>
  <c r="K499" i="3"/>
  <c r="K500" i="3"/>
  <c r="K501" i="3"/>
  <c r="K502" i="3"/>
  <c r="K503" i="3"/>
  <c r="K504" i="3"/>
  <c r="K505" i="3"/>
  <c r="K506" i="3"/>
  <c r="K507" i="3"/>
  <c r="K508" i="3"/>
  <c r="K509" i="3"/>
  <c r="K510" i="3"/>
  <c r="K511" i="3"/>
  <c r="K512" i="3"/>
  <c r="K513" i="3"/>
  <c r="K514" i="3"/>
  <c r="K515" i="3"/>
  <c r="K516" i="3"/>
  <c r="K517" i="3"/>
  <c r="K518" i="3"/>
  <c r="K519" i="3"/>
  <c r="K520" i="3"/>
  <c r="K521" i="3"/>
  <c r="K522" i="3"/>
  <c r="K523" i="3"/>
  <c r="K524" i="3"/>
  <c r="K525" i="3"/>
  <c r="K526" i="3"/>
  <c r="K527" i="3"/>
  <c r="K528" i="3"/>
  <c r="K529" i="3"/>
  <c r="K530" i="3"/>
  <c r="K531" i="3"/>
  <c r="K532" i="3"/>
  <c r="K533" i="3"/>
  <c r="K534" i="3"/>
  <c r="K535" i="3"/>
  <c r="K536" i="3"/>
  <c r="K537" i="3"/>
  <c r="K538" i="3"/>
  <c r="K539" i="3"/>
  <c r="K540" i="3"/>
  <c r="K541" i="3"/>
  <c r="K542" i="3"/>
  <c r="K543" i="3"/>
  <c r="K544" i="3"/>
  <c r="K545" i="3"/>
  <c r="K546" i="3"/>
  <c r="K547" i="3"/>
  <c r="K548" i="3"/>
  <c r="K549" i="3"/>
  <c r="K550" i="3"/>
  <c r="K551" i="3"/>
  <c r="K552" i="3"/>
  <c r="K553" i="3"/>
  <c r="K554" i="3"/>
  <c r="K555" i="3"/>
  <c r="K556" i="3"/>
  <c r="K557" i="3"/>
  <c r="K558" i="3"/>
  <c r="K559" i="3"/>
  <c r="K560" i="3"/>
  <c r="K561" i="3"/>
  <c r="K562" i="3"/>
  <c r="K563" i="3"/>
  <c r="K564" i="3"/>
  <c r="K565" i="3"/>
  <c r="K566" i="3"/>
  <c r="K567" i="3"/>
  <c r="K568" i="3"/>
  <c r="K569" i="3"/>
  <c r="K570" i="3"/>
  <c r="K571" i="3"/>
  <c r="K572" i="3"/>
  <c r="K573" i="3"/>
  <c r="K574" i="3"/>
  <c r="K575" i="3"/>
  <c r="K576" i="3"/>
  <c r="K577" i="3"/>
  <c r="K578" i="3"/>
  <c r="K579" i="3"/>
  <c r="K580" i="3"/>
  <c r="K581" i="3"/>
  <c r="K582" i="3"/>
  <c r="K583" i="3"/>
  <c r="K584" i="3"/>
  <c r="K585" i="3"/>
  <c r="K586" i="3"/>
  <c r="K587" i="3"/>
  <c r="K588" i="3"/>
  <c r="K589" i="3"/>
  <c r="K590" i="3"/>
  <c r="K591" i="3"/>
  <c r="K592" i="3"/>
  <c r="K593" i="3"/>
  <c r="K594" i="3"/>
  <c r="K595" i="3"/>
  <c r="K596" i="3"/>
  <c r="K597" i="3"/>
  <c r="K598" i="3"/>
  <c r="K599" i="3"/>
  <c r="K600" i="3"/>
  <c r="K601" i="3"/>
  <c r="K602" i="3"/>
  <c r="K603" i="3"/>
  <c r="K604" i="3"/>
  <c r="K605" i="3"/>
  <c r="K606" i="3"/>
  <c r="K607" i="3"/>
  <c r="K608" i="3"/>
  <c r="K609" i="3"/>
  <c r="K610" i="3"/>
  <c r="K611" i="3"/>
  <c r="K612" i="3"/>
  <c r="K613" i="3"/>
  <c r="K614" i="3"/>
  <c r="K615" i="3"/>
  <c r="K616" i="3"/>
  <c r="K617" i="3"/>
  <c r="K618" i="3"/>
  <c r="K619" i="3"/>
  <c r="K620" i="3"/>
  <c r="K621" i="3"/>
  <c r="K622" i="3"/>
  <c r="K623" i="3"/>
  <c r="K624" i="3"/>
  <c r="K625" i="3"/>
  <c r="K626" i="3"/>
  <c r="K627" i="3"/>
  <c r="K628" i="3"/>
  <c r="K629" i="3"/>
  <c r="K630" i="3"/>
  <c r="K631" i="3"/>
  <c r="K632" i="3"/>
  <c r="K633" i="3"/>
  <c r="K634" i="3"/>
  <c r="K635" i="3"/>
  <c r="K636" i="3"/>
  <c r="K637" i="3"/>
  <c r="K638" i="3"/>
  <c r="K639" i="3"/>
  <c r="K640" i="3"/>
  <c r="K641" i="3"/>
  <c r="K642" i="3"/>
  <c r="K643" i="3"/>
  <c r="K644" i="3"/>
  <c r="K645" i="3"/>
  <c r="K646" i="3"/>
  <c r="K647" i="3"/>
  <c r="K648" i="3"/>
  <c r="K649" i="3"/>
  <c r="K650" i="3"/>
  <c r="K651" i="3"/>
  <c r="K652" i="3"/>
  <c r="K653" i="3"/>
  <c r="K654" i="3"/>
  <c r="K655" i="3"/>
  <c r="K656" i="3"/>
  <c r="K657" i="3"/>
  <c r="K658" i="3"/>
  <c r="K659" i="3"/>
  <c r="K660" i="3"/>
  <c r="K661" i="3"/>
  <c r="K662" i="3"/>
  <c r="K663" i="3"/>
  <c r="K664" i="3"/>
  <c r="K665" i="3"/>
  <c r="K666" i="3"/>
  <c r="K667" i="3"/>
  <c r="K668" i="3"/>
  <c r="K669" i="3"/>
  <c r="K670" i="3"/>
  <c r="K671" i="3"/>
  <c r="K672" i="3"/>
  <c r="K673" i="3"/>
  <c r="K674" i="3"/>
  <c r="K675" i="3"/>
  <c r="K676" i="3"/>
  <c r="K677" i="3"/>
  <c r="K678" i="3"/>
  <c r="K679" i="3"/>
  <c r="K680" i="3"/>
  <c r="K681" i="3"/>
  <c r="K682" i="3"/>
  <c r="K683" i="3"/>
  <c r="K684" i="3"/>
  <c r="K685" i="3"/>
  <c r="K686" i="3"/>
  <c r="K687" i="3"/>
  <c r="K688" i="3"/>
  <c r="K689" i="3"/>
  <c r="K690" i="3"/>
  <c r="K691" i="3"/>
  <c r="K692" i="3"/>
  <c r="K693" i="3"/>
  <c r="K694" i="3"/>
  <c r="K695" i="3"/>
  <c r="K696" i="3"/>
  <c r="K697" i="3"/>
  <c r="K698" i="3"/>
  <c r="K699" i="3"/>
  <c r="K700" i="3"/>
  <c r="K701" i="3"/>
  <c r="K702" i="3"/>
  <c r="K703" i="3"/>
  <c r="K704" i="3"/>
  <c r="K705" i="3"/>
  <c r="K706" i="3"/>
  <c r="K707" i="3"/>
  <c r="K708" i="3"/>
  <c r="K709" i="3"/>
  <c r="K710" i="3"/>
  <c r="K711" i="3"/>
  <c r="K712" i="3"/>
  <c r="K713" i="3"/>
  <c r="K714" i="3"/>
  <c r="K715" i="3"/>
  <c r="K716" i="3"/>
  <c r="K717" i="3"/>
  <c r="K718" i="3"/>
  <c r="K719" i="3"/>
  <c r="K720" i="3"/>
  <c r="K721" i="3"/>
  <c r="K722" i="3"/>
  <c r="K723" i="3"/>
  <c r="K724" i="3"/>
  <c r="K725" i="3"/>
  <c r="K726" i="3"/>
  <c r="K727" i="3"/>
  <c r="K728" i="3"/>
  <c r="K729" i="3"/>
  <c r="K730" i="3"/>
  <c r="K731" i="3"/>
  <c r="K732" i="3"/>
  <c r="K733" i="3"/>
  <c r="K734" i="3"/>
  <c r="K735" i="3"/>
  <c r="K736" i="3"/>
  <c r="K737" i="3"/>
  <c r="K738" i="3"/>
  <c r="K739" i="3"/>
  <c r="K740" i="3"/>
  <c r="K741" i="3"/>
  <c r="K742" i="3"/>
  <c r="K743" i="3"/>
  <c r="K744" i="3"/>
  <c r="K745" i="3"/>
  <c r="K746" i="3"/>
  <c r="K747" i="3"/>
  <c r="K748" i="3"/>
  <c r="K749" i="3"/>
  <c r="K750" i="3"/>
  <c r="K751" i="3"/>
  <c r="K752" i="3"/>
  <c r="K753" i="3"/>
  <c r="K754" i="3"/>
  <c r="K755" i="3"/>
  <c r="K756" i="3"/>
  <c r="K757" i="3"/>
  <c r="K758" i="3"/>
  <c r="K759" i="3"/>
  <c r="K760" i="3"/>
  <c r="K761" i="3"/>
  <c r="K762" i="3"/>
  <c r="K763" i="3"/>
  <c r="K764" i="3"/>
  <c r="K765" i="3"/>
  <c r="K766" i="3"/>
  <c r="K767" i="3"/>
  <c r="K768" i="3"/>
  <c r="K769" i="3"/>
  <c r="K770" i="3"/>
  <c r="K771" i="3"/>
  <c r="K772" i="3"/>
  <c r="K773" i="3"/>
  <c r="K774" i="3"/>
  <c r="K775" i="3"/>
  <c r="K776" i="3"/>
  <c r="K777" i="3"/>
  <c r="K778" i="3"/>
  <c r="K779" i="3"/>
  <c r="K780" i="3"/>
  <c r="K781" i="3"/>
  <c r="K782" i="3"/>
  <c r="K783" i="3"/>
  <c r="K784" i="3"/>
  <c r="K785" i="3"/>
  <c r="K786" i="3"/>
  <c r="K787" i="3"/>
  <c r="K788" i="3"/>
  <c r="K789" i="3"/>
  <c r="K790" i="3"/>
  <c r="K791" i="3"/>
  <c r="K792" i="3"/>
  <c r="K793" i="3"/>
  <c r="K794" i="3"/>
  <c r="K795" i="3"/>
  <c r="K796" i="3"/>
  <c r="K797" i="3"/>
  <c r="K798" i="3"/>
  <c r="K799" i="3"/>
  <c r="K800" i="3"/>
  <c r="K801" i="3"/>
  <c r="K802" i="3"/>
  <c r="K803" i="3"/>
  <c r="K804" i="3"/>
  <c r="K805" i="3"/>
  <c r="K806" i="3"/>
  <c r="K807" i="3"/>
  <c r="K808" i="3"/>
  <c r="K809" i="3"/>
  <c r="K810" i="3"/>
  <c r="K811" i="3"/>
  <c r="K812" i="3"/>
  <c r="K813" i="3"/>
  <c r="K814" i="3"/>
  <c r="K815" i="3"/>
  <c r="K816" i="3"/>
  <c r="K817" i="3"/>
  <c r="K818" i="3"/>
  <c r="K819" i="3"/>
  <c r="K820" i="3"/>
  <c r="K821" i="3"/>
  <c r="K822" i="3"/>
  <c r="K823" i="3"/>
  <c r="K824" i="3"/>
  <c r="K825" i="3"/>
  <c r="K826" i="3"/>
  <c r="K827" i="3"/>
  <c r="K828" i="3"/>
  <c r="K829" i="3"/>
  <c r="K830" i="3"/>
  <c r="K831" i="3"/>
  <c r="K832" i="3"/>
  <c r="K833" i="3"/>
  <c r="K834" i="3"/>
  <c r="K835" i="3"/>
  <c r="K836" i="3"/>
  <c r="K837" i="3"/>
  <c r="K838" i="3"/>
  <c r="K839" i="3"/>
  <c r="K840" i="3"/>
  <c r="K841" i="3"/>
  <c r="K842" i="3"/>
  <c r="K843" i="3"/>
  <c r="K844" i="3"/>
  <c r="K845" i="3"/>
  <c r="K846" i="3"/>
  <c r="K847" i="3"/>
  <c r="K848" i="3"/>
  <c r="K849" i="3"/>
  <c r="K850" i="3"/>
  <c r="K851" i="3"/>
  <c r="K852" i="3"/>
  <c r="K853" i="3"/>
  <c r="K854" i="3"/>
  <c r="K855" i="3"/>
  <c r="K856" i="3"/>
  <c r="K857" i="3"/>
  <c r="K858" i="3"/>
  <c r="K859" i="3"/>
  <c r="K860" i="3"/>
  <c r="K861" i="3"/>
  <c r="K862" i="3"/>
  <c r="K863" i="3"/>
  <c r="K864" i="3"/>
  <c r="K865" i="3"/>
  <c r="K866" i="3"/>
  <c r="K867" i="3"/>
  <c r="K868" i="3"/>
  <c r="K869" i="3"/>
  <c r="K870" i="3"/>
  <c r="K871" i="3"/>
  <c r="K872" i="3"/>
  <c r="K873" i="3"/>
  <c r="K874" i="3"/>
  <c r="K875" i="3"/>
  <c r="K876" i="3"/>
  <c r="K877" i="3"/>
  <c r="K878" i="3"/>
  <c r="K879" i="3"/>
  <c r="K880" i="3"/>
  <c r="K881" i="3"/>
  <c r="K882" i="3"/>
  <c r="K883" i="3"/>
  <c r="K884" i="3"/>
  <c r="K885" i="3"/>
  <c r="K886" i="3"/>
  <c r="K887" i="3"/>
  <c r="K888" i="3"/>
  <c r="K889" i="3"/>
  <c r="K890" i="3"/>
  <c r="K891" i="3"/>
  <c r="K892" i="3"/>
  <c r="K893" i="3"/>
  <c r="K894" i="3"/>
  <c r="K895" i="3"/>
  <c r="K896" i="3"/>
  <c r="K897" i="3"/>
  <c r="K898" i="3"/>
  <c r="K899" i="3"/>
  <c r="K900" i="3"/>
  <c r="K901" i="3"/>
  <c r="K902" i="3"/>
  <c r="K903" i="3"/>
  <c r="K904" i="3"/>
  <c r="K905" i="3"/>
  <c r="K906" i="3"/>
  <c r="K907" i="3"/>
  <c r="K908" i="3"/>
  <c r="K909" i="3"/>
  <c r="K910" i="3"/>
  <c r="K911" i="3"/>
  <c r="K912" i="3"/>
  <c r="K913" i="3"/>
  <c r="K914" i="3"/>
  <c r="K915" i="3"/>
  <c r="K916" i="3"/>
  <c r="K917" i="3"/>
  <c r="K918" i="3"/>
  <c r="K919" i="3"/>
  <c r="K920" i="3"/>
  <c r="K921" i="3"/>
  <c r="K922" i="3"/>
  <c r="K923" i="3"/>
  <c r="K924" i="3"/>
  <c r="K925" i="3"/>
  <c r="K926" i="3"/>
  <c r="K927" i="3"/>
  <c r="K928" i="3"/>
  <c r="K929" i="3"/>
  <c r="K930" i="3"/>
  <c r="K931" i="3"/>
  <c r="K932" i="3"/>
  <c r="K933" i="3"/>
  <c r="K934" i="3"/>
  <c r="K935" i="3"/>
  <c r="K936" i="3"/>
  <c r="K937" i="3"/>
  <c r="K938" i="3"/>
  <c r="K939" i="3"/>
  <c r="K940" i="3"/>
  <c r="K941" i="3"/>
  <c r="K942" i="3"/>
  <c r="K943" i="3"/>
  <c r="K944" i="3"/>
  <c r="K945" i="3"/>
  <c r="K946" i="3"/>
  <c r="K947" i="3"/>
  <c r="K948" i="3"/>
  <c r="K949" i="3"/>
  <c r="K950" i="3"/>
  <c r="K951" i="3"/>
  <c r="K952" i="3"/>
  <c r="K953" i="3"/>
  <c r="K954" i="3"/>
  <c r="K955" i="3"/>
  <c r="K956" i="3"/>
  <c r="K957" i="3"/>
  <c r="K958" i="3"/>
  <c r="K959" i="3"/>
  <c r="K960" i="3"/>
  <c r="K961" i="3"/>
  <c r="K962" i="3"/>
  <c r="K963" i="3"/>
  <c r="K964" i="3"/>
  <c r="K965" i="3"/>
  <c r="K966" i="3"/>
  <c r="K967" i="3"/>
  <c r="K968" i="3"/>
  <c r="K969" i="3"/>
  <c r="K970" i="3"/>
  <c r="K971" i="3"/>
  <c r="K972" i="3"/>
  <c r="K973" i="3"/>
  <c r="K974" i="3"/>
  <c r="K975" i="3"/>
  <c r="K976" i="3"/>
  <c r="K977" i="3"/>
  <c r="K978" i="3"/>
  <c r="K979" i="3"/>
  <c r="K980" i="3"/>
  <c r="K981" i="3"/>
  <c r="K982" i="3"/>
  <c r="K983" i="3"/>
  <c r="K984" i="3"/>
  <c r="K985" i="3"/>
  <c r="K986" i="3"/>
  <c r="K987" i="3"/>
  <c r="K988" i="3"/>
  <c r="K989" i="3"/>
  <c r="K990" i="3"/>
  <c r="K991" i="3"/>
  <c r="K992" i="3"/>
  <c r="K993" i="3"/>
  <c r="K994" i="3"/>
  <c r="K995" i="3"/>
  <c r="K996" i="3"/>
  <c r="K997" i="3"/>
  <c r="K998" i="3"/>
  <c r="K999" i="3"/>
  <c r="K1000" i="3"/>
  <c r="K1001" i="3"/>
  <c r="K1002" i="3"/>
  <c r="K1003" i="3"/>
  <c r="K1004" i="3"/>
  <c r="K1005" i="3"/>
  <c r="K1006" i="3"/>
  <c r="K1007" i="3"/>
  <c r="K1008" i="3"/>
  <c r="K1009" i="3"/>
  <c r="K1010" i="3"/>
  <c r="K1011" i="3"/>
  <c r="K1012" i="3"/>
  <c r="K1013" i="3"/>
  <c r="K1014" i="3"/>
  <c r="K1015" i="3"/>
  <c r="K1016" i="3"/>
  <c r="K1017" i="3"/>
  <c r="K1018" i="3"/>
  <c r="K1019" i="3"/>
  <c r="K1020" i="3"/>
  <c r="K1021" i="3"/>
  <c r="K1022" i="3"/>
  <c r="K1023" i="3"/>
  <c r="K1024" i="3"/>
  <c r="K1025" i="3"/>
  <c r="K1026" i="3"/>
  <c r="K1027" i="3"/>
  <c r="K1028" i="3"/>
  <c r="K1029" i="3"/>
  <c r="K1030" i="3"/>
  <c r="K1031" i="3"/>
  <c r="K1032" i="3"/>
  <c r="K1033" i="3"/>
  <c r="K1034" i="3"/>
  <c r="K1035" i="3"/>
  <c r="K1036" i="3"/>
  <c r="K1037" i="3"/>
  <c r="K1038" i="3"/>
  <c r="K1039" i="3"/>
  <c r="K1040" i="3"/>
  <c r="K1041" i="3"/>
  <c r="K1042" i="3"/>
  <c r="K1043" i="3"/>
  <c r="K1044" i="3"/>
  <c r="K1045" i="3"/>
  <c r="K1046" i="3"/>
  <c r="K1047" i="3"/>
  <c r="K1048" i="3"/>
  <c r="K1049" i="3"/>
  <c r="K1050" i="3"/>
  <c r="K1051" i="3"/>
  <c r="K1052" i="3"/>
  <c r="K1053" i="3"/>
  <c r="K1054" i="3"/>
  <c r="K1055" i="3"/>
  <c r="K1056" i="3"/>
  <c r="K1057" i="3"/>
  <c r="K1058" i="3"/>
  <c r="K1059" i="3"/>
  <c r="K1060" i="3"/>
  <c r="K1061" i="3"/>
  <c r="K1062" i="3"/>
  <c r="K1063" i="3"/>
  <c r="K1064" i="3"/>
  <c r="K1065" i="3"/>
  <c r="K1066" i="3"/>
  <c r="K1067" i="3"/>
  <c r="K1068" i="3"/>
  <c r="K1069" i="3"/>
  <c r="K1070" i="3"/>
  <c r="K1071" i="3"/>
  <c r="K1072" i="3"/>
  <c r="K1073" i="3"/>
  <c r="K1074" i="3"/>
  <c r="K1075" i="3"/>
  <c r="K1076" i="3"/>
  <c r="K1077" i="3"/>
  <c r="K1078" i="3"/>
  <c r="K1079" i="3"/>
  <c r="K1080" i="3"/>
  <c r="K1081" i="3"/>
  <c r="K1082" i="3"/>
  <c r="K1083" i="3"/>
  <c r="K1084" i="3"/>
  <c r="K1085" i="3"/>
  <c r="K1086" i="3"/>
  <c r="K1087" i="3"/>
  <c r="K1088" i="3"/>
  <c r="K1089" i="3"/>
  <c r="K1090" i="3"/>
  <c r="K1091" i="3"/>
  <c r="K1092" i="3"/>
  <c r="K1093" i="3"/>
  <c r="K1094" i="3"/>
  <c r="K1095" i="3"/>
  <c r="K1096" i="3"/>
  <c r="K1097" i="3"/>
  <c r="K1098" i="3"/>
  <c r="K1099" i="3"/>
  <c r="K1100" i="3"/>
  <c r="K1101" i="3"/>
  <c r="K1102" i="3"/>
  <c r="K1103" i="3"/>
  <c r="K1104" i="3"/>
  <c r="K1105" i="3"/>
  <c r="K1106" i="3"/>
  <c r="K1107" i="3"/>
  <c r="K1108" i="3"/>
  <c r="K1109" i="3"/>
  <c r="K1110" i="3"/>
  <c r="K1111" i="3"/>
  <c r="K1112" i="3"/>
  <c r="K1113" i="3"/>
  <c r="K1114" i="3"/>
  <c r="K1115" i="3"/>
  <c r="K1116" i="3"/>
  <c r="K1117" i="3"/>
  <c r="K1118" i="3"/>
  <c r="K1119" i="3"/>
  <c r="K1120" i="3"/>
  <c r="K1121" i="3"/>
  <c r="K1122" i="3"/>
  <c r="K1123" i="3"/>
  <c r="K1124" i="3"/>
  <c r="K1125" i="3"/>
  <c r="K1126" i="3"/>
  <c r="K1127" i="3"/>
  <c r="K1128" i="3"/>
  <c r="K1129" i="3"/>
  <c r="K1130" i="3"/>
  <c r="K1131" i="3"/>
  <c r="K1132" i="3"/>
  <c r="K1133" i="3"/>
  <c r="K1134" i="3"/>
  <c r="K1135" i="3"/>
  <c r="K1136" i="3"/>
  <c r="K1137" i="3"/>
  <c r="K1138" i="3"/>
  <c r="K1139" i="3"/>
  <c r="K1140" i="3"/>
  <c r="K1141" i="3"/>
  <c r="K1142" i="3"/>
  <c r="K1143" i="3"/>
  <c r="K1144" i="3"/>
  <c r="K1145" i="3"/>
  <c r="K1146" i="3"/>
  <c r="K1147" i="3"/>
  <c r="K1148" i="3"/>
  <c r="K1149" i="3"/>
  <c r="K1150" i="3"/>
  <c r="K1151" i="3"/>
  <c r="K1152" i="3"/>
  <c r="K1153" i="3"/>
  <c r="K1154" i="3"/>
  <c r="K1155" i="3"/>
  <c r="K1156" i="3"/>
  <c r="K1157" i="3"/>
  <c r="K1158" i="3"/>
  <c r="K1159" i="3"/>
  <c r="K1160" i="3"/>
  <c r="K1161" i="3"/>
  <c r="K1162" i="3"/>
  <c r="K1163" i="3"/>
  <c r="K1164" i="3"/>
  <c r="K1165" i="3"/>
  <c r="K1166" i="3"/>
  <c r="K1167" i="3"/>
  <c r="K1168" i="3"/>
  <c r="K1169" i="3"/>
  <c r="K1170" i="3"/>
  <c r="K1171" i="3"/>
  <c r="K1172" i="3"/>
  <c r="K1173" i="3"/>
  <c r="K1174" i="3"/>
  <c r="K1175" i="3"/>
  <c r="K1176" i="3"/>
  <c r="K1177" i="3"/>
  <c r="K1178" i="3"/>
  <c r="K1179" i="3"/>
  <c r="K1180" i="3"/>
  <c r="K1181" i="3"/>
  <c r="K1182" i="3"/>
  <c r="K1183" i="3"/>
  <c r="K1184" i="3"/>
  <c r="K1185" i="3"/>
  <c r="K1186" i="3"/>
  <c r="K1187" i="3"/>
  <c r="K1188" i="3"/>
  <c r="K1189" i="3"/>
  <c r="K1190" i="3"/>
  <c r="K1191" i="3"/>
  <c r="K1192" i="3"/>
  <c r="K1193" i="3"/>
  <c r="K1194" i="3"/>
  <c r="K1195" i="3"/>
  <c r="K1196" i="3"/>
  <c r="K1197" i="3"/>
  <c r="K1198" i="3"/>
  <c r="K1199" i="3"/>
  <c r="K1200" i="3"/>
  <c r="K1201" i="3"/>
  <c r="K1202" i="3"/>
  <c r="K1203" i="3"/>
  <c r="K1204" i="3"/>
  <c r="K1205" i="3"/>
  <c r="K1206" i="3"/>
  <c r="K1207" i="3"/>
  <c r="K1208" i="3"/>
  <c r="K1209" i="3"/>
  <c r="K1210" i="3"/>
  <c r="K1211" i="3"/>
  <c r="K1212" i="3"/>
  <c r="K1213" i="3"/>
  <c r="K1214" i="3"/>
  <c r="K1215" i="3"/>
  <c r="K1216" i="3"/>
  <c r="K1217" i="3"/>
  <c r="K1218" i="3"/>
  <c r="K1219" i="3"/>
  <c r="K1220" i="3"/>
  <c r="K1221" i="3"/>
  <c r="K1222" i="3"/>
  <c r="K1223" i="3"/>
  <c r="K1224" i="3"/>
  <c r="K1225" i="3"/>
  <c r="K1226" i="3"/>
  <c r="K1227" i="3"/>
  <c r="K1228" i="3"/>
  <c r="K1229" i="3"/>
  <c r="K1230" i="3"/>
  <c r="K1231" i="3"/>
  <c r="K1232" i="3"/>
  <c r="K1233" i="3"/>
  <c r="K1234" i="3"/>
  <c r="K1235" i="3"/>
  <c r="K1236" i="3"/>
  <c r="K1237" i="3"/>
  <c r="K1238" i="3"/>
  <c r="K1239" i="3"/>
  <c r="K1240" i="3"/>
  <c r="K1241" i="3"/>
  <c r="K1242" i="3"/>
  <c r="K1243" i="3"/>
  <c r="K1244" i="3"/>
  <c r="K1245" i="3"/>
  <c r="K1246" i="3"/>
  <c r="K1247" i="3"/>
  <c r="K1248" i="3"/>
  <c r="K1249" i="3"/>
  <c r="K1250" i="3"/>
  <c r="K1251" i="3"/>
  <c r="K1252" i="3"/>
  <c r="K1253" i="3"/>
  <c r="K1254" i="3"/>
  <c r="K1255" i="3"/>
  <c r="K1256" i="3"/>
  <c r="K1257" i="3"/>
  <c r="K1258" i="3"/>
  <c r="K1259" i="3"/>
  <c r="K1260" i="3"/>
  <c r="K1261" i="3"/>
  <c r="K1262" i="3"/>
  <c r="K1263" i="3"/>
  <c r="K1264" i="3"/>
  <c r="K1265" i="3"/>
  <c r="K1266" i="3"/>
  <c r="K1267" i="3"/>
  <c r="K1268" i="3"/>
  <c r="K1269" i="3"/>
  <c r="K1270" i="3"/>
  <c r="K1271" i="3"/>
  <c r="K1272" i="3"/>
  <c r="K1273" i="3"/>
  <c r="K1274" i="3"/>
  <c r="K1275" i="3"/>
  <c r="K1276" i="3"/>
  <c r="K1277" i="3"/>
  <c r="K1278" i="3"/>
  <c r="K1279" i="3"/>
  <c r="K1280" i="3"/>
  <c r="K1281" i="3"/>
  <c r="K1282" i="3"/>
  <c r="K1283" i="3"/>
  <c r="K1284" i="3"/>
  <c r="K1285" i="3"/>
  <c r="K1286" i="3"/>
  <c r="K1287" i="3"/>
  <c r="K1288" i="3"/>
  <c r="K1289" i="3"/>
  <c r="K1290" i="3"/>
  <c r="K1291" i="3"/>
  <c r="K1292" i="3"/>
  <c r="K1293" i="3"/>
  <c r="K1294" i="3"/>
  <c r="K1295" i="3"/>
  <c r="K1296" i="3"/>
  <c r="K1297" i="3"/>
  <c r="K1298" i="3"/>
  <c r="K1299" i="3"/>
  <c r="K1300" i="3"/>
  <c r="K1301" i="3"/>
  <c r="K1302" i="3"/>
  <c r="K1303" i="3"/>
  <c r="K1304" i="3"/>
  <c r="K1305" i="3"/>
  <c r="K1306" i="3"/>
  <c r="K1307" i="3"/>
  <c r="K1308" i="3"/>
  <c r="K1309" i="3"/>
  <c r="K1310" i="3"/>
  <c r="K1311" i="3"/>
  <c r="K1312" i="3"/>
  <c r="K1313" i="3"/>
  <c r="K1314" i="3"/>
  <c r="K1315" i="3"/>
  <c r="K1316" i="3"/>
  <c r="K1317" i="3"/>
  <c r="K1318" i="3"/>
  <c r="K1319" i="3"/>
  <c r="K1320" i="3"/>
  <c r="K1321" i="3"/>
  <c r="K1322" i="3"/>
  <c r="K1323" i="3"/>
  <c r="K1324" i="3"/>
  <c r="K1325" i="3"/>
  <c r="K1326" i="3"/>
  <c r="K1327" i="3"/>
  <c r="K1328" i="3"/>
  <c r="K1329" i="3"/>
  <c r="K1330" i="3"/>
  <c r="K1331" i="3"/>
  <c r="K1332" i="3"/>
  <c r="K1333" i="3"/>
  <c r="K1334" i="3"/>
  <c r="K1335" i="3"/>
  <c r="K1336" i="3"/>
  <c r="K1337" i="3"/>
  <c r="K1338" i="3"/>
  <c r="K1339" i="3"/>
  <c r="K1340" i="3"/>
  <c r="K1341" i="3"/>
  <c r="K1342" i="3"/>
  <c r="K1343" i="3"/>
  <c r="K1344" i="3"/>
  <c r="K1345" i="3"/>
  <c r="K1346" i="3"/>
  <c r="K1347" i="3"/>
  <c r="K1348" i="3"/>
  <c r="K1349" i="3"/>
  <c r="K1350" i="3"/>
  <c r="K1351" i="3"/>
  <c r="K1352" i="3"/>
  <c r="K1353" i="3"/>
  <c r="K1354" i="3"/>
  <c r="K1355" i="3"/>
  <c r="K1356" i="3"/>
  <c r="K1357" i="3"/>
  <c r="K1358" i="3"/>
  <c r="K1359" i="3"/>
  <c r="K1360" i="3"/>
  <c r="K1361" i="3"/>
  <c r="K1362" i="3"/>
  <c r="K1363" i="3"/>
  <c r="K1364" i="3"/>
  <c r="K1365" i="3"/>
  <c r="K1366" i="3"/>
  <c r="K1367" i="3"/>
  <c r="K1368" i="3"/>
  <c r="K1369" i="3"/>
  <c r="K1370" i="3"/>
  <c r="K1371" i="3"/>
  <c r="K1372" i="3"/>
  <c r="K1373" i="3"/>
  <c r="K1374" i="3"/>
  <c r="K1375" i="3"/>
  <c r="K1376" i="3"/>
  <c r="K1377" i="3"/>
  <c r="K1378" i="3"/>
  <c r="K1379" i="3"/>
  <c r="K1380" i="3"/>
  <c r="K1381" i="3"/>
  <c r="K1382" i="3"/>
  <c r="K1383" i="3"/>
  <c r="K1384" i="3"/>
  <c r="K1385" i="3"/>
  <c r="K1386" i="3"/>
  <c r="K1387" i="3"/>
  <c r="K1388" i="3"/>
  <c r="K1389" i="3"/>
  <c r="K1390" i="3"/>
  <c r="K1391" i="3"/>
  <c r="K1392" i="3"/>
  <c r="K1393" i="3"/>
  <c r="K1394" i="3"/>
  <c r="K1395" i="3"/>
  <c r="K1396" i="3"/>
  <c r="K1397" i="3"/>
  <c r="K1398" i="3"/>
  <c r="K1399" i="3"/>
  <c r="K1400" i="3"/>
  <c r="K1401" i="3"/>
  <c r="K1402" i="3"/>
  <c r="K1403" i="3"/>
  <c r="K1404" i="3"/>
  <c r="K1405" i="3"/>
  <c r="K1406" i="3"/>
  <c r="K1407" i="3"/>
  <c r="K1408" i="3"/>
  <c r="K1409" i="3"/>
  <c r="K1410" i="3"/>
  <c r="K1411" i="3"/>
  <c r="K1412" i="3"/>
  <c r="K1413" i="3"/>
  <c r="K1414" i="3"/>
  <c r="K1415" i="3"/>
  <c r="K1416" i="3"/>
  <c r="K1417" i="3"/>
  <c r="K1418" i="3"/>
  <c r="K1419" i="3"/>
  <c r="K1420" i="3"/>
  <c r="K1421" i="3"/>
  <c r="K1422" i="3"/>
  <c r="K1423" i="3"/>
  <c r="K1424" i="3"/>
  <c r="K1425" i="3"/>
  <c r="K1426" i="3"/>
  <c r="K1427" i="3"/>
  <c r="K1428" i="3"/>
  <c r="K1429" i="3"/>
  <c r="K1430" i="3"/>
  <c r="K1431" i="3"/>
  <c r="K1432" i="3"/>
  <c r="K1433" i="3"/>
  <c r="K1434" i="3"/>
  <c r="K1435" i="3"/>
  <c r="K1436" i="3"/>
  <c r="K1437" i="3"/>
  <c r="K1438" i="3"/>
  <c r="K1439" i="3"/>
  <c r="K1440" i="3"/>
  <c r="K1441" i="3"/>
  <c r="K1442" i="3"/>
  <c r="K1443" i="3"/>
  <c r="K1444" i="3"/>
  <c r="K1445" i="3"/>
  <c r="K1446" i="3"/>
  <c r="K1447" i="3"/>
  <c r="K1448" i="3"/>
  <c r="K1449" i="3"/>
  <c r="K1450" i="3"/>
  <c r="K1451" i="3"/>
  <c r="K1452" i="3"/>
  <c r="K1453" i="3"/>
  <c r="K1454" i="3"/>
  <c r="K1455" i="3"/>
  <c r="K1456" i="3"/>
  <c r="K1457" i="3"/>
  <c r="K1458" i="3"/>
  <c r="K1459" i="3"/>
  <c r="K1460" i="3"/>
  <c r="K1461" i="3"/>
  <c r="K1462" i="3"/>
  <c r="K1463" i="3"/>
  <c r="K1464" i="3"/>
  <c r="K1465" i="3"/>
  <c r="K1466" i="3"/>
  <c r="K1467" i="3"/>
  <c r="K1468" i="3"/>
  <c r="K1469" i="3"/>
  <c r="K1470" i="3"/>
  <c r="K1471" i="3"/>
  <c r="K1472" i="3"/>
  <c r="K1473" i="3"/>
  <c r="K1474" i="3"/>
  <c r="K1475" i="3"/>
  <c r="K1476" i="3"/>
  <c r="K1477" i="3"/>
  <c r="K1478" i="3"/>
  <c r="K1479" i="3"/>
  <c r="K1480" i="3"/>
  <c r="K1481" i="3"/>
  <c r="K1482" i="3"/>
  <c r="K1483" i="3"/>
  <c r="K1484" i="3"/>
  <c r="K1485" i="3"/>
  <c r="K1486" i="3"/>
  <c r="K1487" i="3"/>
  <c r="K1488" i="3"/>
  <c r="K1489" i="3"/>
  <c r="K1490" i="3"/>
  <c r="K1491" i="3"/>
  <c r="K1492" i="3"/>
  <c r="K1493" i="3"/>
  <c r="K1494" i="3"/>
  <c r="K1495" i="3"/>
  <c r="K1496" i="3"/>
  <c r="K1497" i="3"/>
  <c r="K1498" i="3"/>
  <c r="K1499" i="3"/>
  <c r="K1500" i="3"/>
  <c r="K1501" i="3"/>
  <c r="K1502" i="3"/>
  <c r="K1503" i="3"/>
  <c r="K1504" i="3"/>
  <c r="K1505" i="3"/>
  <c r="K1506" i="3"/>
  <c r="K1507" i="3"/>
  <c r="K1508" i="3"/>
  <c r="K1509" i="3"/>
  <c r="K1510" i="3"/>
  <c r="K1511" i="3"/>
  <c r="K1512" i="3"/>
  <c r="K1513" i="3"/>
  <c r="K1514" i="3"/>
  <c r="K1515" i="3"/>
  <c r="K1516" i="3"/>
  <c r="K1517" i="3"/>
  <c r="K1518" i="3"/>
  <c r="K1519" i="3"/>
  <c r="K1520" i="3"/>
  <c r="K1521" i="3"/>
  <c r="K1522" i="3"/>
  <c r="K1523" i="3"/>
  <c r="K1524" i="3"/>
  <c r="K1525" i="3"/>
  <c r="K1526" i="3"/>
  <c r="K1527" i="3"/>
  <c r="K1528" i="3"/>
  <c r="K1529" i="3"/>
  <c r="K1530" i="3"/>
  <c r="K1531" i="3"/>
  <c r="K1532" i="3"/>
  <c r="K1533" i="3"/>
  <c r="K1534" i="3"/>
  <c r="K1535" i="3"/>
  <c r="K1536" i="3"/>
  <c r="K1537" i="3"/>
  <c r="K1538" i="3"/>
  <c r="K1539" i="3"/>
  <c r="K1540" i="3"/>
  <c r="K1541" i="3"/>
  <c r="K1542" i="3"/>
  <c r="K1543" i="3"/>
  <c r="K1544" i="3"/>
  <c r="K1545" i="3"/>
  <c r="K1546" i="3"/>
  <c r="K1547" i="3"/>
  <c r="K1548" i="3"/>
  <c r="K1549" i="3"/>
  <c r="K1550" i="3"/>
  <c r="K1551" i="3"/>
  <c r="K1552" i="3"/>
  <c r="K1553" i="3"/>
  <c r="K1554" i="3"/>
  <c r="K1555" i="3"/>
  <c r="K1556" i="3"/>
  <c r="K1557" i="3"/>
  <c r="K1558" i="3"/>
  <c r="K1559" i="3"/>
  <c r="K1560" i="3"/>
  <c r="K1561" i="3"/>
  <c r="K1562" i="3"/>
  <c r="K1563" i="3"/>
  <c r="K1564" i="3"/>
  <c r="K1565" i="3"/>
  <c r="K1566" i="3"/>
  <c r="K1567" i="3"/>
  <c r="K1568" i="3"/>
  <c r="K1569" i="3"/>
  <c r="K1570" i="3"/>
  <c r="K1571" i="3"/>
  <c r="K1572" i="3"/>
  <c r="K1573" i="3"/>
  <c r="K1574" i="3"/>
  <c r="K1575" i="3"/>
  <c r="K1576" i="3"/>
  <c r="K1577" i="3"/>
  <c r="K1578" i="3"/>
  <c r="K1579" i="3"/>
  <c r="K1580" i="3"/>
  <c r="K1581" i="3"/>
  <c r="K1582" i="3"/>
  <c r="K1583" i="3"/>
  <c r="K1584" i="3"/>
  <c r="K1585" i="3"/>
  <c r="K1586" i="3"/>
  <c r="K1587" i="3"/>
  <c r="K1588" i="3"/>
  <c r="K1589" i="3"/>
  <c r="K1590" i="3"/>
  <c r="K1591" i="3"/>
  <c r="K1592" i="3"/>
  <c r="K1593" i="3"/>
  <c r="K1594" i="3"/>
  <c r="K1595" i="3"/>
  <c r="K1596" i="3"/>
  <c r="K1597" i="3"/>
  <c r="K1598" i="3"/>
  <c r="K1599" i="3"/>
  <c r="K1600" i="3"/>
  <c r="K1601" i="3"/>
  <c r="K1602" i="3"/>
  <c r="K1603" i="3"/>
  <c r="K1604" i="3"/>
  <c r="K1605" i="3"/>
  <c r="K1606" i="3"/>
  <c r="K1607" i="3"/>
  <c r="K1608" i="3"/>
  <c r="K1609" i="3"/>
  <c r="K1610" i="3"/>
  <c r="K1611" i="3"/>
  <c r="K1612" i="3"/>
  <c r="K1613" i="3"/>
  <c r="K1614" i="3"/>
  <c r="K1615" i="3"/>
  <c r="K1616" i="3"/>
  <c r="K1617" i="3"/>
  <c r="K1618" i="3"/>
  <c r="K1619" i="3"/>
  <c r="K1620" i="3"/>
  <c r="K1621" i="3"/>
  <c r="K1622" i="3"/>
  <c r="K1623" i="3"/>
  <c r="K1624" i="3"/>
  <c r="K1625" i="3"/>
  <c r="K1626" i="3"/>
  <c r="K1627" i="3"/>
  <c r="K1628" i="3"/>
  <c r="K1629" i="3"/>
  <c r="K1630" i="3"/>
  <c r="K1631" i="3"/>
  <c r="K1632" i="3"/>
  <c r="K1633" i="3"/>
  <c r="K1634" i="3"/>
  <c r="K1635" i="3"/>
  <c r="K1636" i="3"/>
  <c r="K1637" i="3"/>
  <c r="K1638" i="3"/>
  <c r="K1639" i="3"/>
  <c r="K1640" i="3"/>
  <c r="K1641" i="3"/>
  <c r="K1642" i="3"/>
  <c r="K1643" i="3"/>
  <c r="K1644" i="3"/>
  <c r="K1645" i="3"/>
  <c r="K1646" i="3"/>
  <c r="K1647" i="3"/>
  <c r="K1648" i="3"/>
  <c r="K1649" i="3"/>
  <c r="K1650" i="3"/>
  <c r="K1651" i="3"/>
  <c r="K1652" i="3"/>
  <c r="K1653" i="3"/>
  <c r="K1654" i="3"/>
  <c r="K1655" i="3"/>
  <c r="K1656" i="3"/>
  <c r="K1657" i="3"/>
  <c r="K1658" i="3"/>
  <c r="K1659" i="3"/>
  <c r="K1660" i="3"/>
  <c r="K1661" i="3"/>
  <c r="K1662" i="3"/>
  <c r="K1663" i="3"/>
  <c r="K1664" i="3"/>
  <c r="K1665" i="3"/>
  <c r="K1666" i="3"/>
  <c r="K1667" i="3"/>
  <c r="K1668" i="3"/>
  <c r="K1669" i="3"/>
  <c r="K1670" i="3"/>
  <c r="K1671" i="3"/>
  <c r="K1672" i="3"/>
  <c r="K1673" i="3"/>
  <c r="K1674" i="3"/>
  <c r="K1675" i="3"/>
  <c r="K1676" i="3"/>
  <c r="K1677" i="3"/>
  <c r="K1678" i="3"/>
  <c r="K1679" i="3"/>
  <c r="K1680" i="3"/>
  <c r="K1681" i="3"/>
  <c r="K1682" i="3"/>
  <c r="K1683" i="3"/>
  <c r="K1684" i="3"/>
  <c r="K1685" i="3"/>
  <c r="K1686" i="3"/>
  <c r="K1687" i="3"/>
  <c r="K1688" i="3"/>
  <c r="K1689" i="3"/>
  <c r="K1690" i="3"/>
  <c r="K1691" i="3"/>
  <c r="K1692" i="3"/>
  <c r="K1693" i="3"/>
  <c r="K1694" i="3"/>
  <c r="K1695" i="3"/>
  <c r="K1696" i="3"/>
  <c r="K1697" i="3"/>
  <c r="K1698" i="3"/>
  <c r="K1699" i="3"/>
  <c r="K1700" i="3"/>
  <c r="K1701" i="3"/>
  <c r="K1702" i="3"/>
  <c r="K1703" i="3"/>
  <c r="K2" i="3"/>
  <c r="V25" i="3"/>
  <c r="X12" i="3"/>
  <c r="X14" i="3" s="1"/>
  <c r="X16" i="3" s="1"/>
  <c r="V12" i="3"/>
  <c r="V13" i="3"/>
  <c r="V3" i="3"/>
  <c r="V2" i="3"/>
  <c r="W4" i="3"/>
  <c r="W6" i="3" s="1"/>
  <c r="V4" i="3"/>
  <c r="X2" i="3"/>
  <c r="X4" i="3" s="1"/>
  <c r="X6" i="3" s="1"/>
  <c r="D1708" i="3"/>
  <c r="D1707" i="3"/>
  <c r="R1714" i="3"/>
  <c r="R1713" i="3"/>
  <c r="S4" i="3"/>
  <c r="S5" i="3"/>
  <c r="S6" i="3"/>
  <c r="S7" i="3"/>
  <c r="S8" i="3"/>
  <c r="S9" i="3"/>
  <c r="S10" i="3"/>
  <c r="S11" i="3"/>
  <c r="S12" i="3"/>
  <c r="S13" i="3"/>
  <c r="S14" i="3"/>
  <c r="S15" i="3"/>
  <c r="S16" i="3"/>
  <c r="S17" i="3"/>
  <c r="S18" i="3"/>
  <c r="S19" i="3"/>
  <c r="S20" i="3"/>
  <c r="S21" i="3"/>
  <c r="S22" i="3"/>
  <c r="S23" i="3"/>
  <c r="S24" i="3"/>
  <c r="S25" i="3"/>
  <c r="S26" i="3"/>
  <c r="S27" i="3"/>
  <c r="S28" i="3"/>
  <c r="S29" i="3"/>
  <c r="S30" i="3"/>
  <c r="S31" i="3"/>
  <c r="S32" i="3"/>
  <c r="S33" i="3"/>
  <c r="S34" i="3"/>
  <c r="S35" i="3"/>
  <c r="S36" i="3"/>
  <c r="S37" i="3"/>
  <c r="S38" i="3"/>
  <c r="S39" i="3"/>
  <c r="S40" i="3"/>
  <c r="S41" i="3"/>
  <c r="S42" i="3"/>
  <c r="S43" i="3"/>
  <c r="S44" i="3"/>
  <c r="S45" i="3"/>
  <c r="S46" i="3"/>
  <c r="S47" i="3"/>
  <c r="S48" i="3"/>
  <c r="S49" i="3"/>
  <c r="S50" i="3"/>
  <c r="S51" i="3"/>
  <c r="S52" i="3"/>
  <c r="S53" i="3"/>
  <c r="S54" i="3"/>
  <c r="S55" i="3"/>
  <c r="S56" i="3"/>
  <c r="S57" i="3"/>
  <c r="S58" i="3"/>
  <c r="S59" i="3"/>
  <c r="S60" i="3"/>
  <c r="S61" i="3"/>
  <c r="S62" i="3"/>
  <c r="S63" i="3"/>
  <c r="S64" i="3"/>
  <c r="S65" i="3"/>
  <c r="S66" i="3"/>
  <c r="S67" i="3"/>
  <c r="S68" i="3"/>
  <c r="S69" i="3"/>
  <c r="S70" i="3"/>
  <c r="S71" i="3"/>
  <c r="S72" i="3"/>
  <c r="S73" i="3"/>
  <c r="S74" i="3"/>
  <c r="S75" i="3"/>
  <c r="S76" i="3"/>
  <c r="S77" i="3"/>
  <c r="S78" i="3"/>
  <c r="S79" i="3"/>
  <c r="S80" i="3"/>
  <c r="S81" i="3"/>
  <c r="S82" i="3"/>
  <c r="S83" i="3"/>
  <c r="S84" i="3"/>
  <c r="S85" i="3"/>
  <c r="S86" i="3"/>
  <c r="S87" i="3"/>
  <c r="S88" i="3"/>
  <c r="S89" i="3"/>
  <c r="S90" i="3"/>
  <c r="S91" i="3"/>
  <c r="S92" i="3"/>
  <c r="S93" i="3"/>
  <c r="S94" i="3"/>
  <c r="S95" i="3"/>
  <c r="S96" i="3"/>
  <c r="S97" i="3"/>
  <c r="S98" i="3"/>
  <c r="S99" i="3"/>
  <c r="S100" i="3"/>
  <c r="S101" i="3"/>
  <c r="S102" i="3"/>
  <c r="S103" i="3"/>
  <c r="S104" i="3"/>
  <c r="S105" i="3"/>
  <c r="S106" i="3"/>
  <c r="S107" i="3"/>
  <c r="S108" i="3"/>
  <c r="S109" i="3"/>
  <c r="S110" i="3"/>
  <c r="S111" i="3"/>
  <c r="S112" i="3"/>
  <c r="S113" i="3"/>
  <c r="S114" i="3"/>
  <c r="S115" i="3"/>
  <c r="S116" i="3"/>
  <c r="S117" i="3"/>
  <c r="S118" i="3"/>
  <c r="S119" i="3"/>
  <c r="S120" i="3"/>
  <c r="S121" i="3"/>
  <c r="S122" i="3"/>
  <c r="S123" i="3"/>
  <c r="S124" i="3"/>
  <c r="S125" i="3"/>
  <c r="S126" i="3"/>
  <c r="S127" i="3"/>
  <c r="S128" i="3"/>
  <c r="S129" i="3"/>
  <c r="S130" i="3"/>
  <c r="S131" i="3"/>
  <c r="S132" i="3"/>
  <c r="S133" i="3"/>
  <c r="S134" i="3"/>
  <c r="S135" i="3"/>
  <c r="S136" i="3"/>
  <c r="S137" i="3"/>
  <c r="S138" i="3"/>
  <c r="S139" i="3"/>
  <c r="S140" i="3"/>
  <c r="S141" i="3"/>
  <c r="S142" i="3"/>
  <c r="S143" i="3"/>
  <c r="S144" i="3"/>
  <c r="S145" i="3"/>
  <c r="S146" i="3"/>
  <c r="S147" i="3"/>
  <c r="S148" i="3"/>
  <c r="S149" i="3"/>
  <c r="S150" i="3"/>
  <c r="S151" i="3"/>
  <c r="S152" i="3"/>
  <c r="S153" i="3"/>
  <c r="S154" i="3"/>
  <c r="S155" i="3"/>
  <c r="S156" i="3"/>
  <c r="S157" i="3"/>
  <c r="S158" i="3"/>
  <c r="S159" i="3"/>
  <c r="S160" i="3"/>
  <c r="S161" i="3"/>
  <c r="S162" i="3"/>
  <c r="S163" i="3"/>
  <c r="S164" i="3"/>
  <c r="S165" i="3"/>
  <c r="S166" i="3"/>
  <c r="S167" i="3"/>
  <c r="S168" i="3"/>
  <c r="S169" i="3"/>
  <c r="S170" i="3"/>
  <c r="S171" i="3"/>
  <c r="S172" i="3"/>
  <c r="S173" i="3"/>
  <c r="S174" i="3"/>
  <c r="S175" i="3"/>
  <c r="S176" i="3"/>
  <c r="S177" i="3"/>
  <c r="S178" i="3"/>
  <c r="S179" i="3"/>
  <c r="S180" i="3"/>
  <c r="S181" i="3"/>
  <c r="S182" i="3"/>
  <c r="S183" i="3"/>
  <c r="S184" i="3"/>
  <c r="S185" i="3"/>
  <c r="S186" i="3"/>
  <c r="S187" i="3"/>
  <c r="S188" i="3"/>
  <c r="S189" i="3"/>
  <c r="S190" i="3"/>
  <c r="S191" i="3"/>
  <c r="S192" i="3"/>
  <c r="S193" i="3"/>
  <c r="S194" i="3"/>
  <c r="S195" i="3"/>
  <c r="S196" i="3"/>
  <c r="S197" i="3"/>
  <c r="S198" i="3"/>
  <c r="S199" i="3"/>
  <c r="S200" i="3"/>
  <c r="S201" i="3"/>
  <c r="S202" i="3"/>
  <c r="S203" i="3"/>
  <c r="S204" i="3"/>
  <c r="S205" i="3"/>
  <c r="S206" i="3"/>
  <c r="S207" i="3"/>
  <c r="S208" i="3"/>
  <c r="S209" i="3"/>
  <c r="S210" i="3"/>
  <c r="S211" i="3"/>
  <c r="S212" i="3"/>
  <c r="S213" i="3"/>
  <c r="S214" i="3"/>
  <c r="S215" i="3"/>
  <c r="S216" i="3"/>
  <c r="S217" i="3"/>
  <c r="S218" i="3"/>
  <c r="S219" i="3"/>
  <c r="S220" i="3"/>
  <c r="S221" i="3"/>
  <c r="S222" i="3"/>
  <c r="S223" i="3"/>
  <c r="S224" i="3"/>
  <c r="S225" i="3"/>
  <c r="S226" i="3"/>
  <c r="S227" i="3"/>
  <c r="S228" i="3"/>
  <c r="S229" i="3"/>
  <c r="S230" i="3"/>
  <c r="S231" i="3"/>
  <c r="S232" i="3"/>
  <c r="S233" i="3"/>
  <c r="S234" i="3"/>
  <c r="S235" i="3"/>
  <c r="S236" i="3"/>
  <c r="S237" i="3"/>
  <c r="S238" i="3"/>
  <c r="S239" i="3"/>
  <c r="S240" i="3"/>
  <c r="S241" i="3"/>
  <c r="S242" i="3"/>
  <c r="S243" i="3"/>
  <c r="S244" i="3"/>
  <c r="S245" i="3"/>
  <c r="S246" i="3"/>
  <c r="S247" i="3"/>
  <c r="S248" i="3"/>
  <c r="S249" i="3"/>
  <c r="S250" i="3"/>
  <c r="S251" i="3"/>
  <c r="S252" i="3"/>
  <c r="S253" i="3"/>
  <c r="S254" i="3"/>
  <c r="S255" i="3"/>
  <c r="S256" i="3"/>
  <c r="S257" i="3"/>
  <c r="S258" i="3"/>
  <c r="S259" i="3"/>
  <c r="S260" i="3"/>
  <c r="S261" i="3"/>
  <c r="S262" i="3"/>
  <c r="S263" i="3"/>
  <c r="S264" i="3"/>
  <c r="S265" i="3"/>
  <c r="S266" i="3"/>
  <c r="S267" i="3"/>
  <c r="S268" i="3"/>
  <c r="S269" i="3"/>
  <c r="S270" i="3"/>
  <c r="S271" i="3"/>
  <c r="S272" i="3"/>
  <c r="S273" i="3"/>
  <c r="S274" i="3"/>
  <c r="S275" i="3"/>
  <c r="S276" i="3"/>
  <c r="S277" i="3"/>
  <c r="S278" i="3"/>
  <c r="S279" i="3"/>
  <c r="S280" i="3"/>
  <c r="S281" i="3"/>
  <c r="S282" i="3"/>
  <c r="S283" i="3"/>
  <c r="S284" i="3"/>
  <c r="S285" i="3"/>
  <c r="S286" i="3"/>
  <c r="S287" i="3"/>
  <c r="S288" i="3"/>
  <c r="S289" i="3"/>
  <c r="S290" i="3"/>
  <c r="S291" i="3"/>
  <c r="S292" i="3"/>
  <c r="S293" i="3"/>
  <c r="S294" i="3"/>
  <c r="S295" i="3"/>
  <c r="S296" i="3"/>
  <c r="S297" i="3"/>
  <c r="S298" i="3"/>
  <c r="S299" i="3"/>
  <c r="S300" i="3"/>
  <c r="S301" i="3"/>
  <c r="S302" i="3"/>
  <c r="S303" i="3"/>
  <c r="S304" i="3"/>
  <c r="S305" i="3"/>
  <c r="S306" i="3"/>
  <c r="S307" i="3"/>
  <c r="S308" i="3"/>
  <c r="S309" i="3"/>
  <c r="S310" i="3"/>
  <c r="S311" i="3"/>
  <c r="S312" i="3"/>
  <c r="S313" i="3"/>
  <c r="S314" i="3"/>
  <c r="S315" i="3"/>
  <c r="S316" i="3"/>
  <c r="S317" i="3"/>
  <c r="S318" i="3"/>
  <c r="S319" i="3"/>
  <c r="S320" i="3"/>
  <c r="S321" i="3"/>
  <c r="S322" i="3"/>
  <c r="S323" i="3"/>
  <c r="S324" i="3"/>
  <c r="S325" i="3"/>
  <c r="S326" i="3"/>
  <c r="S327" i="3"/>
  <c r="S328" i="3"/>
  <c r="S329" i="3"/>
  <c r="S330" i="3"/>
  <c r="S331" i="3"/>
  <c r="S332" i="3"/>
  <c r="S333" i="3"/>
  <c r="S334" i="3"/>
  <c r="S335" i="3"/>
  <c r="S336" i="3"/>
  <c r="S337" i="3"/>
  <c r="S338" i="3"/>
  <c r="S339" i="3"/>
  <c r="S340" i="3"/>
  <c r="S341" i="3"/>
  <c r="S342" i="3"/>
  <c r="S343" i="3"/>
  <c r="S344" i="3"/>
  <c r="S345" i="3"/>
  <c r="S346" i="3"/>
  <c r="S347" i="3"/>
  <c r="S348" i="3"/>
  <c r="S349" i="3"/>
  <c r="S350" i="3"/>
  <c r="S351" i="3"/>
  <c r="S352" i="3"/>
  <c r="S353" i="3"/>
  <c r="S354" i="3"/>
  <c r="S355" i="3"/>
  <c r="S356" i="3"/>
  <c r="S357" i="3"/>
  <c r="S358" i="3"/>
  <c r="S359" i="3"/>
  <c r="S360" i="3"/>
  <c r="S361" i="3"/>
  <c r="S362" i="3"/>
  <c r="S363" i="3"/>
  <c r="S364" i="3"/>
  <c r="S365" i="3"/>
  <c r="S366" i="3"/>
  <c r="S367" i="3"/>
  <c r="S368" i="3"/>
  <c r="S369" i="3"/>
  <c r="S370" i="3"/>
  <c r="S371" i="3"/>
  <c r="S372" i="3"/>
  <c r="S373" i="3"/>
  <c r="S374" i="3"/>
  <c r="S375" i="3"/>
  <c r="S376" i="3"/>
  <c r="S377" i="3"/>
  <c r="S378" i="3"/>
  <c r="S379" i="3"/>
  <c r="S380" i="3"/>
  <c r="S381" i="3"/>
  <c r="S382" i="3"/>
  <c r="S383" i="3"/>
  <c r="S384" i="3"/>
  <c r="S385" i="3"/>
  <c r="S386" i="3"/>
  <c r="S387" i="3"/>
  <c r="S388" i="3"/>
  <c r="S389" i="3"/>
  <c r="S390" i="3"/>
  <c r="S391" i="3"/>
  <c r="S392" i="3"/>
  <c r="S393" i="3"/>
  <c r="S394" i="3"/>
  <c r="S395" i="3"/>
  <c r="S396" i="3"/>
  <c r="S397" i="3"/>
  <c r="S398" i="3"/>
  <c r="S399" i="3"/>
  <c r="S400" i="3"/>
  <c r="S401" i="3"/>
  <c r="S402" i="3"/>
  <c r="S403" i="3"/>
  <c r="S404" i="3"/>
  <c r="S405" i="3"/>
  <c r="S406" i="3"/>
  <c r="S407" i="3"/>
  <c r="S408" i="3"/>
  <c r="S409" i="3"/>
  <c r="S410" i="3"/>
  <c r="S411" i="3"/>
  <c r="S412" i="3"/>
  <c r="S413" i="3"/>
  <c r="S414" i="3"/>
  <c r="S415" i="3"/>
  <c r="S416" i="3"/>
  <c r="S417" i="3"/>
  <c r="S418" i="3"/>
  <c r="S419" i="3"/>
  <c r="S420" i="3"/>
  <c r="S421" i="3"/>
  <c r="S422" i="3"/>
  <c r="S423" i="3"/>
  <c r="S424" i="3"/>
  <c r="S425" i="3"/>
  <c r="S426" i="3"/>
  <c r="S427" i="3"/>
  <c r="S428" i="3"/>
  <c r="S429" i="3"/>
  <c r="S430" i="3"/>
  <c r="S431" i="3"/>
  <c r="S432" i="3"/>
  <c r="S433" i="3"/>
  <c r="S434" i="3"/>
  <c r="S435" i="3"/>
  <c r="S436" i="3"/>
  <c r="S437" i="3"/>
  <c r="S438" i="3"/>
  <c r="S439" i="3"/>
  <c r="S440" i="3"/>
  <c r="S441" i="3"/>
  <c r="S442" i="3"/>
  <c r="S443" i="3"/>
  <c r="S444" i="3"/>
  <c r="S445" i="3"/>
  <c r="S446" i="3"/>
  <c r="S447" i="3"/>
  <c r="S448" i="3"/>
  <c r="S449" i="3"/>
  <c r="S450" i="3"/>
  <c r="S451" i="3"/>
  <c r="S452" i="3"/>
  <c r="S453" i="3"/>
  <c r="S454" i="3"/>
  <c r="S455" i="3"/>
  <c r="S456" i="3"/>
  <c r="S457" i="3"/>
  <c r="S458" i="3"/>
  <c r="S459" i="3"/>
  <c r="S460" i="3"/>
  <c r="S461" i="3"/>
  <c r="S462" i="3"/>
  <c r="S463" i="3"/>
  <c r="S464" i="3"/>
  <c r="S465" i="3"/>
  <c r="S466" i="3"/>
  <c r="S467" i="3"/>
  <c r="S468" i="3"/>
  <c r="S469" i="3"/>
  <c r="S470" i="3"/>
  <c r="S471" i="3"/>
  <c r="S472" i="3"/>
  <c r="S473" i="3"/>
  <c r="S474" i="3"/>
  <c r="S475" i="3"/>
  <c r="S476" i="3"/>
  <c r="S477" i="3"/>
  <c r="S478" i="3"/>
  <c r="S479" i="3"/>
  <c r="S480" i="3"/>
  <c r="S481" i="3"/>
  <c r="S482" i="3"/>
  <c r="S483" i="3"/>
  <c r="S484" i="3"/>
  <c r="S485" i="3"/>
  <c r="S486" i="3"/>
  <c r="S487" i="3"/>
  <c r="S488" i="3"/>
  <c r="S489" i="3"/>
  <c r="S490" i="3"/>
  <c r="S491" i="3"/>
  <c r="S492" i="3"/>
  <c r="S493" i="3"/>
  <c r="S494" i="3"/>
  <c r="S495" i="3"/>
  <c r="S496" i="3"/>
  <c r="S497" i="3"/>
  <c r="S498" i="3"/>
  <c r="S499" i="3"/>
  <c r="S500" i="3"/>
  <c r="S501" i="3"/>
  <c r="S502" i="3"/>
  <c r="S503" i="3"/>
  <c r="S504" i="3"/>
  <c r="S505" i="3"/>
  <c r="S506" i="3"/>
  <c r="S507" i="3"/>
  <c r="S508" i="3"/>
  <c r="S509" i="3"/>
  <c r="S510" i="3"/>
  <c r="S511" i="3"/>
  <c r="S512" i="3"/>
  <c r="S513" i="3"/>
  <c r="S514" i="3"/>
  <c r="S515" i="3"/>
  <c r="S516" i="3"/>
  <c r="S517" i="3"/>
  <c r="S518" i="3"/>
  <c r="S519" i="3"/>
  <c r="S520" i="3"/>
  <c r="S521" i="3"/>
  <c r="S522" i="3"/>
  <c r="S523" i="3"/>
  <c r="S524" i="3"/>
  <c r="S525" i="3"/>
  <c r="S526" i="3"/>
  <c r="S527" i="3"/>
  <c r="S528" i="3"/>
  <c r="S529" i="3"/>
  <c r="S530" i="3"/>
  <c r="S531" i="3"/>
  <c r="S532" i="3"/>
  <c r="S533" i="3"/>
  <c r="S534" i="3"/>
  <c r="S535" i="3"/>
  <c r="S536" i="3"/>
  <c r="S537" i="3"/>
  <c r="S538" i="3"/>
  <c r="S539" i="3"/>
  <c r="S540" i="3"/>
  <c r="S541" i="3"/>
  <c r="S542" i="3"/>
  <c r="S543" i="3"/>
  <c r="S544" i="3"/>
  <c r="S545" i="3"/>
  <c r="S546" i="3"/>
  <c r="S547" i="3"/>
  <c r="S548" i="3"/>
  <c r="S549" i="3"/>
  <c r="S550" i="3"/>
  <c r="S551" i="3"/>
  <c r="S552" i="3"/>
  <c r="S553" i="3"/>
  <c r="S554" i="3"/>
  <c r="S555" i="3"/>
  <c r="S556" i="3"/>
  <c r="S557" i="3"/>
  <c r="S558" i="3"/>
  <c r="S559" i="3"/>
  <c r="S560" i="3"/>
  <c r="S561" i="3"/>
  <c r="S562" i="3"/>
  <c r="S563" i="3"/>
  <c r="S564" i="3"/>
  <c r="S565" i="3"/>
  <c r="S566" i="3"/>
  <c r="S567" i="3"/>
  <c r="S568" i="3"/>
  <c r="S569" i="3"/>
  <c r="S570" i="3"/>
  <c r="S571" i="3"/>
  <c r="S572" i="3"/>
  <c r="S573" i="3"/>
  <c r="S574" i="3"/>
  <c r="S575" i="3"/>
  <c r="S576" i="3"/>
  <c r="S577" i="3"/>
  <c r="S578" i="3"/>
  <c r="S579" i="3"/>
  <c r="S580" i="3"/>
  <c r="S581" i="3"/>
  <c r="S582" i="3"/>
  <c r="S583" i="3"/>
  <c r="S584" i="3"/>
  <c r="S585" i="3"/>
  <c r="S586" i="3"/>
  <c r="S587" i="3"/>
  <c r="S588" i="3"/>
  <c r="S589" i="3"/>
  <c r="S590" i="3"/>
  <c r="S591" i="3"/>
  <c r="S592" i="3"/>
  <c r="S593" i="3"/>
  <c r="S594" i="3"/>
  <c r="S595" i="3"/>
  <c r="S596" i="3"/>
  <c r="S597" i="3"/>
  <c r="S598" i="3"/>
  <c r="S599" i="3"/>
  <c r="S600" i="3"/>
  <c r="S601" i="3"/>
  <c r="S602" i="3"/>
  <c r="S603" i="3"/>
  <c r="S604" i="3"/>
  <c r="S605" i="3"/>
  <c r="S606" i="3"/>
  <c r="S607" i="3"/>
  <c r="S608" i="3"/>
  <c r="S609" i="3"/>
  <c r="S610" i="3"/>
  <c r="S611" i="3"/>
  <c r="S612" i="3"/>
  <c r="S613" i="3"/>
  <c r="S614" i="3"/>
  <c r="S615" i="3"/>
  <c r="S616" i="3"/>
  <c r="S617" i="3"/>
  <c r="S618" i="3"/>
  <c r="S619" i="3"/>
  <c r="S620" i="3"/>
  <c r="S621" i="3"/>
  <c r="S622" i="3"/>
  <c r="S623" i="3"/>
  <c r="S624" i="3"/>
  <c r="S625" i="3"/>
  <c r="S626" i="3"/>
  <c r="S627" i="3"/>
  <c r="S628" i="3"/>
  <c r="S629" i="3"/>
  <c r="S630" i="3"/>
  <c r="S631" i="3"/>
  <c r="S632" i="3"/>
  <c r="S633" i="3"/>
  <c r="S634" i="3"/>
  <c r="S635" i="3"/>
  <c r="S636" i="3"/>
  <c r="S637" i="3"/>
  <c r="S638" i="3"/>
  <c r="S639" i="3"/>
  <c r="S640" i="3"/>
  <c r="S641" i="3"/>
  <c r="S642" i="3"/>
  <c r="S643" i="3"/>
  <c r="S644" i="3"/>
  <c r="S645" i="3"/>
  <c r="S646" i="3"/>
  <c r="S647" i="3"/>
  <c r="S648" i="3"/>
  <c r="S649" i="3"/>
  <c r="S650" i="3"/>
  <c r="S651" i="3"/>
  <c r="S652" i="3"/>
  <c r="S653" i="3"/>
  <c r="S654" i="3"/>
  <c r="S655" i="3"/>
  <c r="S656" i="3"/>
  <c r="S657" i="3"/>
  <c r="S658" i="3"/>
  <c r="S659" i="3"/>
  <c r="S660" i="3"/>
  <c r="S661" i="3"/>
  <c r="S662" i="3"/>
  <c r="S663" i="3"/>
  <c r="S664" i="3"/>
  <c r="S665" i="3"/>
  <c r="S666" i="3"/>
  <c r="S667" i="3"/>
  <c r="S668" i="3"/>
  <c r="S669" i="3"/>
  <c r="S670" i="3"/>
  <c r="S671" i="3"/>
  <c r="S672" i="3"/>
  <c r="S673" i="3"/>
  <c r="S674" i="3"/>
  <c r="S675" i="3"/>
  <c r="S676" i="3"/>
  <c r="S677" i="3"/>
  <c r="S678" i="3"/>
  <c r="S679" i="3"/>
  <c r="S680" i="3"/>
  <c r="S681" i="3"/>
  <c r="S682" i="3"/>
  <c r="S683" i="3"/>
  <c r="S684" i="3"/>
  <c r="S685" i="3"/>
  <c r="S686" i="3"/>
  <c r="S687" i="3"/>
  <c r="S688" i="3"/>
  <c r="S689" i="3"/>
  <c r="S690" i="3"/>
  <c r="S691" i="3"/>
  <c r="S692" i="3"/>
  <c r="S693" i="3"/>
  <c r="S694" i="3"/>
  <c r="S695" i="3"/>
  <c r="S696" i="3"/>
  <c r="S697" i="3"/>
  <c r="S698" i="3"/>
  <c r="S699" i="3"/>
  <c r="S700" i="3"/>
  <c r="S701" i="3"/>
  <c r="S702" i="3"/>
  <c r="S703" i="3"/>
  <c r="S704" i="3"/>
  <c r="S705" i="3"/>
  <c r="S706" i="3"/>
  <c r="S707" i="3"/>
  <c r="S708" i="3"/>
  <c r="S709" i="3"/>
  <c r="S710" i="3"/>
  <c r="S711" i="3"/>
  <c r="S712" i="3"/>
  <c r="S713" i="3"/>
  <c r="S714" i="3"/>
  <c r="S715" i="3"/>
  <c r="S716" i="3"/>
  <c r="S717" i="3"/>
  <c r="S718" i="3"/>
  <c r="S719" i="3"/>
  <c r="S720" i="3"/>
  <c r="S721" i="3"/>
  <c r="S722" i="3"/>
  <c r="S723" i="3"/>
  <c r="S724" i="3"/>
  <c r="S725" i="3"/>
  <c r="S726" i="3"/>
  <c r="S727" i="3"/>
  <c r="S728" i="3"/>
  <c r="S729" i="3"/>
  <c r="S730" i="3"/>
  <c r="S731" i="3"/>
  <c r="S732" i="3"/>
  <c r="S733" i="3"/>
  <c r="S734" i="3"/>
  <c r="S735" i="3"/>
  <c r="S736" i="3"/>
  <c r="S737" i="3"/>
  <c r="S738" i="3"/>
  <c r="S739" i="3"/>
  <c r="S740" i="3"/>
  <c r="S741" i="3"/>
  <c r="S742" i="3"/>
  <c r="S743" i="3"/>
  <c r="S744" i="3"/>
  <c r="S745" i="3"/>
  <c r="S746" i="3"/>
  <c r="S747" i="3"/>
  <c r="S748" i="3"/>
  <c r="S749" i="3"/>
  <c r="S750" i="3"/>
  <c r="S751" i="3"/>
  <c r="S752" i="3"/>
  <c r="S753" i="3"/>
  <c r="S754" i="3"/>
  <c r="S755" i="3"/>
  <c r="S756" i="3"/>
  <c r="S757" i="3"/>
  <c r="S758" i="3"/>
  <c r="S759" i="3"/>
  <c r="S760" i="3"/>
  <c r="S761" i="3"/>
  <c r="S762" i="3"/>
  <c r="S763" i="3"/>
  <c r="S764" i="3"/>
  <c r="S765" i="3"/>
  <c r="S766" i="3"/>
  <c r="S767" i="3"/>
  <c r="S768" i="3"/>
  <c r="S769" i="3"/>
  <c r="S770" i="3"/>
  <c r="S771" i="3"/>
  <c r="S772" i="3"/>
  <c r="S773" i="3"/>
  <c r="S774" i="3"/>
  <c r="S775" i="3"/>
  <c r="S776" i="3"/>
  <c r="S777" i="3"/>
  <c r="S778" i="3"/>
  <c r="S779" i="3"/>
  <c r="S780" i="3"/>
  <c r="S781" i="3"/>
  <c r="S782" i="3"/>
  <c r="S783" i="3"/>
  <c r="S784" i="3"/>
  <c r="S785" i="3"/>
  <c r="S786" i="3"/>
  <c r="S787" i="3"/>
  <c r="S788" i="3"/>
  <c r="S789" i="3"/>
  <c r="S790" i="3"/>
  <c r="S791" i="3"/>
  <c r="S792" i="3"/>
  <c r="S793" i="3"/>
  <c r="S794" i="3"/>
  <c r="S795" i="3"/>
  <c r="S796" i="3"/>
  <c r="S797" i="3"/>
  <c r="S798" i="3"/>
  <c r="S799" i="3"/>
  <c r="S800" i="3"/>
  <c r="S801" i="3"/>
  <c r="S802" i="3"/>
  <c r="S803" i="3"/>
  <c r="S804" i="3"/>
  <c r="S805" i="3"/>
  <c r="S806" i="3"/>
  <c r="S807" i="3"/>
  <c r="S808" i="3"/>
  <c r="S809" i="3"/>
  <c r="S810" i="3"/>
  <c r="S811" i="3"/>
  <c r="S812" i="3"/>
  <c r="S813" i="3"/>
  <c r="S814" i="3"/>
  <c r="S815" i="3"/>
  <c r="S816" i="3"/>
  <c r="S817" i="3"/>
  <c r="S818" i="3"/>
  <c r="S819" i="3"/>
  <c r="S820" i="3"/>
  <c r="S821" i="3"/>
  <c r="S822" i="3"/>
  <c r="S823" i="3"/>
  <c r="S824" i="3"/>
  <c r="S825" i="3"/>
  <c r="S826" i="3"/>
  <c r="S827" i="3"/>
  <c r="S828" i="3"/>
  <c r="S829" i="3"/>
  <c r="S830" i="3"/>
  <c r="S831" i="3"/>
  <c r="S832" i="3"/>
  <c r="S833" i="3"/>
  <c r="S834" i="3"/>
  <c r="S835" i="3"/>
  <c r="S836" i="3"/>
  <c r="S837" i="3"/>
  <c r="S838" i="3"/>
  <c r="S839" i="3"/>
  <c r="S840" i="3"/>
  <c r="S841" i="3"/>
  <c r="S842" i="3"/>
  <c r="S843" i="3"/>
  <c r="S844" i="3"/>
  <c r="S845" i="3"/>
  <c r="S846" i="3"/>
  <c r="S847" i="3"/>
  <c r="S848" i="3"/>
  <c r="S849" i="3"/>
  <c r="S850" i="3"/>
  <c r="S851" i="3"/>
  <c r="S852" i="3"/>
  <c r="S853" i="3"/>
  <c r="S854" i="3"/>
  <c r="S855" i="3"/>
  <c r="S856" i="3"/>
  <c r="S857" i="3"/>
  <c r="S858" i="3"/>
  <c r="S859" i="3"/>
  <c r="S860" i="3"/>
  <c r="S861" i="3"/>
  <c r="S862" i="3"/>
  <c r="S863" i="3"/>
  <c r="S864" i="3"/>
  <c r="S865" i="3"/>
  <c r="S866" i="3"/>
  <c r="S867" i="3"/>
  <c r="S868" i="3"/>
  <c r="S869" i="3"/>
  <c r="S870" i="3"/>
  <c r="S871" i="3"/>
  <c r="S872" i="3"/>
  <c r="S873" i="3"/>
  <c r="S874" i="3"/>
  <c r="S875" i="3"/>
  <c r="S876" i="3"/>
  <c r="S877" i="3"/>
  <c r="S878" i="3"/>
  <c r="S879" i="3"/>
  <c r="S880" i="3"/>
  <c r="S881" i="3"/>
  <c r="S882" i="3"/>
  <c r="S883" i="3"/>
  <c r="S884" i="3"/>
  <c r="S885" i="3"/>
  <c r="S886" i="3"/>
  <c r="S887" i="3"/>
  <c r="S888" i="3"/>
  <c r="S889" i="3"/>
  <c r="S890" i="3"/>
  <c r="S891" i="3"/>
  <c r="S892" i="3"/>
  <c r="S893" i="3"/>
  <c r="S894" i="3"/>
  <c r="S895" i="3"/>
  <c r="S896" i="3"/>
  <c r="S897" i="3"/>
  <c r="S898" i="3"/>
  <c r="S899" i="3"/>
  <c r="S900" i="3"/>
  <c r="S901" i="3"/>
  <c r="S902" i="3"/>
  <c r="S903" i="3"/>
  <c r="S904" i="3"/>
  <c r="S905" i="3"/>
  <c r="S906" i="3"/>
  <c r="S907" i="3"/>
  <c r="S908" i="3"/>
  <c r="S909" i="3"/>
  <c r="S910" i="3"/>
  <c r="S911" i="3"/>
  <c r="S912" i="3"/>
  <c r="S913" i="3"/>
  <c r="S914" i="3"/>
  <c r="S915" i="3"/>
  <c r="S916" i="3"/>
  <c r="S917" i="3"/>
  <c r="S918" i="3"/>
  <c r="S919" i="3"/>
  <c r="S920" i="3"/>
  <c r="S921" i="3"/>
  <c r="S922" i="3"/>
  <c r="S923" i="3"/>
  <c r="S924" i="3"/>
  <c r="S925" i="3"/>
  <c r="S926" i="3"/>
  <c r="S927" i="3"/>
  <c r="S928" i="3"/>
  <c r="S929" i="3"/>
  <c r="S930" i="3"/>
  <c r="S931" i="3"/>
  <c r="S932" i="3"/>
  <c r="S933" i="3"/>
  <c r="S934" i="3"/>
  <c r="S935" i="3"/>
  <c r="S936" i="3"/>
  <c r="S937" i="3"/>
  <c r="S938" i="3"/>
  <c r="S939" i="3"/>
  <c r="S940" i="3"/>
  <c r="S941" i="3"/>
  <c r="S942" i="3"/>
  <c r="S943" i="3"/>
  <c r="S944" i="3"/>
  <c r="S945" i="3"/>
  <c r="S946" i="3"/>
  <c r="S947" i="3"/>
  <c r="S948" i="3"/>
  <c r="S949" i="3"/>
  <c r="S950" i="3"/>
  <c r="S951" i="3"/>
  <c r="S952" i="3"/>
  <c r="S953" i="3"/>
  <c r="S954" i="3"/>
  <c r="S955" i="3"/>
  <c r="S956" i="3"/>
  <c r="S957" i="3"/>
  <c r="S958" i="3"/>
  <c r="S959" i="3"/>
  <c r="S960" i="3"/>
  <c r="S961" i="3"/>
  <c r="S962" i="3"/>
  <c r="S963" i="3"/>
  <c r="S964" i="3"/>
  <c r="S965" i="3"/>
  <c r="S966" i="3"/>
  <c r="S967" i="3"/>
  <c r="S968" i="3"/>
  <c r="S969" i="3"/>
  <c r="S970" i="3"/>
  <c r="S971" i="3"/>
  <c r="S972" i="3"/>
  <c r="S973" i="3"/>
  <c r="S974" i="3"/>
  <c r="S975" i="3"/>
  <c r="S976" i="3"/>
  <c r="S977" i="3"/>
  <c r="S978" i="3"/>
  <c r="S979" i="3"/>
  <c r="S980" i="3"/>
  <c r="S981" i="3"/>
  <c r="S982" i="3"/>
  <c r="S983" i="3"/>
  <c r="S984" i="3"/>
  <c r="S985" i="3"/>
  <c r="S986" i="3"/>
  <c r="S987" i="3"/>
  <c r="S988" i="3"/>
  <c r="S989" i="3"/>
  <c r="S990" i="3"/>
  <c r="S991" i="3"/>
  <c r="S992" i="3"/>
  <c r="S993" i="3"/>
  <c r="S994" i="3"/>
  <c r="S995" i="3"/>
  <c r="S996" i="3"/>
  <c r="S997" i="3"/>
  <c r="S998" i="3"/>
  <c r="S999" i="3"/>
  <c r="S1000" i="3"/>
  <c r="S1001" i="3"/>
  <c r="S1002" i="3"/>
  <c r="S1003" i="3"/>
  <c r="S1004" i="3"/>
  <c r="S1005" i="3"/>
  <c r="S1006" i="3"/>
  <c r="S1007" i="3"/>
  <c r="S1008" i="3"/>
  <c r="S1009" i="3"/>
  <c r="S1010" i="3"/>
  <c r="S1011" i="3"/>
  <c r="S1012" i="3"/>
  <c r="S1013" i="3"/>
  <c r="S1014" i="3"/>
  <c r="S1015" i="3"/>
  <c r="S1016" i="3"/>
  <c r="S1017" i="3"/>
  <c r="S1018" i="3"/>
  <c r="S1019" i="3"/>
  <c r="S1020" i="3"/>
  <c r="S1021" i="3"/>
  <c r="S1022" i="3"/>
  <c r="S1023" i="3"/>
  <c r="S1024" i="3"/>
  <c r="S1025" i="3"/>
  <c r="S1026" i="3"/>
  <c r="S1027" i="3"/>
  <c r="S1028" i="3"/>
  <c r="S1029" i="3"/>
  <c r="S1030" i="3"/>
  <c r="S1031" i="3"/>
  <c r="S1032" i="3"/>
  <c r="S1033" i="3"/>
  <c r="S1034" i="3"/>
  <c r="S1035" i="3"/>
  <c r="S1036" i="3"/>
  <c r="S1037" i="3"/>
  <c r="S1038" i="3"/>
  <c r="S1039" i="3"/>
  <c r="S1040" i="3"/>
  <c r="S1041" i="3"/>
  <c r="S1042" i="3"/>
  <c r="S1043" i="3"/>
  <c r="S1044" i="3"/>
  <c r="S1045" i="3"/>
  <c r="S1046" i="3"/>
  <c r="S1047" i="3"/>
  <c r="S1048" i="3"/>
  <c r="S1049" i="3"/>
  <c r="S1050" i="3"/>
  <c r="S1051" i="3"/>
  <c r="S1052" i="3"/>
  <c r="S1053" i="3"/>
  <c r="S1054" i="3"/>
  <c r="S1055" i="3"/>
  <c r="S1056" i="3"/>
  <c r="S1057" i="3"/>
  <c r="S1058" i="3"/>
  <c r="S1059" i="3"/>
  <c r="S1060" i="3"/>
  <c r="S1061" i="3"/>
  <c r="S1062" i="3"/>
  <c r="S1063" i="3"/>
  <c r="S1064" i="3"/>
  <c r="S1065" i="3"/>
  <c r="S1066" i="3"/>
  <c r="S1067" i="3"/>
  <c r="S1068" i="3"/>
  <c r="S1069" i="3"/>
  <c r="S1070" i="3"/>
  <c r="S1071" i="3"/>
  <c r="S1072" i="3"/>
  <c r="S1073" i="3"/>
  <c r="S1074" i="3"/>
  <c r="S1075" i="3"/>
  <c r="S1076" i="3"/>
  <c r="S1077" i="3"/>
  <c r="S1078" i="3"/>
  <c r="S1079" i="3"/>
  <c r="S1080" i="3"/>
  <c r="S1081" i="3"/>
  <c r="S1082" i="3"/>
  <c r="S1083" i="3"/>
  <c r="S1084" i="3"/>
  <c r="S1085" i="3"/>
  <c r="S1086" i="3"/>
  <c r="S1087" i="3"/>
  <c r="S1088" i="3"/>
  <c r="S1089" i="3"/>
  <c r="S1090" i="3"/>
  <c r="S1091" i="3"/>
  <c r="S1092" i="3"/>
  <c r="S1093" i="3"/>
  <c r="S1094" i="3"/>
  <c r="S1095" i="3"/>
  <c r="S1096" i="3"/>
  <c r="S1097" i="3"/>
  <c r="S1098" i="3"/>
  <c r="S1099" i="3"/>
  <c r="S1100" i="3"/>
  <c r="S1101" i="3"/>
  <c r="S1102" i="3"/>
  <c r="S1103" i="3"/>
  <c r="S1104" i="3"/>
  <c r="S1105" i="3"/>
  <c r="S1106" i="3"/>
  <c r="S1107" i="3"/>
  <c r="S1108" i="3"/>
  <c r="S1109" i="3"/>
  <c r="S1110" i="3"/>
  <c r="S1111" i="3"/>
  <c r="S1112" i="3"/>
  <c r="S1113" i="3"/>
  <c r="S1114" i="3"/>
  <c r="S1115" i="3"/>
  <c r="S1116" i="3"/>
  <c r="S1117" i="3"/>
  <c r="S1118" i="3"/>
  <c r="S1119" i="3"/>
  <c r="S1120" i="3"/>
  <c r="S1121" i="3"/>
  <c r="S1122" i="3"/>
  <c r="S1123" i="3"/>
  <c r="S1124" i="3"/>
  <c r="S1125" i="3"/>
  <c r="S1126" i="3"/>
  <c r="S1127" i="3"/>
  <c r="S1128" i="3"/>
  <c r="S1129" i="3"/>
  <c r="S1130" i="3"/>
  <c r="S1131" i="3"/>
  <c r="S1132" i="3"/>
  <c r="S1133" i="3"/>
  <c r="S1134" i="3"/>
  <c r="S1135" i="3"/>
  <c r="S1136" i="3"/>
  <c r="S1137" i="3"/>
  <c r="S1138" i="3"/>
  <c r="S1139" i="3"/>
  <c r="S1140" i="3"/>
  <c r="S1141" i="3"/>
  <c r="S1142" i="3"/>
  <c r="S1143" i="3"/>
  <c r="S1144" i="3"/>
  <c r="S1145" i="3"/>
  <c r="S1146" i="3"/>
  <c r="S1147" i="3"/>
  <c r="S1148" i="3"/>
  <c r="S1149" i="3"/>
  <c r="S1150" i="3"/>
  <c r="S1151" i="3"/>
  <c r="S1152" i="3"/>
  <c r="S1153" i="3"/>
  <c r="S1154" i="3"/>
  <c r="S1155" i="3"/>
  <c r="S1156" i="3"/>
  <c r="S1157" i="3"/>
  <c r="S1158" i="3"/>
  <c r="S1159" i="3"/>
  <c r="S1160" i="3"/>
  <c r="S1161" i="3"/>
  <c r="S1162" i="3"/>
  <c r="S1163" i="3"/>
  <c r="S1164" i="3"/>
  <c r="S1165" i="3"/>
  <c r="S1166" i="3"/>
  <c r="S1167" i="3"/>
  <c r="S1168" i="3"/>
  <c r="S1169" i="3"/>
  <c r="S1170" i="3"/>
  <c r="S1171" i="3"/>
  <c r="S1172" i="3"/>
  <c r="S1173" i="3"/>
  <c r="S1174" i="3"/>
  <c r="S1175" i="3"/>
  <c r="S1176" i="3"/>
  <c r="S1177" i="3"/>
  <c r="S1178" i="3"/>
  <c r="S1179" i="3"/>
  <c r="S1180" i="3"/>
  <c r="S1181" i="3"/>
  <c r="S1182" i="3"/>
  <c r="S1183" i="3"/>
  <c r="S1184" i="3"/>
  <c r="S1185" i="3"/>
  <c r="S1186" i="3"/>
  <c r="S1187" i="3"/>
  <c r="S1188" i="3"/>
  <c r="S1189" i="3"/>
  <c r="S1190" i="3"/>
  <c r="S1191" i="3"/>
  <c r="S1192" i="3"/>
  <c r="S1193" i="3"/>
  <c r="S1194" i="3"/>
  <c r="S1195" i="3"/>
  <c r="S1196" i="3"/>
  <c r="S1197" i="3"/>
  <c r="S1198" i="3"/>
  <c r="S1199" i="3"/>
  <c r="S1200" i="3"/>
  <c r="S1201" i="3"/>
  <c r="S1202" i="3"/>
  <c r="S1203" i="3"/>
  <c r="S1204" i="3"/>
  <c r="S1205" i="3"/>
  <c r="S1206" i="3"/>
  <c r="S1207" i="3"/>
  <c r="S1208" i="3"/>
  <c r="S1209" i="3"/>
  <c r="S1210" i="3"/>
  <c r="S1211" i="3"/>
  <c r="S1212" i="3"/>
  <c r="S1213" i="3"/>
  <c r="S1214" i="3"/>
  <c r="S1215" i="3"/>
  <c r="S1216" i="3"/>
  <c r="S1217" i="3"/>
  <c r="S1218" i="3"/>
  <c r="S1219" i="3"/>
  <c r="S1220" i="3"/>
  <c r="S1221" i="3"/>
  <c r="S1222" i="3"/>
  <c r="S1223" i="3"/>
  <c r="S1224" i="3"/>
  <c r="S1225" i="3"/>
  <c r="S1226" i="3"/>
  <c r="S1227" i="3"/>
  <c r="S1228" i="3"/>
  <c r="S1229" i="3"/>
  <c r="S1230" i="3"/>
  <c r="S1231" i="3"/>
  <c r="S1232" i="3"/>
  <c r="S1233" i="3"/>
  <c r="S1234" i="3"/>
  <c r="S1235" i="3"/>
  <c r="S1236" i="3"/>
  <c r="S1237" i="3"/>
  <c r="S1238" i="3"/>
  <c r="S1239" i="3"/>
  <c r="S1240" i="3"/>
  <c r="S1241" i="3"/>
  <c r="S1242" i="3"/>
  <c r="S1243" i="3"/>
  <c r="S1244" i="3"/>
  <c r="S1245" i="3"/>
  <c r="S1246" i="3"/>
  <c r="S1247" i="3"/>
  <c r="S1248" i="3"/>
  <c r="S1249" i="3"/>
  <c r="S1250" i="3"/>
  <c r="S1251" i="3"/>
  <c r="S1252" i="3"/>
  <c r="S1253" i="3"/>
  <c r="S1254" i="3"/>
  <c r="S1255" i="3"/>
  <c r="S1256" i="3"/>
  <c r="S1257" i="3"/>
  <c r="S1258" i="3"/>
  <c r="S1259" i="3"/>
  <c r="S1260" i="3"/>
  <c r="S1261" i="3"/>
  <c r="S1262" i="3"/>
  <c r="S1263" i="3"/>
  <c r="S1264" i="3"/>
  <c r="S1265" i="3"/>
  <c r="S1266" i="3"/>
  <c r="S1267" i="3"/>
  <c r="S1268" i="3"/>
  <c r="S1269" i="3"/>
  <c r="S1270" i="3"/>
  <c r="S1271" i="3"/>
  <c r="S1272" i="3"/>
  <c r="S1273" i="3"/>
  <c r="S1274" i="3"/>
  <c r="S1275" i="3"/>
  <c r="S1276" i="3"/>
  <c r="S1277" i="3"/>
  <c r="S1278" i="3"/>
  <c r="S1279" i="3"/>
  <c r="S1280" i="3"/>
  <c r="S1281" i="3"/>
  <c r="S1282" i="3"/>
  <c r="S1283" i="3"/>
  <c r="S1284" i="3"/>
  <c r="S1285" i="3"/>
  <c r="S1286" i="3"/>
  <c r="S1287" i="3"/>
  <c r="S1288" i="3"/>
  <c r="S1289" i="3"/>
  <c r="S1290" i="3"/>
  <c r="S1291" i="3"/>
  <c r="S1292" i="3"/>
  <c r="S1293" i="3"/>
  <c r="S1294" i="3"/>
  <c r="S1295" i="3"/>
  <c r="S1296" i="3"/>
  <c r="S1297" i="3"/>
  <c r="S1298" i="3"/>
  <c r="S1299" i="3"/>
  <c r="S1300" i="3"/>
  <c r="S1301" i="3"/>
  <c r="S1302" i="3"/>
  <c r="S1303" i="3"/>
  <c r="S1304" i="3"/>
  <c r="S1305" i="3"/>
  <c r="S1306" i="3"/>
  <c r="S1307" i="3"/>
  <c r="S1308" i="3"/>
  <c r="S1309" i="3"/>
  <c r="S1310" i="3"/>
  <c r="S1311" i="3"/>
  <c r="S1312" i="3"/>
  <c r="S1313" i="3"/>
  <c r="S1314" i="3"/>
  <c r="S1315" i="3"/>
  <c r="S1316" i="3"/>
  <c r="S1317" i="3"/>
  <c r="S1318" i="3"/>
  <c r="S1319" i="3"/>
  <c r="S1320" i="3"/>
  <c r="S1321" i="3"/>
  <c r="S1322" i="3"/>
  <c r="S1323" i="3"/>
  <c r="S1324" i="3"/>
  <c r="S1325" i="3"/>
  <c r="S1326" i="3"/>
  <c r="S1327" i="3"/>
  <c r="S1328" i="3"/>
  <c r="S1329" i="3"/>
  <c r="S1330" i="3"/>
  <c r="S1331" i="3"/>
  <c r="S1332" i="3"/>
  <c r="S1333" i="3"/>
  <c r="S1334" i="3"/>
  <c r="S1335" i="3"/>
  <c r="S1336" i="3"/>
  <c r="S1337" i="3"/>
  <c r="S1338" i="3"/>
  <c r="S1339" i="3"/>
  <c r="S1340" i="3"/>
  <c r="S1341" i="3"/>
  <c r="S1342" i="3"/>
  <c r="S1343" i="3"/>
  <c r="S1344" i="3"/>
  <c r="S1345" i="3"/>
  <c r="S1346" i="3"/>
  <c r="S1347" i="3"/>
  <c r="S1348" i="3"/>
  <c r="S1349" i="3"/>
  <c r="S1350" i="3"/>
  <c r="S1351" i="3"/>
  <c r="S1352" i="3"/>
  <c r="S1353" i="3"/>
  <c r="S1354" i="3"/>
  <c r="S1355" i="3"/>
  <c r="S1356" i="3"/>
  <c r="S1357" i="3"/>
  <c r="S1358" i="3"/>
  <c r="S1359" i="3"/>
  <c r="S1360" i="3"/>
  <c r="S1361" i="3"/>
  <c r="S1362" i="3"/>
  <c r="S1363" i="3"/>
  <c r="S1364" i="3"/>
  <c r="S1365" i="3"/>
  <c r="S1366" i="3"/>
  <c r="S1367" i="3"/>
  <c r="S1368" i="3"/>
  <c r="S1369" i="3"/>
  <c r="S1370" i="3"/>
  <c r="S1371" i="3"/>
  <c r="S1372" i="3"/>
  <c r="S1373" i="3"/>
  <c r="S1374" i="3"/>
  <c r="S1375" i="3"/>
  <c r="S1376" i="3"/>
  <c r="S1377" i="3"/>
  <c r="S1378" i="3"/>
  <c r="S1379" i="3"/>
  <c r="S1380" i="3"/>
  <c r="S1381" i="3"/>
  <c r="S1382" i="3"/>
  <c r="S1383" i="3"/>
  <c r="S1384" i="3"/>
  <c r="S1385" i="3"/>
  <c r="S1386" i="3"/>
  <c r="S1387" i="3"/>
  <c r="S1388" i="3"/>
  <c r="S1389" i="3"/>
  <c r="S1390" i="3"/>
  <c r="S1391" i="3"/>
  <c r="S1392" i="3"/>
  <c r="S1393" i="3"/>
  <c r="S1394" i="3"/>
  <c r="S1395" i="3"/>
  <c r="S1396" i="3"/>
  <c r="S1397" i="3"/>
  <c r="S1398" i="3"/>
  <c r="S1399" i="3"/>
  <c r="S1400" i="3"/>
  <c r="S1401" i="3"/>
  <c r="S1402" i="3"/>
  <c r="S1403" i="3"/>
  <c r="S1404" i="3"/>
  <c r="S1405" i="3"/>
  <c r="S1406" i="3"/>
  <c r="S1407" i="3"/>
  <c r="S1408" i="3"/>
  <c r="S1409" i="3"/>
  <c r="S1410" i="3"/>
  <c r="S1411" i="3"/>
  <c r="S1412" i="3"/>
  <c r="S1413" i="3"/>
  <c r="S1414" i="3"/>
  <c r="S1415" i="3"/>
  <c r="S1416" i="3"/>
  <c r="S1417" i="3"/>
  <c r="S1418" i="3"/>
  <c r="S1419" i="3"/>
  <c r="S1420" i="3"/>
  <c r="S1421" i="3"/>
  <c r="S1422" i="3"/>
  <c r="S1423" i="3"/>
  <c r="S1424" i="3"/>
  <c r="S1425" i="3"/>
  <c r="S1426" i="3"/>
  <c r="S1427" i="3"/>
  <c r="S1428" i="3"/>
  <c r="S1429" i="3"/>
  <c r="S1430" i="3"/>
  <c r="S1431" i="3"/>
  <c r="S1432" i="3"/>
  <c r="S1433" i="3"/>
  <c r="S1434" i="3"/>
  <c r="S1435" i="3"/>
  <c r="S1436" i="3"/>
  <c r="S1437" i="3"/>
  <c r="S1438" i="3"/>
  <c r="S1439" i="3"/>
  <c r="S1440" i="3"/>
  <c r="S1441" i="3"/>
  <c r="S1442" i="3"/>
  <c r="S1443" i="3"/>
  <c r="S1444" i="3"/>
  <c r="S1445" i="3"/>
  <c r="S1446" i="3"/>
  <c r="S1447" i="3"/>
  <c r="S1448" i="3"/>
  <c r="S1449" i="3"/>
  <c r="S1450" i="3"/>
  <c r="S1451" i="3"/>
  <c r="S1452" i="3"/>
  <c r="S1453" i="3"/>
  <c r="S1454" i="3"/>
  <c r="S1455" i="3"/>
  <c r="S1456" i="3"/>
  <c r="S1457" i="3"/>
  <c r="S1458" i="3"/>
  <c r="S1459" i="3"/>
  <c r="S1460" i="3"/>
  <c r="S1461" i="3"/>
  <c r="S1462" i="3"/>
  <c r="S1463" i="3"/>
  <c r="S1464" i="3"/>
  <c r="S1465" i="3"/>
  <c r="S1466" i="3"/>
  <c r="S1467" i="3"/>
  <c r="S1468" i="3"/>
  <c r="S1469" i="3"/>
  <c r="S1470" i="3"/>
  <c r="S1471" i="3"/>
  <c r="S1472" i="3"/>
  <c r="S1473" i="3"/>
  <c r="S1474" i="3"/>
  <c r="S1475" i="3"/>
  <c r="S1476" i="3"/>
  <c r="S1477" i="3"/>
  <c r="S1478" i="3"/>
  <c r="S1479" i="3"/>
  <c r="S1480" i="3"/>
  <c r="S1481" i="3"/>
  <c r="S1482" i="3"/>
  <c r="S1483" i="3"/>
  <c r="S1484" i="3"/>
  <c r="S1485" i="3"/>
  <c r="S1486" i="3"/>
  <c r="S1487" i="3"/>
  <c r="S1488" i="3"/>
  <c r="S1489" i="3"/>
  <c r="S1490" i="3"/>
  <c r="S1491" i="3"/>
  <c r="S1492" i="3"/>
  <c r="S1493" i="3"/>
  <c r="S1494" i="3"/>
  <c r="S1495" i="3"/>
  <c r="S1496" i="3"/>
  <c r="S1497" i="3"/>
  <c r="S1498" i="3"/>
  <c r="S1499" i="3"/>
  <c r="S1500" i="3"/>
  <c r="S1501" i="3"/>
  <c r="S1502" i="3"/>
  <c r="S1503" i="3"/>
  <c r="S1504" i="3"/>
  <c r="S1505" i="3"/>
  <c r="S1506" i="3"/>
  <c r="S1507" i="3"/>
  <c r="S1508" i="3"/>
  <c r="S1509" i="3"/>
  <c r="S1510" i="3"/>
  <c r="S1511" i="3"/>
  <c r="S1512" i="3"/>
  <c r="S1513" i="3"/>
  <c r="S1514" i="3"/>
  <c r="S1515" i="3"/>
  <c r="S1516" i="3"/>
  <c r="S1517" i="3"/>
  <c r="S1518" i="3"/>
  <c r="S1519" i="3"/>
  <c r="S1520" i="3"/>
  <c r="S1521" i="3"/>
  <c r="S1522" i="3"/>
  <c r="S1523" i="3"/>
  <c r="S1524" i="3"/>
  <c r="S1525" i="3"/>
  <c r="S1526" i="3"/>
  <c r="S1527" i="3"/>
  <c r="S1528" i="3"/>
  <c r="S1529" i="3"/>
  <c r="S1530" i="3"/>
  <c r="S1531" i="3"/>
  <c r="S1532" i="3"/>
  <c r="S1533" i="3"/>
  <c r="S1534" i="3"/>
  <c r="S1535" i="3"/>
  <c r="S1536" i="3"/>
  <c r="S1537" i="3"/>
  <c r="S1538" i="3"/>
  <c r="S1539" i="3"/>
  <c r="S1540" i="3"/>
  <c r="S1541" i="3"/>
  <c r="S1542" i="3"/>
  <c r="S1543" i="3"/>
  <c r="S1544" i="3"/>
  <c r="S1545" i="3"/>
  <c r="S1546" i="3"/>
  <c r="S1547" i="3"/>
  <c r="S1548" i="3"/>
  <c r="S1549" i="3"/>
  <c r="S1550" i="3"/>
  <c r="S1551" i="3"/>
  <c r="S1552" i="3"/>
  <c r="S1553" i="3"/>
  <c r="S1554" i="3"/>
  <c r="S1555" i="3"/>
  <c r="S1556" i="3"/>
  <c r="S1557" i="3"/>
  <c r="S1558" i="3"/>
  <c r="S1559" i="3"/>
  <c r="S1560" i="3"/>
  <c r="S1561" i="3"/>
  <c r="S1562" i="3"/>
  <c r="S1563" i="3"/>
  <c r="S1564" i="3"/>
  <c r="S1565" i="3"/>
  <c r="S1566" i="3"/>
  <c r="S1567" i="3"/>
  <c r="S1568" i="3"/>
  <c r="S1569" i="3"/>
  <c r="S1570" i="3"/>
  <c r="S1571" i="3"/>
  <c r="S1572" i="3"/>
  <c r="S1573" i="3"/>
  <c r="S1574" i="3"/>
  <c r="S1575" i="3"/>
  <c r="S1576" i="3"/>
  <c r="S1577" i="3"/>
  <c r="S1578" i="3"/>
  <c r="S1579" i="3"/>
  <c r="S1580" i="3"/>
  <c r="S1581" i="3"/>
  <c r="S1582" i="3"/>
  <c r="S1583" i="3"/>
  <c r="S1584" i="3"/>
  <c r="S1585" i="3"/>
  <c r="S1586" i="3"/>
  <c r="S1587" i="3"/>
  <c r="S1588" i="3"/>
  <c r="S1589" i="3"/>
  <c r="S1590" i="3"/>
  <c r="S1591" i="3"/>
  <c r="S1592" i="3"/>
  <c r="S1593" i="3"/>
  <c r="S1594" i="3"/>
  <c r="S1595" i="3"/>
  <c r="S1596" i="3"/>
  <c r="S1597" i="3"/>
  <c r="S1598" i="3"/>
  <c r="S1599" i="3"/>
  <c r="S1600" i="3"/>
  <c r="S1601" i="3"/>
  <c r="S1602" i="3"/>
  <c r="S1603" i="3"/>
  <c r="S1604" i="3"/>
  <c r="S1605" i="3"/>
  <c r="S1606" i="3"/>
  <c r="S1607" i="3"/>
  <c r="S1608" i="3"/>
  <c r="S1609" i="3"/>
  <c r="S1610" i="3"/>
  <c r="S1611" i="3"/>
  <c r="S1612" i="3"/>
  <c r="S1613" i="3"/>
  <c r="S1614" i="3"/>
  <c r="S1615" i="3"/>
  <c r="S1616" i="3"/>
  <c r="S1617" i="3"/>
  <c r="S1618" i="3"/>
  <c r="S1619" i="3"/>
  <c r="S1620" i="3"/>
  <c r="S1621" i="3"/>
  <c r="S1622" i="3"/>
  <c r="S1623" i="3"/>
  <c r="S1624" i="3"/>
  <c r="S1625" i="3"/>
  <c r="S1626" i="3"/>
  <c r="S1627" i="3"/>
  <c r="S1628" i="3"/>
  <c r="S1629" i="3"/>
  <c r="S1630" i="3"/>
  <c r="S1631" i="3"/>
  <c r="S1632" i="3"/>
  <c r="S1633" i="3"/>
  <c r="S1634" i="3"/>
  <c r="S1635" i="3"/>
  <c r="S1636" i="3"/>
  <c r="S1637" i="3"/>
  <c r="S1638" i="3"/>
  <c r="S1639" i="3"/>
  <c r="S1640" i="3"/>
  <c r="S1641" i="3"/>
  <c r="S1642" i="3"/>
  <c r="S1643" i="3"/>
  <c r="S1644" i="3"/>
  <c r="S1645" i="3"/>
  <c r="S1646" i="3"/>
  <c r="S1647" i="3"/>
  <c r="S1648" i="3"/>
  <c r="S1649" i="3"/>
  <c r="S1650" i="3"/>
  <c r="S1651" i="3"/>
  <c r="S1652" i="3"/>
  <c r="S1653" i="3"/>
  <c r="S1654" i="3"/>
  <c r="S1655" i="3"/>
  <c r="S1656" i="3"/>
  <c r="S1657" i="3"/>
  <c r="S1658" i="3"/>
  <c r="S1659" i="3"/>
  <c r="S1660" i="3"/>
  <c r="S1661" i="3"/>
  <c r="S1662" i="3"/>
  <c r="S1663" i="3"/>
  <c r="S1664" i="3"/>
  <c r="S1665" i="3"/>
  <c r="S1666" i="3"/>
  <c r="S1667" i="3"/>
  <c r="S1668" i="3"/>
  <c r="S1669" i="3"/>
  <c r="S1670" i="3"/>
  <c r="S1671" i="3"/>
  <c r="S1672" i="3"/>
  <c r="S1673" i="3"/>
  <c r="S1674" i="3"/>
  <c r="S1675" i="3"/>
  <c r="S1676" i="3"/>
  <c r="S1677" i="3"/>
  <c r="S1678" i="3"/>
  <c r="S1679" i="3"/>
  <c r="S1680" i="3"/>
  <c r="S1681" i="3"/>
  <c r="S1682" i="3"/>
  <c r="S1683" i="3"/>
  <c r="S1684" i="3"/>
  <c r="S1685" i="3"/>
  <c r="S1686" i="3"/>
  <c r="S1687" i="3"/>
  <c r="S1688" i="3"/>
  <c r="S1689" i="3"/>
  <c r="S1690" i="3"/>
  <c r="S1691" i="3"/>
  <c r="S1692" i="3"/>
  <c r="S1693" i="3"/>
  <c r="S1694" i="3"/>
  <c r="S1695" i="3"/>
  <c r="S1696" i="3"/>
  <c r="S1697" i="3"/>
  <c r="S1698" i="3"/>
  <c r="S1699" i="3"/>
  <c r="S1700" i="3"/>
  <c r="S1701" i="3"/>
  <c r="S1702" i="3"/>
  <c r="S1703" i="3"/>
  <c r="S3" i="3"/>
  <c r="S2" i="3"/>
  <c r="R451" i="3"/>
  <c r="R452" i="3"/>
  <c r="R453" i="3"/>
  <c r="R454" i="3"/>
  <c r="R455" i="3"/>
  <c r="R456" i="3"/>
  <c r="R457" i="3"/>
  <c r="R458" i="3"/>
  <c r="R459" i="3"/>
  <c r="R460" i="3"/>
  <c r="R461" i="3"/>
  <c r="R462" i="3"/>
  <c r="R463" i="3"/>
  <c r="R464" i="3"/>
  <c r="R465" i="3"/>
  <c r="R466" i="3"/>
  <c r="R467" i="3"/>
  <c r="R468" i="3"/>
  <c r="R469" i="3"/>
  <c r="R470" i="3"/>
  <c r="R471" i="3"/>
  <c r="R472" i="3"/>
  <c r="R473" i="3"/>
  <c r="R474" i="3"/>
  <c r="R475" i="3"/>
  <c r="R476" i="3"/>
  <c r="R477" i="3"/>
  <c r="R478" i="3"/>
  <c r="R479" i="3"/>
  <c r="R480" i="3"/>
  <c r="R481" i="3"/>
  <c r="R482" i="3"/>
  <c r="R483" i="3"/>
  <c r="R484" i="3"/>
  <c r="R485" i="3"/>
  <c r="R486" i="3"/>
  <c r="R487" i="3"/>
  <c r="R488" i="3"/>
  <c r="R489" i="3"/>
  <c r="R490" i="3"/>
  <c r="R491" i="3"/>
  <c r="R492" i="3"/>
  <c r="R493" i="3"/>
  <c r="R494" i="3"/>
  <c r="R495" i="3"/>
  <c r="R496" i="3"/>
  <c r="R497" i="3"/>
  <c r="R498" i="3"/>
  <c r="R499" i="3"/>
  <c r="R500" i="3"/>
  <c r="R501" i="3"/>
  <c r="R502" i="3"/>
  <c r="R503" i="3"/>
  <c r="R504" i="3"/>
  <c r="R505" i="3"/>
  <c r="R506" i="3"/>
  <c r="R507" i="3"/>
  <c r="R508" i="3"/>
  <c r="R509" i="3"/>
  <c r="R510" i="3"/>
  <c r="R511" i="3"/>
  <c r="R512" i="3"/>
  <c r="R513" i="3"/>
  <c r="R514" i="3"/>
  <c r="R515" i="3"/>
  <c r="R516" i="3"/>
  <c r="R517" i="3"/>
  <c r="R518" i="3"/>
  <c r="R519" i="3"/>
  <c r="R520" i="3"/>
  <c r="R521" i="3"/>
  <c r="R522" i="3"/>
  <c r="R523" i="3"/>
  <c r="R524" i="3"/>
  <c r="R525" i="3"/>
  <c r="R526" i="3"/>
  <c r="R527" i="3"/>
  <c r="R528" i="3"/>
  <c r="R529" i="3"/>
  <c r="R530" i="3"/>
  <c r="R531" i="3"/>
  <c r="R532" i="3"/>
  <c r="R533" i="3"/>
  <c r="R534" i="3"/>
  <c r="R535" i="3"/>
  <c r="R536" i="3"/>
  <c r="R537" i="3"/>
  <c r="R538" i="3"/>
  <c r="R539" i="3"/>
  <c r="R540" i="3"/>
  <c r="R541" i="3"/>
  <c r="R542" i="3"/>
  <c r="R543" i="3"/>
  <c r="R544" i="3"/>
  <c r="R545" i="3"/>
  <c r="R546" i="3"/>
  <c r="R547" i="3"/>
  <c r="R548" i="3"/>
  <c r="R549" i="3"/>
  <c r="R550" i="3"/>
  <c r="R551" i="3"/>
  <c r="R552" i="3"/>
  <c r="R553" i="3"/>
  <c r="R554" i="3"/>
  <c r="R555" i="3"/>
  <c r="R556" i="3"/>
  <c r="R557" i="3"/>
  <c r="R558" i="3"/>
  <c r="R559" i="3"/>
  <c r="R560" i="3"/>
  <c r="R561" i="3"/>
  <c r="R562" i="3"/>
  <c r="R563" i="3"/>
  <c r="R564" i="3"/>
  <c r="R565" i="3"/>
  <c r="R566" i="3"/>
  <c r="R567" i="3"/>
  <c r="R568" i="3"/>
  <c r="R569" i="3"/>
  <c r="R570" i="3"/>
  <c r="R571" i="3"/>
  <c r="R572" i="3"/>
  <c r="R573" i="3"/>
  <c r="R574" i="3"/>
  <c r="R575" i="3"/>
  <c r="R576" i="3"/>
  <c r="R577" i="3"/>
  <c r="R578" i="3"/>
  <c r="R579" i="3"/>
  <c r="R580" i="3"/>
  <c r="R581" i="3"/>
  <c r="R582" i="3"/>
  <c r="R583" i="3"/>
  <c r="R584" i="3"/>
  <c r="R585" i="3"/>
  <c r="R586" i="3"/>
  <c r="R587" i="3"/>
  <c r="R588" i="3"/>
  <c r="R589" i="3"/>
  <c r="R590" i="3"/>
  <c r="R591" i="3"/>
  <c r="R592" i="3"/>
  <c r="R593" i="3"/>
  <c r="R594" i="3"/>
  <c r="R595" i="3"/>
  <c r="R596" i="3"/>
  <c r="R597" i="3"/>
  <c r="R598" i="3"/>
  <c r="R599" i="3"/>
  <c r="R600" i="3"/>
  <c r="R601" i="3"/>
  <c r="R602" i="3"/>
  <c r="R603" i="3"/>
  <c r="R604" i="3"/>
  <c r="R605" i="3"/>
  <c r="R606" i="3"/>
  <c r="R607" i="3"/>
  <c r="R608" i="3"/>
  <c r="R609" i="3"/>
  <c r="R610" i="3"/>
  <c r="R611" i="3"/>
  <c r="R612" i="3"/>
  <c r="R613" i="3"/>
  <c r="R614" i="3"/>
  <c r="R615" i="3"/>
  <c r="R616" i="3"/>
  <c r="R617" i="3"/>
  <c r="R618" i="3"/>
  <c r="R619" i="3"/>
  <c r="R620" i="3"/>
  <c r="R621" i="3"/>
  <c r="R622" i="3"/>
  <c r="R623" i="3"/>
  <c r="R624" i="3"/>
  <c r="R625" i="3"/>
  <c r="R626" i="3"/>
  <c r="R627" i="3"/>
  <c r="R628" i="3"/>
  <c r="R629" i="3"/>
  <c r="R630" i="3"/>
  <c r="R631" i="3"/>
  <c r="R632" i="3"/>
  <c r="R633" i="3"/>
  <c r="R634" i="3"/>
  <c r="R635" i="3"/>
  <c r="R636" i="3"/>
  <c r="R637" i="3"/>
  <c r="R638" i="3"/>
  <c r="R639" i="3"/>
  <c r="R640" i="3"/>
  <c r="R641" i="3"/>
  <c r="R642" i="3"/>
  <c r="R643" i="3"/>
  <c r="R644" i="3"/>
  <c r="R645" i="3"/>
  <c r="R646" i="3"/>
  <c r="R647" i="3"/>
  <c r="R648" i="3"/>
  <c r="R649" i="3"/>
  <c r="R650" i="3"/>
  <c r="R651" i="3"/>
  <c r="R652" i="3"/>
  <c r="R653" i="3"/>
  <c r="R654" i="3"/>
  <c r="R655" i="3"/>
  <c r="R656" i="3"/>
  <c r="R657" i="3"/>
  <c r="R658" i="3"/>
  <c r="R659" i="3"/>
  <c r="R660" i="3"/>
  <c r="R661" i="3"/>
  <c r="R662" i="3"/>
  <c r="R663" i="3"/>
  <c r="R664" i="3"/>
  <c r="R665" i="3"/>
  <c r="R666" i="3"/>
  <c r="R667" i="3"/>
  <c r="R668" i="3"/>
  <c r="R669" i="3"/>
  <c r="R670" i="3"/>
  <c r="R671" i="3"/>
  <c r="R672" i="3"/>
  <c r="R673" i="3"/>
  <c r="R674" i="3"/>
  <c r="R675" i="3"/>
  <c r="R676" i="3"/>
  <c r="R677" i="3"/>
  <c r="R678" i="3"/>
  <c r="R679" i="3"/>
  <c r="R680" i="3"/>
  <c r="R681" i="3"/>
  <c r="R682" i="3"/>
  <c r="R683" i="3"/>
  <c r="R684" i="3"/>
  <c r="R685" i="3"/>
  <c r="R686" i="3"/>
  <c r="R687" i="3"/>
  <c r="R688" i="3"/>
  <c r="R689" i="3"/>
  <c r="R690" i="3"/>
  <c r="R691" i="3"/>
  <c r="R692" i="3"/>
  <c r="R693" i="3"/>
  <c r="R694" i="3"/>
  <c r="R695" i="3"/>
  <c r="R696" i="3"/>
  <c r="R697" i="3"/>
  <c r="R698" i="3"/>
  <c r="R699" i="3"/>
  <c r="R700" i="3"/>
  <c r="R701" i="3"/>
  <c r="R702" i="3"/>
  <c r="R703" i="3"/>
  <c r="R704" i="3"/>
  <c r="R705" i="3"/>
  <c r="R706" i="3"/>
  <c r="R707" i="3"/>
  <c r="R708" i="3"/>
  <c r="R709" i="3"/>
  <c r="R710" i="3"/>
  <c r="R711" i="3"/>
  <c r="R712" i="3"/>
  <c r="R713" i="3"/>
  <c r="R714" i="3"/>
  <c r="R715" i="3"/>
  <c r="R716" i="3"/>
  <c r="R717" i="3"/>
  <c r="R718" i="3"/>
  <c r="R719" i="3"/>
  <c r="R720" i="3"/>
  <c r="R721" i="3"/>
  <c r="R722" i="3"/>
  <c r="R723" i="3"/>
  <c r="R724" i="3"/>
  <c r="R725" i="3"/>
  <c r="R726" i="3"/>
  <c r="R727" i="3"/>
  <c r="R728" i="3"/>
  <c r="R729" i="3"/>
  <c r="R730" i="3"/>
  <c r="R731" i="3"/>
  <c r="R732" i="3"/>
  <c r="R733" i="3"/>
  <c r="R734" i="3"/>
  <c r="R735" i="3"/>
  <c r="R736" i="3"/>
  <c r="R737" i="3"/>
  <c r="R738" i="3"/>
  <c r="R739" i="3"/>
  <c r="R740" i="3"/>
  <c r="R741" i="3"/>
  <c r="R742" i="3"/>
  <c r="R743" i="3"/>
  <c r="R744" i="3"/>
  <c r="R745" i="3"/>
  <c r="R746" i="3"/>
  <c r="R747" i="3"/>
  <c r="R748" i="3"/>
  <c r="R749" i="3"/>
  <c r="R750" i="3"/>
  <c r="R751" i="3"/>
  <c r="R752" i="3"/>
  <c r="R753" i="3"/>
  <c r="R754" i="3"/>
  <c r="R755" i="3"/>
  <c r="R756" i="3"/>
  <c r="R757" i="3"/>
  <c r="R758" i="3"/>
  <c r="R759" i="3"/>
  <c r="R760" i="3"/>
  <c r="R761" i="3"/>
  <c r="R762" i="3"/>
  <c r="R763" i="3"/>
  <c r="R764" i="3"/>
  <c r="R765" i="3"/>
  <c r="R766" i="3"/>
  <c r="R767" i="3"/>
  <c r="R768" i="3"/>
  <c r="R769" i="3"/>
  <c r="R770" i="3"/>
  <c r="R771" i="3"/>
  <c r="R772" i="3"/>
  <c r="R773" i="3"/>
  <c r="R774" i="3"/>
  <c r="R775" i="3"/>
  <c r="R776" i="3"/>
  <c r="R777" i="3"/>
  <c r="R778" i="3"/>
  <c r="R779" i="3"/>
  <c r="R780" i="3"/>
  <c r="R781" i="3"/>
  <c r="R782" i="3"/>
  <c r="R783" i="3"/>
  <c r="R784" i="3"/>
  <c r="R785" i="3"/>
  <c r="R786" i="3"/>
  <c r="R787" i="3"/>
  <c r="R788" i="3"/>
  <c r="R789" i="3"/>
  <c r="R790" i="3"/>
  <c r="R791" i="3"/>
  <c r="R792" i="3"/>
  <c r="R793" i="3"/>
  <c r="R794" i="3"/>
  <c r="R795" i="3"/>
  <c r="R796" i="3"/>
  <c r="R797" i="3"/>
  <c r="R798" i="3"/>
  <c r="R799" i="3"/>
  <c r="R800" i="3"/>
  <c r="R801" i="3"/>
  <c r="R802" i="3"/>
  <c r="R803" i="3"/>
  <c r="R804" i="3"/>
  <c r="R805" i="3"/>
  <c r="R806" i="3"/>
  <c r="R807" i="3"/>
  <c r="R808" i="3"/>
  <c r="R809" i="3"/>
  <c r="R810" i="3"/>
  <c r="R811" i="3"/>
  <c r="R812" i="3"/>
  <c r="R813" i="3"/>
  <c r="R814" i="3"/>
  <c r="R815" i="3"/>
  <c r="R816" i="3"/>
  <c r="R817" i="3"/>
  <c r="R818" i="3"/>
  <c r="R819" i="3"/>
  <c r="R820" i="3"/>
  <c r="R821" i="3"/>
  <c r="R822" i="3"/>
  <c r="R823" i="3"/>
  <c r="R824" i="3"/>
  <c r="R825" i="3"/>
  <c r="R826" i="3"/>
  <c r="R827" i="3"/>
  <c r="R828" i="3"/>
  <c r="R829" i="3"/>
  <c r="R830" i="3"/>
  <c r="R831" i="3"/>
  <c r="R832" i="3"/>
  <c r="R833" i="3"/>
  <c r="R834" i="3"/>
  <c r="R835" i="3"/>
  <c r="R836" i="3"/>
  <c r="R837" i="3"/>
  <c r="R838" i="3"/>
  <c r="R839" i="3"/>
  <c r="R840" i="3"/>
  <c r="R841" i="3"/>
  <c r="R842" i="3"/>
  <c r="R843" i="3"/>
  <c r="R844" i="3"/>
  <c r="R845" i="3"/>
  <c r="R846" i="3"/>
  <c r="R847" i="3"/>
  <c r="R848" i="3"/>
  <c r="R849" i="3"/>
  <c r="R850" i="3"/>
  <c r="R851" i="3"/>
  <c r="R852" i="3"/>
  <c r="R853" i="3"/>
  <c r="R854" i="3"/>
  <c r="R855" i="3"/>
  <c r="R856" i="3"/>
  <c r="R857" i="3"/>
  <c r="R858" i="3"/>
  <c r="R859" i="3"/>
  <c r="R860" i="3"/>
  <c r="R861" i="3"/>
  <c r="R862" i="3"/>
  <c r="R863" i="3"/>
  <c r="R864" i="3"/>
  <c r="R865" i="3"/>
  <c r="R866" i="3"/>
  <c r="R867" i="3"/>
  <c r="R868" i="3"/>
  <c r="R869" i="3"/>
  <c r="R870" i="3"/>
  <c r="R871" i="3"/>
  <c r="R872" i="3"/>
  <c r="R873" i="3"/>
  <c r="R874" i="3"/>
  <c r="R875" i="3"/>
  <c r="R876" i="3"/>
  <c r="R877" i="3"/>
  <c r="R878" i="3"/>
  <c r="R879" i="3"/>
  <c r="R880" i="3"/>
  <c r="R881" i="3"/>
  <c r="R882" i="3"/>
  <c r="R883" i="3"/>
  <c r="R884" i="3"/>
  <c r="R885" i="3"/>
  <c r="R886" i="3"/>
  <c r="R887" i="3"/>
  <c r="R888" i="3"/>
  <c r="R889" i="3"/>
  <c r="R890" i="3"/>
  <c r="R891" i="3"/>
  <c r="R892" i="3"/>
  <c r="R893" i="3"/>
  <c r="R894" i="3"/>
  <c r="R895" i="3"/>
  <c r="R896" i="3"/>
  <c r="R897" i="3"/>
  <c r="R898" i="3"/>
  <c r="R899" i="3"/>
  <c r="R900" i="3"/>
  <c r="R901" i="3"/>
  <c r="R902" i="3"/>
  <c r="R903" i="3"/>
  <c r="R904" i="3"/>
  <c r="R905" i="3"/>
  <c r="R906" i="3"/>
  <c r="R907" i="3"/>
  <c r="R908" i="3"/>
  <c r="R909" i="3"/>
  <c r="R910" i="3"/>
  <c r="R911" i="3"/>
  <c r="R912" i="3"/>
  <c r="R913" i="3"/>
  <c r="R914" i="3"/>
  <c r="R915" i="3"/>
  <c r="R916" i="3"/>
  <c r="R917" i="3"/>
  <c r="R918" i="3"/>
  <c r="R919" i="3"/>
  <c r="R920" i="3"/>
  <c r="R921" i="3"/>
  <c r="R922" i="3"/>
  <c r="R923" i="3"/>
  <c r="R924" i="3"/>
  <c r="R925" i="3"/>
  <c r="R926" i="3"/>
  <c r="R927" i="3"/>
  <c r="R928" i="3"/>
  <c r="R929" i="3"/>
  <c r="R930" i="3"/>
  <c r="R931" i="3"/>
  <c r="R932" i="3"/>
  <c r="R933" i="3"/>
  <c r="R934" i="3"/>
  <c r="R935" i="3"/>
  <c r="R936" i="3"/>
  <c r="R937" i="3"/>
  <c r="R938" i="3"/>
  <c r="R939" i="3"/>
  <c r="R940" i="3"/>
  <c r="R941" i="3"/>
  <c r="R942" i="3"/>
  <c r="R943" i="3"/>
  <c r="R944" i="3"/>
  <c r="R945" i="3"/>
  <c r="R946" i="3"/>
  <c r="R947" i="3"/>
  <c r="R948" i="3"/>
  <c r="R949" i="3"/>
  <c r="R950" i="3"/>
  <c r="R951" i="3"/>
  <c r="R952" i="3"/>
  <c r="R953" i="3"/>
  <c r="R954" i="3"/>
  <c r="R955" i="3"/>
  <c r="R956" i="3"/>
  <c r="R957" i="3"/>
  <c r="R958" i="3"/>
  <c r="R959" i="3"/>
  <c r="R960" i="3"/>
  <c r="R961" i="3"/>
  <c r="R962" i="3"/>
  <c r="R963" i="3"/>
  <c r="R964" i="3"/>
  <c r="R965" i="3"/>
  <c r="R966" i="3"/>
  <c r="R967" i="3"/>
  <c r="R968" i="3"/>
  <c r="R969" i="3"/>
  <c r="R970" i="3"/>
  <c r="R971" i="3"/>
  <c r="R972" i="3"/>
  <c r="R973" i="3"/>
  <c r="R974" i="3"/>
  <c r="R975" i="3"/>
  <c r="R976" i="3"/>
  <c r="R977" i="3"/>
  <c r="R978" i="3"/>
  <c r="R979" i="3"/>
  <c r="R980" i="3"/>
  <c r="R981" i="3"/>
  <c r="R982" i="3"/>
  <c r="R983" i="3"/>
  <c r="R984" i="3"/>
  <c r="R985" i="3"/>
  <c r="R986" i="3"/>
  <c r="R987" i="3"/>
  <c r="R988" i="3"/>
  <c r="R989" i="3"/>
  <c r="R990" i="3"/>
  <c r="R991" i="3"/>
  <c r="R992" i="3"/>
  <c r="R993" i="3"/>
  <c r="R994" i="3"/>
  <c r="R995" i="3"/>
  <c r="R996" i="3"/>
  <c r="R997" i="3"/>
  <c r="R998" i="3"/>
  <c r="R999" i="3"/>
  <c r="R1000" i="3"/>
  <c r="R1001" i="3"/>
  <c r="R1002" i="3"/>
  <c r="R1003" i="3"/>
  <c r="R1004" i="3"/>
  <c r="R1005" i="3"/>
  <c r="R1006" i="3"/>
  <c r="R1007" i="3"/>
  <c r="R1008" i="3"/>
  <c r="R1009" i="3"/>
  <c r="R1010" i="3"/>
  <c r="R1011" i="3"/>
  <c r="R1012" i="3"/>
  <c r="R1013" i="3"/>
  <c r="R1014" i="3"/>
  <c r="R1015" i="3"/>
  <c r="R1016" i="3"/>
  <c r="R1017" i="3"/>
  <c r="R1018" i="3"/>
  <c r="R1019" i="3"/>
  <c r="R1020" i="3"/>
  <c r="R1021" i="3"/>
  <c r="R1022" i="3"/>
  <c r="R1023" i="3"/>
  <c r="R1024" i="3"/>
  <c r="R1025" i="3"/>
  <c r="R1026" i="3"/>
  <c r="R1027" i="3"/>
  <c r="R1028" i="3"/>
  <c r="R1029" i="3"/>
  <c r="R1030" i="3"/>
  <c r="R1031" i="3"/>
  <c r="R1032" i="3"/>
  <c r="R1033" i="3"/>
  <c r="R1034" i="3"/>
  <c r="R1035" i="3"/>
  <c r="R1036" i="3"/>
  <c r="R1037" i="3"/>
  <c r="R1038" i="3"/>
  <c r="R1039" i="3"/>
  <c r="R1040" i="3"/>
  <c r="R1041" i="3"/>
  <c r="R1042" i="3"/>
  <c r="R1043" i="3"/>
  <c r="R1044" i="3"/>
  <c r="R1045" i="3"/>
  <c r="R1046" i="3"/>
  <c r="R1047" i="3"/>
  <c r="R1048" i="3"/>
  <c r="R1049" i="3"/>
  <c r="R1050" i="3"/>
  <c r="R1051" i="3"/>
  <c r="R1052" i="3"/>
  <c r="R1053" i="3"/>
  <c r="R1054" i="3"/>
  <c r="R1055" i="3"/>
  <c r="R1056" i="3"/>
  <c r="R1057" i="3"/>
  <c r="R1058" i="3"/>
  <c r="R1059" i="3"/>
  <c r="R1060" i="3"/>
  <c r="R1061" i="3"/>
  <c r="R1062" i="3"/>
  <c r="R1063" i="3"/>
  <c r="R1064" i="3"/>
  <c r="R1065" i="3"/>
  <c r="R1066" i="3"/>
  <c r="R1067" i="3"/>
  <c r="R1068" i="3"/>
  <c r="R1069" i="3"/>
  <c r="R1070" i="3"/>
  <c r="R1071" i="3"/>
  <c r="R1072" i="3"/>
  <c r="R1073" i="3"/>
  <c r="R1074" i="3"/>
  <c r="R1075" i="3"/>
  <c r="R1076" i="3"/>
  <c r="R1077" i="3"/>
  <c r="R1078" i="3"/>
  <c r="R1079" i="3"/>
  <c r="R1080" i="3"/>
  <c r="R1081" i="3"/>
  <c r="R1082" i="3"/>
  <c r="R1083" i="3"/>
  <c r="R1084" i="3"/>
  <c r="R1085" i="3"/>
  <c r="R1086" i="3"/>
  <c r="R1087" i="3"/>
  <c r="R1088" i="3"/>
  <c r="R1089" i="3"/>
  <c r="R1090" i="3"/>
  <c r="R1091" i="3"/>
  <c r="R1092" i="3"/>
  <c r="R1093" i="3"/>
  <c r="R1094" i="3"/>
  <c r="R1095" i="3"/>
  <c r="R1096" i="3"/>
  <c r="R1097" i="3"/>
  <c r="R1098" i="3"/>
  <c r="R1099" i="3"/>
  <c r="R1100" i="3"/>
  <c r="R1101" i="3"/>
  <c r="R1102" i="3"/>
  <c r="R1103" i="3"/>
  <c r="R1104" i="3"/>
  <c r="R1105" i="3"/>
  <c r="R1106" i="3"/>
  <c r="R1107" i="3"/>
  <c r="R1108" i="3"/>
  <c r="R1109" i="3"/>
  <c r="R1110" i="3"/>
  <c r="R1111" i="3"/>
  <c r="R1112" i="3"/>
  <c r="R1113" i="3"/>
  <c r="R1114" i="3"/>
  <c r="R1115" i="3"/>
  <c r="R1116" i="3"/>
  <c r="R1117" i="3"/>
  <c r="R1118" i="3"/>
  <c r="R1119" i="3"/>
  <c r="R1120" i="3"/>
  <c r="R1121" i="3"/>
  <c r="R1122" i="3"/>
  <c r="R1123" i="3"/>
  <c r="R1124" i="3"/>
  <c r="R1125" i="3"/>
  <c r="R1126" i="3"/>
  <c r="R1127" i="3"/>
  <c r="R1128" i="3"/>
  <c r="R1129" i="3"/>
  <c r="R1130" i="3"/>
  <c r="R1131" i="3"/>
  <c r="R1132" i="3"/>
  <c r="R1133" i="3"/>
  <c r="R1134" i="3"/>
  <c r="R1135" i="3"/>
  <c r="R1136" i="3"/>
  <c r="R1137" i="3"/>
  <c r="R1138" i="3"/>
  <c r="R1139" i="3"/>
  <c r="R1140" i="3"/>
  <c r="R1141" i="3"/>
  <c r="R1142" i="3"/>
  <c r="R1143" i="3"/>
  <c r="R1144" i="3"/>
  <c r="R1145" i="3"/>
  <c r="R1146" i="3"/>
  <c r="R1147" i="3"/>
  <c r="R1148" i="3"/>
  <c r="R1149" i="3"/>
  <c r="R1150" i="3"/>
  <c r="R1151" i="3"/>
  <c r="R1152" i="3"/>
  <c r="R1153" i="3"/>
  <c r="R1154" i="3"/>
  <c r="R1155" i="3"/>
  <c r="R1156" i="3"/>
  <c r="R1157" i="3"/>
  <c r="R1158" i="3"/>
  <c r="R1159" i="3"/>
  <c r="R1160" i="3"/>
  <c r="R1161" i="3"/>
  <c r="R1162" i="3"/>
  <c r="R1163" i="3"/>
  <c r="R1164" i="3"/>
  <c r="R1165" i="3"/>
  <c r="R1166" i="3"/>
  <c r="R1167" i="3"/>
  <c r="R1168" i="3"/>
  <c r="R1169" i="3"/>
  <c r="R1170" i="3"/>
  <c r="R1171" i="3"/>
  <c r="R1172" i="3"/>
  <c r="R1173" i="3"/>
  <c r="R1174" i="3"/>
  <c r="R1175" i="3"/>
  <c r="R1176" i="3"/>
  <c r="R1177" i="3"/>
  <c r="R1178" i="3"/>
  <c r="R1179" i="3"/>
  <c r="R1180" i="3"/>
  <c r="R1181" i="3"/>
  <c r="R1182" i="3"/>
  <c r="R1183" i="3"/>
  <c r="R1184" i="3"/>
  <c r="R1185" i="3"/>
  <c r="R1186" i="3"/>
  <c r="R1187" i="3"/>
  <c r="R1188" i="3"/>
  <c r="R1189" i="3"/>
  <c r="R1190" i="3"/>
  <c r="R1191" i="3"/>
  <c r="R1192" i="3"/>
  <c r="R1193" i="3"/>
  <c r="R1194" i="3"/>
  <c r="R1195" i="3"/>
  <c r="R1196" i="3"/>
  <c r="R1197" i="3"/>
  <c r="R1198" i="3"/>
  <c r="R1199" i="3"/>
  <c r="R1200" i="3"/>
  <c r="R1201" i="3"/>
  <c r="R1202" i="3"/>
  <c r="R1203" i="3"/>
  <c r="R1204" i="3"/>
  <c r="R1205" i="3"/>
  <c r="R1206" i="3"/>
  <c r="R1207" i="3"/>
  <c r="R1208" i="3"/>
  <c r="R1209" i="3"/>
  <c r="R1210" i="3"/>
  <c r="R1211" i="3"/>
  <c r="R1212" i="3"/>
  <c r="R1213" i="3"/>
  <c r="R1214" i="3"/>
  <c r="R1215" i="3"/>
  <c r="R1216" i="3"/>
  <c r="R1217" i="3"/>
  <c r="R1218" i="3"/>
  <c r="R1219" i="3"/>
  <c r="R1220" i="3"/>
  <c r="R1221" i="3"/>
  <c r="R1222" i="3"/>
  <c r="R1223" i="3"/>
  <c r="R1224" i="3"/>
  <c r="R1225" i="3"/>
  <c r="R1226" i="3"/>
  <c r="R1227" i="3"/>
  <c r="R1228" i="3"/>
  <c r="R1229" i="3"/>
  <c r="R1230" i="3"/>
  <c r="R1231" i="3"/>
  <c r="R1232" i="3"/>
  <c r="R1233" i="3"/>
  <c r="R1234" i="3"/>
  <c r="R1235" i="3"/>
  <c r="R1236" i="3"/>
  <c r="R1237" i="3"/>
  <c r="R1238" i="3"/>
  <c r="R1239" i="3"/>
  <c r="R1240" i="3"/>
  <c r="R1241" i="3"/>
  <c r="R1242" i="3"/>
  <c r="R1243" i="3"/>
  <c r="R1244" i="3"/>
  <c r="R1245" i="3"/>
  <c r="R1246" i="3"/>
  <c r="R1247" i="3"/>
  <c r="R1248" i="3"/>
  <c r="R1249" i="3"/>
  <c r="R1250" i="3"/>
  <c r="R1251" i="3"/>
  <c r="R1252" i="3"/>
  <c r="R1253" i="3"/>
  <c r="R1254" i="3"/>
  <c r="R1255" i="3"/>
  <c r="R1256" i="3"/>
  <c r="R1257" i="3"/>
  <c r="R1258" i="3"/>
  <c r="R1259" i="3"/>
  <c r="R1260" i="3"/>
  <c r="R1261" i="3"/>
  <c r="R1262" i="3"/>
  <c r="R1263" i="3"/>
  <c r="R1264" i="3"/>
  <c r="R1265" i="3"/>
  <c r="R1266" i="3"/>
  <c r="R1267" i="3"/>
  <c r="R1268" i="3"/>
  <c r="R1269" i="3"/>
  <c r="R1270" i="3"/>
  <c r="R1271" i="3"/>
  <c r="R1272" i="3"/>
  <c r="R1273" i="3"/>
  <c r="R1274" i="3"/>
  <c r="R1275" i="3"/>
  <c r="R1276" i="3"/>
  <c r="R1277" i="3"/>
  <c r="R1278" i="3"/>
  <c r="R1279" i="3"/>
  <c r="R1280" i="3"/>
  <c r="R1281" i="3"/>
  <c r="R1282" i="3"/>
  <c r="R1283" i="3"/>
  <c r="R1284" i="3"/>
  <c r="R1285" i="3"/>
  <c r="R1286" i="3"/>
  <c r="R1287" i="3"/>
  <c r="R1288" i="3"/>
  <c r="R1289" i="3"/>
  <c r="R1290" i="3"/>
  <c r="R1291" i="3"/>
  <c r="R1292" i="3"/>
  <c r="R1293" i="3"/>
  <c r="R1294" i="3"/>
  <c r="R1295" i="3"/>
  <c r="R1296" i="3"/>
  <c r="R1297" i="3"/>
  <c r="R1298" i="3"/>
  <c r="R1299" i="3"/>
  <c r="R1300" i="3"/>
  <c r="R1301" i="3"/>
  <c r="R1302" i="3"/>
  <c r="R1303" i="3"/>
  <c r="R1304" i="3"/>
  <c r="R1305" i="3"/>
  <c r="R1306" i="3"/>
  <c r="R1307" i="3"/>
  <c r="R1308" i="3"/>
  <c r="R1309" i="3"/>
  <c r="R1310" i="3"/>
  <c r="R1311" i="3"/>
  <c r="R1312" i="3"/>
  <c r="R1313" i="3"/>
  <c r="R1314" i="3"/>
  <c r="R1315" i="3"/>
  <c r="R1316" i="3"/>
  <c r="R1317" i="3"/>
  <c r="R1318" i="3"/>
  <c r="R1319" i="3"/>
  <c r="R1320" i="3"/>
  <c r="R1321" i="3"/>
  <c r="R1322" i="3"/>
  <c r="R1323" i="3"/>
  <c r="R1324" i="3"/>
  <c r="R1325" i="3"/>
  <c r="R1326" i="3"/>
  <c r="R1327" i="3"/>
  <c r="R1328" i="3"/>
  <c r="R1329" i="3"/>
  <c r="R1330" i="3"/>
  <c r="R1331" i="3"/>
  <c r="R1332" i="3"/>
  <c r="R1333" i="3"/>
  <c r="R1334" i="3"/>
  <c r="R1335" i="3"/>
  <c r="R1336" i="3"/>
  <c r="R1337" i="3"/>
  <c r="R1338" i="3"/>
  <c r="R1339" i="3"/>
  <c r="R1340" i="3"/>
  <c r="R1341" i="3"/>
  <c r="R1342" i="3"/>
  <c r="R1343" i="3"/>
  <c r="R1344" i="3"/>
  <c r="R1345" i="3"/>
  <c r="R1346" i="3"/>
  <c r="R1347" i="3"/>
  <c r="R1348" i="3"/>
  <c r="R1349" i="3"/>
  <c r="R1350" i="3"/>
  <c r="R1351" i="3"/>
  <c r="R1352" i="3"/>
  <c r="R1353" i="3"/>
  <c r="R1354" i="3"/>
  <c r="R1355" i="3"/>
  <c r="R1356" i="3"/>
  <c r="R1357" i="3"/>
  <c r="R1358" i="3"/>
  <c r="R1359" i="3"/>
  <c r="R1360" i="3"/>
  <c r="R1361" i="3"/>
  <c r="R1362" i="3"/>
  <c r="R1363" i="3"/>
  <c r="R1364" i="3"/>
  <c r="R1365" i="3"/>
  <c r="R1366" i="3"/>
  <c r="R1367" i="3"/>
  <c r="R1368" i="3"/>
  <c r="R1369" i="3"/>
  <c r="R1370" i="3"/>
  <c r="R1371" i="3"/>
  <c r="R1372" i="3"/>
  <c r="R1373" i="3"/>
  <c r="R1374" i="3"/>
  <c r="R1375" i="3"/>
  <c r="R1376" i="3"/>
  <c r="R1377" i="3"/>
  <c r="R1378" i="3"/>
  <c r="R1379" i="3"/>
  <c r="R1380" i="3"/>
  <c r="R1381" i="3"/>
  <c r="R1382" i="3"/>
  <c r="R1383" i="3"/>
  <c r="R1384" i="3"/>
  <c r="R1385" i="3"/>
  <c r="R1386" i="3"/>
  <c r="R1387" i="3"/>
  <c r="R1388" i="3"/>
  <c r="R1389" i="3"/>
  <c r="R1390" i="3"/>
  <c r="R1391" i="3"/>
  <c r="R1392" i="3"/>
  <c r="R1393" i="3"/>
  <c r="R1394" i="3"/>
  <c r="R1395" i="3"/>
  <c r="R1396" i="3"/>
  <c r="R1397" i="3"/>
  <c r="R1398" i="3"/>
  <c r="R1399" i="3"/>
  <c r="R1400" i="3"/>
  <c r="R1401" i="3"/>
  <c r="R1402" i="3"/>
  <c r="R1403" i="3"/>
  <c r="R1404" i="3"/>
  <c r="R1405" i="3"/>
  <c r="R1406" i="3"/>
  <c r="R1407" i="3"/>
  <c r="R1408" i="3"/>
  <c r="R1409" i="3"/>
  <c r="R1410" i="3"/>
  <c r="R1411" i="3"/>
  <c r="R1412" i="3"/>
  <c r="R1413" i="3"/>
  <c r="R1414" i="3"/>
  <c r="R1415" i="3"/>
  <c r="R1416" i="3"/>
  <c r="R1417" i="3"/>
  <c r="R1418" i="3"/>
  <c r="R1419" i="3"/>
  <c r="R1420" i="3"/>
  <c r="R1421" i="3"/>
  <c r="R1422" i="3"/>
  <c r="R1423" i="3"/>
  <c r="R1424" i="3"/>
  <c r="R1425" i="3"/>
  <c r="R1426" i="3"/>
  <c r="R1427" i="3"/>
  <c r="R1428" i="3"/>
  <c r="R1429" i="3"/>
  <c r="R1430" i="3"/>
  <c r="R1431" i="3"/>
  <c r="R1432" i="3"/>
  <c r="R1433" i="3"/>
  <c r="R1434" i="3"/>
  <c r="R1435" i="3"/>
  <c r="R1436" i="3"/>
  <c r="R1437" i="3"/>
  <c r="R1438" i="3"/>
  <c r="R1439" i="3"/>
  <c r="R1440" i="3"/>
  <c r="R1441" i="3"/>
  <c r="R1442" i="3"/>
  <c r="R1443" i="3"/>
  <c r="R1444" i="3"/>
  <c r="R1445" i="3"/>
  <c r="R1446" i="3"/>
  <c r="R1447" i="3"/>
  <c r="R1448" i="3"/>
  <c r="R1449" i="3"/>
  <c r="R1450" i="3"/>
  <c r="R1451" i="3"/>
  <c r="R1452" i="3"/>
  <c r="R1453" i="3"/>
  <c r="R1454" i="3"/>
  <c r="R1455" i="3"/>
  <c r="R1456" i="3"/>
  <c r="R1457" i="3"/>
  <c r="R1458" i="3"/>
  <c r="R1459" i="3"/>
  <c r="R1460" i="3"/>
  <c r="R1461" i="3"/>
  <c r="R1462" i="3"/>
  <c r="R1463" i="3"/>
  <c r="R1464" i="3"/>
  <c r="R1465" i="3"/>
  <c r="R1466" i="3"/>
  <c r="R1467" i="3"/>
  <c r="R1468" i="3"/>
  <c r="R1469" i="3"/>
  <c r="R1470" i="3"/>
  <c r="R1471" i="3"/>
  <c r="R1472" i="3"/>
  <c r="R1473" i="3"/>
  <c r="R1474" i="3"/>
  <c r="R1475" i="3"/>
  <c r="R1476" i="3"/>
  <c r="R1477" i="3"/>
  <c r="R1478" i="3"/>
  <c r="R1479" i="3"/>
  <c r="R1480" i="3"/>
  <c r="R1481" i="3"/>
  <c r="R1482" i="3"/>
  <c r="R1483" i="3"/>
  <c r="R1484" i="3"/>
  <c r="R1485" i="3"/>
  <c r="R1486" i="3"/>
  <c r="R1487" i="3"/>
  <c r="R1488" i="3"/>
  <c r="R1489" i="3"/>
  <c r="R1490" i="3"/>
  <c r="R1491" i="3"/>
  <c r="R1492" i="3"/>
  <c r="R1493" i="3"/>
  <c r="R1494" i="3"/>
  <c r="R1495" i="3"/>
  <c r="R1496" i="3"/>
  <c r="R1497" i="3"/>
  <c r="R1498" i="3"/>
  <c r="R1499" i="3"/>
  <c r="R1500" i="3"/>
  <c r="R1501" i="3"/>
  <c r="R1502" i="3"/>
  <c r="R1503" i="3"/>
  <c r="R1504" i="3"/>
  <c r="R1505" i="3"/>
  <c r="R1506" i="3"/>
  <c r="R1507" i="3"/>
  <c r="R1508" i="3"/>
  <c r="R1509" i="3"/>
  <c r="R1510" i="3"/>
  <c r="R1511" i="3"/>
  <c r="R1512" i="3"/>
  <c r="R1513" i="3"/>
  <c r="R1514" i="3"/>
  <c r="R1515" i="3"/>
  <c r="R1516" i="3"/>
  <c r="R1517" i="3"/>
  <c r="R1518" i="3"/>
  <c r="R1519" i="3"/>
  <c r="R1520" i="3"/>
  <c r="R1521" i="3"/>
  <c r="R1522" i="3"/>
  <c r="R1523" i="3"/>
  <c r="R1524" i="3"/>
  <c r="R1525" i="3"/>
  <c r="R1526" i="3"/>
  <c r="R1527" i="3"/>
  <c r="R1528" i="3"/>
  <c r="R1529" i="3"/>
  <c r="R1530" i="3"/>
  <c r="R1531" i="3"/>
  <c r="R1532" i="3"/>
  <c r="R1533" i="3"/>
  <c r="R1534" i="3"/>
  <c r="R1535" i="3"/>
  <c r="R1536" i="3"/>
  <c r="R1537" i="3"/>
  <c r="R1538" i="3"/>
  <c r="R1539" i="3"/>
  <c r="R1540" i="3"/>
  <c r="R1541" i="3"/>
  <c r="R1542" i="3"/>
  <c r="R1543" i="3"/>
  <c r="R1544" i="3"/>
  <c r="R1545" i="3"/>
  <c r="R1546" i="3"/>
  <c r="R1547" i="3"/>
  <c r="R1548" i="3"/>
  <c r="R1549" i="3"/>
  <c r="R1550" i="3"/>
  <c r="R1551" i="3"/>
  <c r="R1552" i="3"/>
  <c r="R1553" i="3"/>
  <c r="R1554" i="3"/>
  <c r="R1555" i="3"/>
  <c r="R1556" i="3"/>
  <c r="R1557" i="3"/>
  <c r="R1558" i="3"/>
  <c r="R1559" i="3"/>
  <c r="R1560" i="3"/>
  <c r="R1561" i="3"/>
  <c r="R1562" i="3"/>
  <c r="R1563" i="3"/>
  <c r="R1564" i="3"/>
  <c r="R1565" i="3"/>
  <c r="R1566" i="3"/>
  <c r="R1567" i="3"/>
  <c r="R1568" i="3"/>
  <c r="R1569" i="3"/>
  <c r="R1570" i="3"/>
  <c r="R1571" i="3"/>
  <c r="R1572" i="3"/>
  <c r="R1573" i="3"/>
  <c r="R1574" i="3"/>
  <c r="R1575" i="3"/>
  <c r="R1576" i="3"/>
  <c r="R1577" i="3"/>
  <c r="R1578" i="3"/>
  <c r="R1579" i="3"/>
  <c r="R1580" i="3"/>
  <c r="R1581" i="3"/>
  <c r="R1582" i="3"/>
  <c r="R1583" i="3"/>
  <c r="R1584" i="3"/>
  <c r="R1585" i="3"/>
  <c r="R1586" i="3"/>
  <c r="R1587" i="3"/>
  <c r="R1588" i="3"/>
  <c r="R1589" i="3"/>
  <c r="R1590" i="3"/>
  <c r="R1591" i="3"/>
  <c r="R1592" i="3"/>
  <c r="R1593" i="3"/>
  <c r="R1594" i="3"/>
  <c r="R1595" i="3"/>
  <c r="R1596" i="3"/>
  <c r="R1597" i="3"/>
  <c r="R1598" i="3"/>
  <c r="R1599" i="3"/>
  <c r="R1600" i="3"/>
  <c r="R1601" i="3"/>
  <c r="R1602" i="3"/>
  <c r="R1603" i="3"/>
  <c r="R1604" i="3"/>
  <c r="R1605" i="3"/>
  <c r="R1606" i="3"/>
  <c r="R1607" i="3"/>
  <c r="R1608" i="3"/>
  <c r="R1609" i="3"/>
  <c r="R1610" i="3"/>
  <c r="R1611" i="3"/>
  <c r="R1612" i="3"/>
  <c r="R1613" i="3"/>
  <c r="R1614" i="3"/>
  <c r="R1615" i="3"/>
  <c r="R1616" i="3"/>
  <c r="R1617" i="3"/>
  <c r="R1618" i="3"/>
  <c r="R1619" i="3"/>
  <c r="R1620" i="3"/>
  <c r="R1621" i="3"/>
  <c r="R1622" i="3"/>
  <c r="R1623" i="3"/>
  <c r="R1624" i="3"/>
  <c r="R1625" i="3"/>
  <c r="R1626" i="3"/>
  <c r="R1627" i="3"/>
  <c r="R1628" i="3"/>
  <c r="R1629" i="3"/>
  <c r="R1630" i="3"/>
  <c r="R1631" i="3"/>
  <c r="R1632" i="3"/>
  <c r="R1633" i="3"/>
  <c r="R1634" i="3"/>
  <c r="R1635" i="3"/>
  <c r="R1636" i="3"/>
  <c r="R1637" i="3"/>
  <c r="R1638" i="3"/>
  <c r="R1639" i="3"/>
  <c r="R1640" i="3"/>
  <c r="R1641" i="3"/>
  <c r="R1642" i="3"/>
  <c r="R1643" i="3"/>
  <c r="R1644" i="3"/>
  <c r="R1645" i="3"/>
  <c r="R1646" i="3"/>
  <c r="R1647" i="3"/>
  <c r="R1648" i="3"/>
  <c r="R1649" i="3"/>
  <c r="R1650" i="3"/>
  <c r="R1651" i="3"/>
  <c r="R1652" i="3"/>
  <c r="R1653" i="3"/>
  <c r="R1654" i="3"/>
  <c r="R1655" i="3"/>
  <c r="R1656" i="3"/>
  <c r="R1657" i="3"/>
  <c r="R1658" i="3"/>
  <c r="R1659" i="3"/>
  <c r="R1660" i="3"/>
  <c r="R1661" i="3"/>
  <c r="R1662" i="3"/>
  <c r="R1663" i="3"/>
  <c r="R1664" i="3"/>
  <c r="R1665" i="3"/>
  <c r="R1666" i="3"/>
  <c r="R1667" i="3"/>
  <c r="R1668" i="3"/>
  <c r="R1669" i="3"/>
  <c r="R1670" i="3"/>
  <c r="R1671" i="3"/>
  <c r="R1672" i="3"/>
  <c r="R1673" i="3"/>
  <c r="R1674" i="3"/>
  <c r="R1675" i="3"/>
  <c r="R1676" i="3"/>
  <c r="R1677" i="3"/>
  <c r="R1678" i="3"/>
  <c r="R1679" i="3"/>
  <c r="R1680" i="3"/>
  <c r="R1681" i="3"/>
  <c r="R1682" i="3"/>
  <c r="R1683" i="3"/>
  <c r="R1684" i="3"/>
  <c r="R1685" i="3"/>
  <c r="R1686" i="3"/>
  <c r="R1687" i="3"/>
  <c r="R1688" i="3"/>
  <c r="R1689" i="3"/>
  <c r="R1690" i="3"/>
  <c r="R1691" i="3"/>
  <c r="R1692" i="3"/>
  <c r="R1693" i="3"/>
  <c r="R1694" i="3"/>
  <c r="R1695" i="3"/>
  <c r="R1696" i="3"/>
  <c r="R1697" i="3"/>
  <c r="R1698" i="3"/>
  <c r="R1699" i="3"/>
  <c r="R1700" i="3"/>
  <c r="R1701" i="3"/>
  <c r="R1702" i="3"/>
  <c r="R1703" i="3"/>
  <c r="R445" i="3"/>
  <c r="R446" i="3"/>
  <c r="R447" i="3"/>
  <c r="R448" i="3"/>
  <c r="R449" i="3"/>
  <c r="R450" i="3"/>
  <c r="R443" i="3"/>
  <c r="R444" i="3"/>
  <c r="R3" i="3"/>
  <c r="R4" i="3"/>
  <c r="R5" i="3"/>
  <c r="R6" i="3"/>
  <c r="R7" i="3"/>
  <c r="R8" i="3"/>
  <c r="R9" i="3"/>
  <c r="R10" i="3"/>
  <c r="R11" i="3"/>
  <c r="R12" i="3"/>
  <c r="R13" i="3"/>
  <c r="R14" i="3"/>
  <c r="R15" i="3"/>
  <c r="R16" i="3"/>
  <c r="R17" i="3"/>
  <c r="R18" i="3"/>
  <c r="R19" i="3"/>
  <c r="R20" i="3"/>
  <c r="R21" i="3"/>
  <c r="R22" i="3"/>
  <c r="R23" i="3"/>
  <c r="R24" i="3"/>
  <c r="R25" i="3"/>
  <c r="R26" i="3"/>
  <c r="R27" i="3"/>
  <c r="R28" i="3"/>
  <c r="R29" i="3"/>
  <c r="R30" i="3"/>
  <c r="R31" i="3"/>
  <c r="R32" i="3"/>
  <c r="R33" i="3"/>
  <c r="R34" i="3"/>
  <c r="R35" i="3"/>
  <c r="R36" i="3"/>
  <c r="R37" i="3"/>
  <c r="R38" i="3"/>
  <c r="R39" i="3"/>
  <c r="R40" i="3"/>
  <c r="R41" i="3"/>
  <c r="R42" i="3"/>
  <c r="R43" i="3"/>
  <c r="R44" i="3"/>
  <c r="R45" i="3"/>
  <c r="R46" i="3"/>
  <c r="R47" i="3"/>
  <c r="R48" i="3"/>
  <c r="R49" i="3"/>
  <c r="R50" i="3"/>
  <c r="R51" i="3"/>
  <c r="R52" i="3"/>
  <c r="R53" i="3"/>
  <c r="R54" i="3"/>
  <c r="R55" i="3"/>
  <c r="R56" i="3"/>
  <c r="R57" i="3"/>
  <c r="R58" i="3"/>
  <c r="R59" i="3"/>
  <c r="R60" i="3"/>
  <c r="R61" i="3"/>
  <c r="R62" i="3"/>
  <c r="R63" i="3"/>
  <c r="R64" i="3"/>
  <c r="R65" i="3"/>
  <c r="R66" i="3"/>
  <c r="R67" i="3"/>
  <c r="R68" i="3"/>
  <c r="R69" i="3"/>
  <c r="R70" i="3"/>
  <c r="R71" i="3"/>
  <c r="R72" i="3"/>
  <c r="R73" i="3"/>
  <c r="R74" i="3"/>
  <c r="R75" i="3"/>
  <c r="R76" i="3"/>
  <c r="R77" i="3"/>
  <c r="R78" i="3"/>
  <c r="R79" i="3"/>
  <c r="R80" i="3"/>
  <c r="R81" i="3"/>
  <c r="R82" i="3"/>
  <c r="R83" i="3"/>
  <c r="R84" i="3"/>
  <c r="R85" i="3"/>
  <c r="R86" i="3"/>
  <c r="R87" i="3"/>
  <c r="R88" i="3"/>
  <c r="R89" i="3"/>
  <c r="R90" i="3"/>
  <c r="R91" i="3"/>
  <c r="R92" i="3"/>
  <c r="R93" i="3"/>
  <c r="R94" i="3"/>
  <c r="R95" i="3"/>
  <c r="R96" i="3"/>
  <c r="R97" i="3"/>
  <c r="R98" i="3"/>
  <c r="R99" i="3"/>
  <c r="R100" i="3"/>
  <c r="R101" i="3"/>
  <c r="R102" i="3"/>
  <c r="R103" i="3"/>
  <c r="R104" i="3"/>
  <c r="R105" i="3"/>
  <c r="R106" i="3"/>
  <c r="R107" i="3"/>
  <c r="R108" i="3"/>
  <c r="R109" i="3"/>
  <c r="R110" i="3"/>
  <c r="R111" i="3"/>
  <c r="R112" i="3"/>
  <c r="R113" i="3"/>
  <c r="R114" i="3"/>
  <c r="R115" i="3"/>
  <c r="R116" i="3"/>
  <c r="R117" i="3"/>
  <c r="R118" i="3"/>
  <c r="R119" i="3"/>
  <c r="R120" i="3"/>
  <c r="R121" i="3"/>
  <c r="R122" i="3"/>
  <c r="R123" i="3"/>
  <c r="R124" i="3"/>
  <c r="R125" i="3"/>
  <c r="R126" i="3"/>
  <c r="R127" i="3"/>
  <c r="R128" i="3"/>
  <c r="R129" i="3"/>
  <c r="R130" i="3"/>
  <c r="R131" i="3"/>
  <c r="R132" i="3"/>
  <c r="R133" i="3"/>
  <c r="R134" i="3"/>
  <c r="R135" i="3"/>
  <c r="R136" i="3"/>
  <c r="R137" i="3"/>
  <c r="R138" i="3"/>
  <c r="R139" i="3"/>
  <c r="R140" i="3"/>
  <c r="R141" i="3"/>
  <c r="R142" i="3"/>
  <c r="R143" i="3"/>
  <c r="R144" i="3"/>
  <c r="R145" i="3"/>
  <c r="R146" i="3"/>
  <c r="R147" i="3"/>
  <c r="R148" i="3"/>
  <c r="R149" i="3"/>
  <c r="R150" i="3"/>
  <c r="R151" i="3"/>
  <c r="R152" i="3"/>
  <c r="R153" i="3"/>
  <c r="R154" i="3"/>
  <c r="R155" i="3"/>
  <c r="R156" i="3"/>
  <c r="R157" i="3"/>
  <c r="R158" i="3"/>
  <c r="R159" i="3"/>
  <c r="R160" i="3"/>
  <c r="R161" i="3"/>
  <c r="R162" i="3"/>
  <c r="R163" i="3"/>
  <c r="R164" i="3"/>
  <c r="R165" i="3"/>
  <c r="R166" i="3"/>
  <c r="R167" i="3"/>
  <c r="R168" i="3"/>
  <c r="R169" i="3"/>
  <c r="R170" i="3"/>
  <c r="R171" i="3"/>
  <c r="R172" i="3"/>
  <c r="R173" i="3"/>
  <c r="R174" i="3"/>
  <c r="R175" i="3"/>
  <c r="R176" i="3"/>
  <c r="R177" i="3"/>
  <c r="R178" i="3"/>
  <c r="R179" i="3"/>
  <c r="R180" i="3"/>
  <c r="R181" i="3"/>
  <c r="R182" i="3"/>
  <c r="R183" i="3"/>
  <c r="R184" i="3"/>
  <c r="R185" i="3"/>
  <c r="R186" i="3"/>
  <c r="R187" i="3"/>
  <c r="R188" i="3"/>
  <c r="R189" i="3"/>
  <c r="R190" i="3"/>
  <c r="R191" i="3"/>
  <c r="R192" i="3"/>
  <c r="R193" i="3"/>
  <c r="R194" i="3"/>
  <c r="R195" i="3"/>
  <c r="R196" i="3"/>
  <c r="R197" i="3"/>
  <c r="R198" i="3"/>
  <c r="R199" i="3"/>
  <c r="R200" i="3"/>
  <c r="R201" i="3"/>
  <c r="R202" i="3"/>
  <c r="R203" i="3"/>
  <c r="R204" i="3"/>
  <c r="R205" i="3"/>
  <c r="R206" i="3"/>
  <c r="R207" i="3"/>
  <c r="R208" i="3"/>
  <c r="R209" i="3"/>
  <c r="R210" i="3"/>
  <c r="R211" i="3"/>
  <c r="R212" i="3"/>
  <c r="R213" i="3"/>
  <c r="R214" i="3"/>
  <c r="R215" i="3"/>
  <c r="R216" i="3"/>
  <c r="R217" i="3"/>
  <c r="R218" i="3"/>
  <c r="R219" i="3"/>
  <c r="R220" i="3"/>
  <c r="R221" i="3"/>
  <c r="R222" i="3"/>
  <c r="R223" i="3"/>
  <c r="R224" i="3"/>
  <c r="R225" i="3"/>
  <c r="R226" i="3"/>
  <c r="R227" i="3"/>
  <c r="R228" i="3"/>
  <c r="R229" i="3"/>
  <c r="R230" i="3"/>
  <c r="R231" i="3"/>
  <c r="R232" i="3"/>
  <c r="R233" i="3"/>
  <c r="R234" i="3"/>
  <c r="R235" i="3"/>
  <c r="R236" i="3"/>
  <c r="R237" i="3"/>
  <c r="R238" i="3"/>
  <c r="R239" i="3"/>
  <c r="R240" i="3"/>
  <c r="R241" i="3"/>
  <c r="R242" i="3"/>
  <c r="R243" i="3"/>
  <c r="R244" i="3"/>
  <c r="R245" i="3"/>
  <c r="R246" i="3"/>
  <c r="R247" i="3"/>
  <c r="R248" i="3"/>
  <c r="R249" i="3"/>
  <c r="R250" i="3"/>
  <c r="R251" i="3"/>
  <c r="R252" i="3"/>
  <c r="R253" i="3"/>
  <c r="R254" i="3"/>
  <c r="R255" i="3"/>
  <c r="R256" i="3"/>
  <c r="R257" i="3"/>
  <c r="R258" i="3"/>
  <c r="R259" i="3"/>
  <c r="R260" i="3"/>
  <c r="R261" i="3"/>
  <c r="R262" i="3"/>
  <c r="R263" i="3"/>
  <c r="R264" i="3"/>
  <c r="R265" i="3"/>
  <c r="R266" i="3"/>
  <c r="R267" i="3"/>
  <c r="R268" i="3"/>
  <c r="R269" i="3"/>
  <c r="R270" i="3"/>
  <c r="R271" i="3"/>
  <c r="R272" i="3"/>
  <c r="R273" i="3"/>
  <c r="R274" i="3"/>
  <c r="R275" i="3"/>
  <c r="R276" i="3"/>
  <c r="R277" i="3"/>
  <c r="R278" i="3"/>
  <c r="R279" i="3"/>
  <c r="R280" i="3"/>
  <c r="R281" i="3"/>
  <c r="R282" i="3"/>
  <c r="R283" i="3"/>
  <c r="R284" i="3"/>
  <c r="R285" i="3"/>
  <c r="R286" i="3"/>
  <c r="R287" i="3"/>
  <c r="R288" i="3"/>
  <c r="R289" i="3"/>
  <c r="R290" i="3"/>
  <c r="R291" i="3"/>
  <c r="R292" i="3"/>
  <c r="R293" i="3"/>
  <c r="R294" i="3"/>
  <c r="R295" i="3"/>
  <c r="R296" i="3"/>
  <c r="R297" i="3"/>
  <c r="R298" i="3"/>
  <c r="R299" i="3"/>
  <c r="R300" i="3"/>
  <c r="R301" i="3"/>
  <c r="R302" i="3"/>
  <c r="R303" i="3"/>
  <c r="R304" i="3"/>
  <c r="R305" i="3"/>
  <c r="R306" i="3"/>
  <c r="R307" i="3"/>
  <c r="R308" i="3"/>
  <c r="R309" i="3"/>
  <c r="R310" i="3"/>
  <c r="R311" i="3"/>
  <c r="R312" i="3"/>
  <c r="R313" i="3"/>
  <c r="R314" i="3"/>
  <c r="R315" i="3"/>
  <c r="R316" i="3"/>
  <c r="R317" i="3"/>
  <c r="R318" i="3"/>
  <c r="R319" i="3"/>
  <c r="R320" i="3"/>
  <c r="R321" i="3"/>
  <c r="R322" i="3"/>
  <c r="R323" i="3"/>
  <c r="R324" i="3"/>
  <c r="R325" i="3"/>
  <c r="R326" i="3"/>
  <c r="R327" i="3"/>
  <c r="R328" i="3"/>
  <c r="R329" i="3"/>
  <c r="R330" i="3"/>
  <c r="R331" i="3"/>
  <c r="R332" i="3"/>
  <c r="R333" i="3"/>
  <c r="R334" i="3"/>
  <c r="R335" i="3"/>
  <c r="R336" i="3"/>
  <c r="R337" i="3"/>
  <c r="R338" i="3"/>
  <c r="R339" i="3"/>
  <c r="R340" i="3"/>
  <c r="R341" i="3"/>
  <c r="R342" i="3"/>
  <c r="R343" i="3"/>
  <c r="R344" i="3"/>
  <c r="R345" i="3"/>
  <c r="R346" i="3"/>
  <c r="R347" i="3"/>
  <c r="R348" i="3"/>
  <c r="R349" i="3"/>
  <c r="R350" i="3"/>
  <c r="R351" i="3"/>
  <c r="R352" i="3"/>
  <c r="R353" i="3"/>
  <c r="R354" i="3"/>
  <c r="R355" i="3"/>
  <c r="R356" i="3"/>
  <c r="R357" i="3"/>
  <c r="R358" i="3"/>
  <c r="R359" i="3"/>
  <c r="R360" i="3"/>
  <c r="R361" i="3"/>
  <c r="R362" i="3"/>
  <c r="R363" i="3"/>
  <c r="R364" i="3"/>
  <c r="R365" i="3"/>
  <c r="R366" i="3"/>
  <c r="R367" i="3"/>
  <c r="R368" i="3"/>
  <c r="R369" i="3"/>
  <c r="R370" i="3"/>
  <c r="R371" i="3"/>
  <c r="R372" i="3"/>
  <c r="R373" i="3"/>
  <c r="R374" i="3"/>
  <c r="R375" i="3"/>
  <c r="R376" i="3"/>
  <c r="R377" i="3"/>
  <c r="R378" i="3"/>
  <c r="R379" i="3"/>
  <c r="R380" i="3"/>
  <c r="R381" i="3"/>
  <c r="R382" i="3"/>
  <c r="R383" i="3"/>
  <c r="R384" i="3"/>
  <c r="R385" i="3"/>
  <c r="R386" i="3"/>
  <c r="R387" i="3"/>
  <c r="R388" i="3"/>
  <c r="R389" i="3"/>
  <c r="R390" i="3"/>
  <c r="R391" i="3"/>
  <c r="R392" i="3"/>
  <c r="R393" i="3"/>
  <c r="R394" i="3"/>
  <c r="R395" i="3"/>
  <c r="R396" i="3"/>
  <c r="R397" i="3"/>
  <c r="R398" i="3"/>
  <c r="R399" i="3"/>
  <c r="R400" i="3"/>
  <c r="R401" i="3"/>
  <c r="R402" i="3"/>
  <c r="R403" i="3"/>
  <c r="R404" i="3"/>
  <c r="R405" i="3"/>
  <c r="R406" i="3"/>
  <c r="R407" i="3"/>
  <c r="R408" i="3"/>
  <c r="R409" i="3"/>
  <c r="R410" i="3"/>
  <c r="R411" i="3"/>
  <c r="R412" i="3"/>
  <c r="R413" i="3"/>
  <c r="R414" i="3"/>
  <c r="R415" i="3"/>
  <c r="R416" i="3"/>
  <c r="R417" i="3"/>
  <c r="R418" i="3"/>
  <c r="R419" i="3"/>
  <c r="R420" i="3"/>
  <c r="R421" i="3"/>
  <c r="R422" i="3"/>
  <c r="R423" i="3"/>
  <c r="R424" i="3"/>
  <c r="R425" i="3"/>
  <c r="R426" i="3"/>
  <c r="R427" i="3"/>
  <c r="R428" i="3"/>
  <c r="R429" i="3"/>
  <c r="R430" i="3"/>
  <c r="R431" i="3"/>
  <c r="R432" i="3"/>
  <c r="R433" i="3"/>
  <c r="R434" i="3"/>
  <c r="R435" i="3"/>
  <c r="R436" i="3"/>
  <c r="R437" i="3"/>
  <c r="R438" i="3"/>
  <c r="R439" i="3"/>
  <c r="R440" i="3"/>
  <c r="R441" i="3"/>
  <c r="R442" i="3"/>
  <c r="R2" i="3"/>
  <c r="O3" i="3"/>
  <c r="O4" i="3"/>
  <c r="P4" i="3" s="1"/>
  <c r="O5" i="3"/>
  <c r="M5" i="3" s="1"/>
  <c r="O6" i="3"/>
  <c r="O7" i="3"/>
  <c r="P7" i="3" s="1"/>
  <c r="O8" i="3"/>
  <c r="M8" i="3" s="1"/>
  <c r="O9" i="3"/>
  <c r="O10" i="3"/>
  <c r="Q10" i="3" s="1"/>
  <c r="O11" i="3"/>
  <c r="M11" i="3" s="1"/>
  <c r="O12" i="3"/>
  <c r="O13" i="3"/>
  <c r="O14" i="3"/>
  <c r="O15" i="3"/>
  <c r="M15" i="3" s="1"/>
  <c r="O16" i="3"/>
  <c r="O17" i="3"/>
  <c r="Q17" i="3" s="1"/>
  <c r="O18" i="3"/>
  <c r="O19" i="3"/>
  <c r="O20" i="3"/>
  <c r="O21" i="3"/>
  <c r="M21" i="3" s="1"/>
  <c r="O22" i="3"/>
  <c r="O23" i="3"/>
  <c r="O24" i="3"/>
  <c r="M24" i="3" s="1"/>
  <c r="O25" i="3"/>
  <c r="O26" i="3"/>
  <c r="M26" i="3" s="1"/>
  <c r="O27" i="3"/>
  <c r="M27" i="3" s="1"/>
  <c r="O28" i="3"/>
  <c r="P28" i="3" s="1"/>
  <c r="O29" i="3"/>
  <c r="O30" i="3"/>
  <c r="O31" i="3"/>
  <c r="O32" i="3"/>
  <c r="M32" i="3" s="1"/>
  <c r="O33" i="3"/>
  <c r="Q33" i="3" s="1"/>
  <c r="O34" i="3"/>
  <c r="O35" i="3"/>
  <c r="P35" i="3" s="1"/>
  <c r="O36" i="3"/>
  <c r="O37" i="3"/>
  <c r="O38" i="3"/>
  <c r="M38" i="3" s="1"/>
  <c r="O39" i="3"/>
  <c r="O40" i="3"/>
  <c r="O41" i="3"/>
  <c r="O42" i="3"/>
  <c r="O43" i="3"/>
  <c r="O44" i="3"/>
  <c r="O45" i="3"/>
  <c r="Q45" i="3" s="1"/>
  <c r="O46" i="3"/>
  <c r="M46" i="3" s="1"/>
  <c r="O47" i="3"/>
  <c r="M47" i="3" s="1"/>
  <c r="O48" i="3"/>
  <c r="O49" i="3"/>
  <c r="Q49" i="3" s="1"/>
  <c r="O50" i="3"/>
  <c r="O51" i="3"/>
  <c r="Q51" i="3" s="1"/>
  <c r="O52" i="3"/>
  <c r="O53" i="3"/>
  <c r="M53" i="3" s="1"/>
  <c r="O54" i="3"/>
  <c r="O55" i="3"/>
  <c r="Q55" i="3" s="1"/>
  <c r="O56" i="3"/>
  <c r="O57" i="3"/>
  <c r="M57" i="3" s="1"/>
  <c r="O58" i="3"/>
  <c r="O59" i="3"/>
  <c r="O60" i="3"/>
  <c r="O61" i="3"/>
  <c r="M61" i="3" s="1"/>
  <c r="O62" i="3"/>
  <c r="Q62" i="3" s="1"/>
  <c r="O63" i="3"/>
  <c r="O64" i="3"/>
  <c r="M64" i="3" s="1"/>
  <c r="O65" i="3"/>
  <c r="M65" i="3" s="1"/>
  <c r="O66" i="3"/>
  <c r="M66" i="3" s="1"/>
  <c r="O67" i="3"/>
  <c r="M67" i="3" s="1"/>
  <c r="O68" i="3"/>
  <c r="M68" i="3" s="1"/>
  <c r="O69" i="3"/>
  <c r="O70" i="3"/>
  <c r="O71" i="3"/>
  <c r="M71" i="3" s="1"/>
  <c r="O72" i="3"/>
  <c r="O73" i="3"/>
  <c r="O74" i="3"/>
  <c r="O75" i="3"/>
  <c r="O76" i="3"/>
  <c r="Q76" i="3" s="1"/>
  <c r="O77" i="3"/>
  <c r="O78" i="3"/>
  <c r="O79" i="3"/>
  <c r="M79" i="3" s="1"/>
  <c r="O80" i="3"/>
  <c r="M80" i="3" s="1"/>
  <c r="O81" i="3"/>
  <c r="O82" i="3"/>
  <c r="M82" i="3" s="1"/>
  <c r="O83" i="3"/>
  <c r="M83" i="3" s="1"/>
  <c r="O84" i="3"/>
  <c r="O85" i="3"/>
  <c r="M85" i="3" s="1"/>
  <c r="O86" i="3"/>
  <c r="O87" i="3"/>
  <c r="Q87" i="3" s="1"/>
  <c r="O88" i="3"/>
  <c r="O89" i="3"/>
  <c r="Q89" i="3" s="1"/>
  <c r="O90" i="3"/>
  <c r="O91" i="3"/>
  <c r="O92" i="3"/>
  <c r="O93" i="3"/>
  <c r="Q93" i="3" s="1"/>
  <c r="O94" i="3"/>
  <c r="Q94" i="3" s="1"/>
  <c r="O95" i="3"/>
  <c r="O96" i="3"/>
  <c r="O97" i="3"/>
  <c r="M97" i="3" s="1"/>
  <c r="O98" i="3"/>
  <c r="M98" i="3" s="1"/>
  <c r="O99" i="3"/>
  <c r="M99" i="3" s="1"/>
  <c r="O100" i="3"/>
  <c r="Q100" i="3" s="1"/>
  <c r="O101" i="3"/>
  <c r="Q101" i="3" s="1"/>
  <c r="O102" i="3"/>
  <c r="Q102" i="3" s="1"/>
  <c r="O103" i="3"/>
  <c r="O104" i="3"/>
  <c r="M104" i="3" s="1"/>
  <c r="O105" i="3"/>
  <c r="O106" i="3"/>
  <c r="O107" i="3"/>
  <c r="P107" i="3" s="1"/>
  <c r="O108" i="3"/>
  <c r="M108" i="3" s="1"/>
  <c r="O109" i="3"/>
  <c r="O110" i="3"/>
  <c r="O111" i="3"/>
  <c r="O112" i="3"/>
  <c r="M112" i="3" s="1"/>
  <c r="O113" i="3"/>
  <c r="O114" i="3"/>
  <c r="O115" i="3"/>
  <c r="O116" i="3"/>
  <c r="O117" i="3"/>
  <c r="Q117" i="3" s="1"/>
  <c r="O118" i="3"/>
  <c r="O119" i="3"/>
  <c r="O120" i="3"/>
  <c r="O121" i="3"/>
  <c r="M121" i="3" s="1"/>
  <c r="O122" i="3"/>
  <c r="M122" i="3" s="1"/>
  <c r="O123" i="3"/>
  <c r="O124" i="3"/>
  <c r="O125" i="3"/>
  <c r="M125" i="3" s="1"/>
  <c r="O126" i="3"/>
  <c r="M126" i="3" s="1"/>
  <c r="O127" i="3"/>
  <c r="O128" i="3"/>
  <c r="Q128" i="3" s="1"/>
  <c r="O129" i="3"/>
  <c r="O130" i="3"/>
  <c r="Q130" i="3" s="1"/>
  <c r="O131" i="3"/>
  <c r="Q131" i="3" s="1"/>
  <c r="O132" i="3"/>
  <c r="O133" i="3"/>
  <c r="P133" i="3" s="1"/>
  <c r="O134" i="3"/>
  <c r="Q134" i="3" s="1"/>
  <c r="O135" i="3"/>
  <c r="Q135" i="3" s="1"/>
  <c r="O136" i="3"/>
  <c r="M136" i="3" s="1"/>
  <c r="O137" i="3"/>
  <c r="O138" i="3"/>
  <c r="M138" i="3" s="1"/>
  <c r="O139" i="3"/>
  <c r="O140" i="3"/>
  <c r="O141" i="3"/>
  <c r="O142" i="3"/>
  <c r="O143" i="3"/>
  <c r="P143" i="3" s="1"/>
  <c r="O144" i="3"/>
  <c r="M144" i="3" s="1"/>
  <c r="O145" i="3"/>
  <c r="O146" i="3"/>
  <c r="O147" i="3"/>
  <c r="M147" i="3" s="1"/>
  <c r="O148" i="3"/>
  <c r="O149" i="3"/>
  <c r="O150" i="3"/>
  <c r="M150" i="3" s="1"/>
  <c r="O151" i="3"/>
  <c r="O152" i="3"/>
  <c r="O153" i="3"/>
  <c r="M153" i="3" s="1"/>
  <c r="O154" i="3"/>
  <c r="M154" i="3" s="1"/>
  <c r="O155" i="3"/>
  <c r="M155" i="3" s="1"/>
  <c r="O156" i="3"/>
  <c r="O157" i="3"/>
  <c r="M157" i="3" s="1"/>
  <c r="O158" i="3"/>
  <c r="Q158" i="3" s="1"/>
  <c r="O159" i="3"/>
  <c r="Q159" i="3" s="1"/>
  <c r="O160" i="3"/>
  <c r="O161" i="3"/>
  <c r="O162" i="3"/>
  <c r="O163" i="3"/>
  <c r="O164" i="3"/>
  <c r="Q164" i="3" s="1"/>
  <c r="O165" i="3"/>
  <c r="O166" i="3"/>
  <c r="M166" i="3" s="1"/>
  <c r="O167" i="3"/>
  <c r="M167" i="3" s="1"/>
  <c r="O168" i="3"/>
  <c r="O169" i="3"/>
  <c r="O170" i="3"/>
  <c r="O171" i="3"/>
  <c r="O172" i="3"/>
  <c r="M172" i="3" s="1"/>
  <c r="O173" i="3"/>
  <c r="O174" i="3"/>
  <c r="Q174" i="3" s="1"/>
  <c r="O175" i="3"/>
  <c r="O176" i="3"/>
  <c r="M176" i="3" s="1"/>
  <c r="O177" i="3"/>
  <c r="M177" i="3" s="1"/>
  <c r="O178" i="3"/>
  <c r="O179" i="3"/>
  <c r="O180" i="3"/>
  <c r="M180" i="3" s="1"/>
  <c r="O181" i="3"/>
  <c r="O182" i="3"/>
  <c r="O183" i="3"/>
  <c r="P183" i="3" s="1"/>
  <c r="O184" i="3"/>
  <c r="Q184" i="3" s="1"/>
  <c r="O185" i="3"/>
  <c r="O186" i="3"/>
  <c r="O187" i="3"/>
  <c r="M187" i="3" s="1"/>
  <c r="O188" i="3"/>
  <c r="O189" i="3"/>
  <c r="O190" i="3"/>
  <c r="O191" i="3"/>
  <c r="O192" i="3"/>
  <c r="O193" i="3"/>
  <c r="O194" i="3"/>
  <c r="Q194" i="3" s="1"/>
  <c r="O195" i="3"/>
  <c r="O196" i="3"/>
  <c r="O197" i="3"/>
  <c r="M197" i="3" s="1"/>
  <c r="O198" i="3"/>
  <c r="Q198" i="3" s="1"/>
  <c r="O199" i="3"/>
  <c r="O200" i="3"/>
  <c r="O201" i="3"/>
  <c r="Q201" i="3" s="1"/>
  <c r="O202" i="3"/>
  <c r="M202" i="3" s="1"/>
  <c r="O203" i="3"/>
  <c r="O204" i="3"/>
  <c r="M204" i="3" s="1"/>
  <c r="O205" i="3"/>
  <c r="M205" i="3" s="1"/>
  <c r="O206" i="3"/>
  <c r="O207" i="3"/>
  <c r="O208" i="3"/>
  <c r="P208" i="3" s="1"/>
  <c r="O209" i="3"/>
  <c r="M209" i="3" s="1"/>
  <c r="O210" i="3"/>
  <c r="Q210" i="3" s="1"/>
  <c r="O211" i="3"/>
  <c r="O212" i="3"/>
  <c r="Q212" i="3" s="1"/>
  <c r="O213" i="3"/>
  <c r="M213" i="3" s="1"/>
  <c r="O214" i="3"/>
  <c r="O215" i="3"/>
  <c r="O216" i="3"/>
  <c r="Q216" i="3" s="1"/>
  <c r="O217" i="3"/>
  <c r="O218" i="3"/>
  <c r="M218" i="3" s="1"/>
  <c r="O219" i="3"/>
  <c r="Q219" i="3" s="1"/>
  <c r="O220" i="3"/>
  <c r="M220" i="3" s="1"/>
  <c r="O221" i="3"/>
  <c r="O222" i="3"/>
  <c r="M222" i="3" s="1"/>
  <c r="O223" i="3"/>
  <c r="M223" i="3" s="1"/>
  <c r="O224" i="3"/>
  <c r="O225" i="3"/>
  <c r="O226" i="3"/>
  <c r="Q226" i="3" s="1"/>
  <c r="O227" i="3"/>
  <c r="O228" i="3"/>
  <c r="M228" i="3" s="1"/>
  <c r="O229" i="3"/>
  <c r="O230" i="3"/>
  <c r="Q230" i="3" s="1"/>
  <c r="O231" i="3"/>
  <c r="M231" i="3" s="1"/>
  <c r="O232" i="3"/>
  <c r="M232" i="3" s="1"/>
  <c r="O233" i="3"/>
  <c r="P233" i="3" s="1"/>
  <c r="O234" i="3"/>
  <c r="O235" i="3"/>
  <c r="O236" i="3"/>
  <c r="O237" i="3"/>
  <c r="O238" i="3"/>
  <c r="M238" i="3" s="1"/>
  <c r="O239" i="3"/>
  <c r="P239" i="3" s="1"/>
  <c r="O240" i="3"/>
  <c r="M240" i="3" s="1"/>
  <c r="O241" i="3"/>
  <c r="M241" i="3" s="1"/>
  <c r="O242" i="3"/>
  <c r="O243" i="3"/>
  <c r="P243" i="3" s="1"/>
  <c r="O244" i="3"/>
  <c r="O245" i="3"/>
  <c r="M245" i="3" s="1"/>
  <c r="O246" i="3"/>
  <c r="O247" i="3"/>
  <c r="M247" i="3" s="1"/>
  <c r="O248" i="3"/>
  <c r="O249" i="3"/>
  <c r="O250" i="3"/>
  <c r="O251" i="3"/>
  <c r="Q251" i="3" s="1"/>
  <c r="O252" i="3"/>
  <c r="O253" i="3"/>
  <c r="M253" i="3" s="1"/>
  <c r="O254" i="3"/>
  <c r="O255" i="3"/>
  <c r="M255" i="3" s="1"/>
  <c r="O256" i="3"/>
  <c r="O257" i="3"/>
  <c r="M257" i="3" s="1"/>
  <c r="O258" i="3"/>
  <c r="O259" i="3"/>
  <c r="Q259" i="3" s="1"/>
  <c r="O260" i="3"/>
  <c r="O261" i="3"/>
  <c r="Q261" i="3" s="1"/>
  <c r="O262" i="3"/>
  <c r="O263" i="3"/>
  <c r="O264" i="3"/>
  <c r="M264" i="3" s="1"/>
  <c r="O265" i="3"/>
  <c r="O266" i="3"/>
  <c r="O267" i="3"/>
  <c r="O268" i="3"/>
  <c r="O269" i="3"/>
  <c r="O270" i="3"/>
  <c r="P270" i="3" s="1"/>
  <c r="O271" i="3"/>
  <c r="M271" i="3" s="1"/>
  <c r="O272" i="3"/>
  <c r="P272" i="3" s="1"/>
  <c r="O273" i="3"/>
  <c r="O274" i="3"/>
  <c r="Q274" i="3" s="1"/>
  <c r="O275" i="3"/>
  <c r="M275" i="3" s="1"/>
  <c r="O276" i="3"/>
  <c r="Q276" i="3" s="1"/>
  <c r="O277" i="3"/>
  <c r="M277" i="3" s="1"/>
  <c r="O278" i="3"/>
  <c r="O279" i="3"/>
  <c r="M279" i="3" s="1"/>
  <c r="O280" i="3"/>
  <c r="M280" i="3" s="1"/>
  <c r="O281" i="3"/>
  <c r="M281" i="3" s="1"/>
  <c r="O282" i="3"/>
  <c r="M282" i="3" s="1"/>
  <c r="O283" i="3"/>
  <c r="M283" i="3" s="1"/>
  <c r="O284" i="3"/>
  <c r="O285" i="3"/>
  <c r="M285" i="3" s="1"/>
  <c r="O286" i="3"/>
  <c r="O287" i="3"/>
  <c r="M287" i="3" s="1"/>
  <c r="O288" i="3"/>
  <c r="O289" i="3"/>
  <c r="O290" i="3"/>
  <c r="O291" i="3"/>
  <c r="O292" i="3"/>
  <c r="M292" i="3" s="1"/>
  <c r="O293" i="3"/>
  <c r="M293" i="3" s="1"/>
  <c r="O294" i="3"/>
  <c r="O295" i="3"/>
  <c r="O296" i="3"/>
  <c r="P296" i="3" s="1"/>
  <c r="O297" i="3"/>
  <c r="O298" i="3"/>
  <c r="O299" i="3"/>
  <c r="P299" i="3" s="1"/>
  <c r="O300" i="3"/>
  <c r="Q300" i="3" s="1"/>
  <c r="O301" i="3"/>
  <c r="Q301" i="3" s="1"/>
  <c r="O302" i="3"/>
  <c r="O303" i="3"/>
  <c r="O304" i="3"/>
  <c r="M304" i="3" s="1"/>
  <c r="O305" i="3"/>
  <c r="O306" i="3"/>
  <c r="M306" i="3" s="1"/>
  <c r="O307" i="3"/>
  <c r="P307" i="3" s="1"/>
  <c r="O308" i="3"/>
  <c r="O309" i="3"/>
  <c r="M309" i="3" s="1"/>
  <c r="O310" i="3"/>
  <c r="O311" i="3"/>
  <c r="Q311" i="3" s="1"/>
  <c r="O312" i="3"/>
  <c r="O313" i="3"/>
  <c r="O314" i="3"/>
  <c r="O315" i="3"/>
  <c r="O316" i="3"/>
  <c r="M316" i="3" s="1"/>
  <c r="O317" i="3"/>
  <c r="O318" i="3"/>
  <c r="M318" i="3" s="1"/>
  <c r="O319" i="3"/>
  <c r="O320" i="3"/>
  <c r="O321" i="3"/>
  <c r="Q321" i="3" s="1"/>
  <c r="O322" i="3"/>
  <c r="O323" i="3"/>
  <c r="O324" i="3"/>
  <c r="P324" i="3" s="1"/>
  <c r="O325" i="3"/>
  <c r="Q325" i="3" s="1"/>
  <c r="O326" i="3"/>
  <c r="O327" i="3"/>
  <c r="O328" i="3"/>
  <c r="M328" i="3" s="1"/>
  <c r="O329" i="3"/>
  <c r="O330" i="3"/>
  <c r="O331" i="3"/>
  <c r="O332" i="3"/>
  <c r="Q332" i="3" s="1"/>
  <c r="O333" i="3"/>
  <c r="M333" i="3" s="1"/>
  <c r="O334" i="3"/>
  <c r="O335" i="3"/>
  <c r="M335" i="3" s="1"/>
  <c r="O336" i="3"/>
  <c r="O337" i="3"/>
  <c r="M337" i="3" s="1"/>
  <c r="O338" i="3"/>
  <c r="O339" i="3"/>
  <c r="O340" i="3"/>
  <c r="O341" i="3"/>
  <c r="P341" i="3" s="1"/>
  <c r="O342" i="3"/>
  <c r="O343" i="3"/>
  <c r="O344" i="3"/>
  <c r="M344" i="3" s="1"/>
  <c r="O345" i="3"/>
  <c r="M345" i="3" s="1"/>
  <c r="O346" i="3"/>
  <c r="M346" i="3" s="1"/>
  <c r="O347" i="3"/>
  <c r="M347" i="3" s="1"/>
  <c r="O348" i="3"/>
  <c r="O349" i="3"/>
  <c r="O350" i="3"/>
  <c r="O351" i="3"/>
  <c r="O352" i="3"/>
  <c r="O353" i="3"/>
  <c r="O354" i="3"/>
  <c r="O355" i="3"/>
  <c r="Q355" i="3" s="1"/>
  <c r="O356" i="3"/>
  <c r="O357" i="3"/>
  <c r="O358" i="3"/>
  <c r="O359" i="3"/>
  <c r="O360" i="3"/>
  <c r="M360" i="3" s="1"/>
  <c r="O361" i="3"/>
  <c r="O362" i="3"/>
  <c r="M362" i="3" s="1"/>
  <c r="O363" i="3"/>
  <c r="M363" i="3" s="1"/>
  <c r="O364" i="3"/>
  <c r="O365" i="3"/>
  <c r="M365" i="3" s="1"/>
  <c r="O366" i="3"/>
  <c r="O367" i="3"/>
  <c r="O368" i="3"/>
  <c r="M368" i="3" s="1"/>
  <c r="O369" i="3"/>
  <c r="P369" i="3" s="1"/>
  <c r="O370" i="3"/>
  <c r="P370" i="3" s="1"/>
  <c r="O371" i="3"/>
  <c r="M371" i="3" s="1"/>
  <c r="O372" i="3"/>
  <c r="O373" i="3"/>
  <c r="O374" i="3"/>
  <c r="O375" i="3"/>
  <c r="O376" i="3"/>
  <c r="O377" i="3"/>
  <c r="M377" i="3" s="1"/>
  <c r="O378" i="3"/>
  <c r="O379" i="3"/>
  <c r="O380" i="3"/>
  <c r="Q380" i="3" s="1"/>
  <c r="O381" i="3"/>
  <c r="O382" i="3"/>
  <c r="Q382" i="3" s="1"/>
  <c r="O383" i="3"/>
  <c r="O384" i="3"/>
  <c r="M384" i="3" s="1"/>
  <c r="O385" i="3"/>
  <c r="O386" i="3"/>
  <c r="O387" i="3"/>
  <c r="O388" i="3"/>
  <c r="M388" i="3" s="1"/>
  <c r="O389" i="3"/>
  <c r="M389" i="3" s="1"/>
  <c r="O390" i="3"/>
  <c r="M390" i="3" s="1"/>
  <c r="O391" i="3"/>
  <c r="M391" i="3" s="1"/>
  <c r="O392" i="3"/>
  <c r="O393" i="3"/>
  <c r="O394" i="3"/>
  <c r="O395" i="3"/>
  <c r="Q395" i="3" s="1"/>
  <c r="O396" i="3"/>
  <c r="Q396" i="3" s="1"/>
  <c r="O397" i="3"/>
  <c r="O398" i="3"/>
  <c r="M398" i="3" s="1"/>
  <c r="O399" i="3"/>
  <c r="M399" i="3" s="1"/>
  <c r="O400" i="3"/>
  <c r="O401" i="3"/>
  <c r="O402" i="3"/>
  <c r="M402" i="3" s="1"/>
  <c r="O403" i="3"/>
  <c r="M403" i="3" s="1"/>
  <c r="O404" i="3"/>
  <c r="M404" i="3" s="1"/>
  <c r="O405" i="3"/>
  <c r="P405" i="3" s="1"/>
  <c r="O406" i="3"/>
  <c r="P406" i="3" s="1"/>
  <c r="O407" i="3"/>
  <c r="O408" i="3"/>
  <c r="M408" i="3" s="1"/>
  <c r="O409" i="3"/>
  <c r="O410" i="3"/>
  <c r="Q410" i="3" s="1"/>
  <c r="O411" i="3"/>
  <c r="Q411" i="3" s="1"/>
  <c r="O412" i="3"/>
  <c r="Q412" i="3" s="1"/>
  <c r="O413" i="3"/>
  <c r="M413" i="3" s="1"/>
  <c r="O414" i="3"/>
  <c r="O415" i="3"/>
  <c r="M415" i="3" s="1"/>
  <c r="O416" i="3"/>
  <c r="M416" i="3" s="1"/>
  <c r="O417" i="3"/>
  <c r="O418" i="3"/>
  <c r="M418" i="3" s="1"/>
  <c r="O419" i="3"/>
  <c r="O420" i="3"/>
  <c r="Q420" i="3" s="1"/>
  <c r="O421" i="3"/>
  <c r="O422" i="3"/>
  <c r="Q422" i="3" s="1"/>
  <c r="O423" i="3"/>
  <c r="Q423" i="3" s="1"/>
  <c r="O424" i="3"/>
  <c r="O425" i="3"/>
  <c r="O426" i="3"/>
  <c r="O427" i="3"/>
  <c r="O428" i="3"/>
  <c r="Q428" i="3" s="1"/>
  <c r="O429" i="3"/>
  <c r="O430" i="3"/>
  <c r="O431" i="3"/>
  <c r="M431" i="3" s="1"/>
  <c r="O432" i="3"/>
  <c r="O433" i="3"/>
  <c r="M433" i="3" s="1"/>
  <c r="O434" i="3"/>
  <c r="M434" i="3" s="1"/>
  <c r="O435" i="3"/>
  <c r="O436" i="3"/>
  <c r="O437" i="3"/>
  <c r="O438" i="3"/>
  <c r="M438" i="3" s="1"/>
  <c r="O439" i="3"/>
  <c r="M439" i="3" s="1"/>
  <c r="O440" i="3"/>
  <c r="O441" i="3"/>
  <c r="O442" i="3"/>
  <c r="O443" i="3"/>
  <c r="M443" i="3" s="1"/>
  <c r="O444" i="3"/>
  <c r="O445" i="3"/>
  <c r="M445" i="3" s="1"/>
  <c r="O446" i="3"/>
  <c r="O447" i="3"/>
  <c r="O448" i="3"/>
  <c r="O449" i="3"/>
  <c r="O450" i="3"/>
  <c r="O451" i="3"/>
  <c r="O452" i="3"/>
  <c r="O453" i="3"/>
  <c r="Q453" i="3" s="1"/>
  <c r="O454" i="3"/>
  <c r="O455" i="3"/>
  <c r="Q455" i="3" s="1"/>
  <c r="O456" i="3"/>
  <c r="O457" i="3"/>
  <c r="M457" i="3" s="1"/>
  <c r="O458" i="3"/>
  <c r="O459" i="3"/>
  <c r="M459" i="3" s="1"/>
  <c r="O460" i="3"/>
  <c r="O461" i="3"/>
  <c r="O462" i="3"/>
  <c r="O463" i="3"/>
  <c r="M463" i="3" s="1"/>
  <c r="O464" i="3"/>
  <c r="O465" i="3"/>
  <c r="O466" i="3"/>
  <c r="O467" i="3"/>
  <c r="O468" i="3"/>
  <c r="O469" i="3"/>
  <c r="O470" i="3"/>
  <c r="O471" i="3"/>
  <c r="M471" i="3" s="1"/>
  <c r="O472" i="3"/>
  <c r="O473" i="3"/>
  <c r="M473" i="3" s="1"/>
  <c r="O474" i="3"/>
  <c r="O475" i="3"/>
  <c r="O476" i="3"/>
  <c r="O477" i="3"/>
  <c r="P477" i="3" s="1"/>
  <c r="O478" i="3"/>
  <c r="O479" i="3"/>
  <c r="O480" i="3"/>
  <c r="O481" i="3"/>
  <c r="Q481" i="3" s="1"/>
  <c r="O482" i="3"/>
  <c r="M482" i="3" s="1"/>
  <c r="O483" i="3"/>
  <c r="M483" i="3" s="1"/>
  <c r="O484" i="3"/>
  <c r="Q484" i="3" s="1"/>
  <c r="O485" i="3"/>
  <c r="O486" i="3"/>
  <c r="Q486" i="3" s="1"/>
  <c r="O487" i="3"/>
  <c r="M487" i="3" s="1"/>
  <c r="O488" i="3"/>
  <c r="Q488" i="3" s="1"/>
  <c r="O489" i="3"/>
  <c r="O490" i="3"/>
  <c r="M490" i="3" s="1"/>
  <c r="O491" i="3"/>
  <c r="M491" i="3" s="1"/>
  <c r="O492" i="3"/>
  <c r="O493" i="3"/>
  <c r="Q493" i="3" s="1"/>
  <c r="O494" i="3"/>
  <c r="O495" i="3"/>
  <c r="M495" i="3" s="1"/>
  <c r="O496" i="3"/>
  <c r="O497" i="3"/>
  <c r="M497" i="3" s="1"/>
  <c r="O498" i="3"/>
  <c r="O499" i="3"/>
  <c r="P499" i="3" s="1"/>
  <c r="O500" i="3"/>
  <c r="O501" i="3"/>
  <c r="P501" i="3" s="1"/>
  <c r="O502" i="3"/>
  <c r="O503" i="3"/>
  <c r="O504" i="3"/>
  <c r="O505" i="3"/>
  <c r="M505" i="3" s="1"/>
  <c r="O506" i="3"/>
  <c r="O507" i="3"/>
  <c r="O508" i="3"/>
  <c r="M508" i="3" s="1"/>
  <c r="O509" i="3"/>
  <c r="O510" i="3"/>
  <c r="O511" i="3"/>
  <c r="O512" i="3"/>
  <c r="M512" i="3" s="1"/>
  <c r="O513" i="3"/>
  <c r="O514" i="3"/>
  <c r="M514" i="3" s="1"/>
  <c r="O515" i="3"/>
  <c r="O516" i="3"/>
  <c r="O517" i="3"/>
  <c r="O518" i="3"/>
  <c r="Q518" i="3" s="1"/>
  <c r="O519" i="3"/>
  <c r="O520" i="3"/>
  <c r="P520" i="3" s="1"/>
  <c r="O521" i="3"/>
  <c r="O522" i="3"/>
  <c r="O523" i="3"/>
  <c r="Q523" i="3" s="1"/>
  <c r="O524" i="3"/>
  <c r="M524" i="3" s="1"/>
  <c r="O525" i="3"/>
  <c r="O526" i="3"/>
  <c r="M526" i="3" s="1"/>
  <c r="O527" i="3"/>
  <c r="O528" i="3"/>
  <c r="O529" i="3"/>
  <c r="M529" i="3" s="1"/>
  <c r="O530" i="3"/>
  <c r="O531" i="3"/>
  <c r="M531" i="3" s="1"/>
  <c r="O532" i="3"/>
  <c r="O533" i="3"/>
  <c r="P533" i="3" s="1"/>
  <c r="O534" i="3"/>
  <c r="O535" i="3"/>
  <c r="O536" i="3"/>
  <c r="O537" i="3"/>
  <c r="O538" i="3"/>
  <c r="M538" i="3" s="1"/>
  <c r="O539" i="3"/>
  <c r="O540" i="3"/>
  <c r="O541" i="3"/>
  <c r="M541" i="3" s="1"/>
  <c r="O542" i="3"/>
  <c r="Q542" i="3" s="1"/>
  <c r="O543" i="3"/>
  <c r="M543" i="3" s="1"/>
  <c r="O544" i="3"/>
  <c r="O545" i="3"/>
  <c r="M545" i="3" s="1"/>
  <c r="O546" i="3"/>
  <c r="M546" i="3" s="1"/>
  <c r="O547" i="3"/>
  <c r="O548" i="3"/>
  <c r="P548" i="3" s="1"/>
  <c r="O549" i="3"/>
  <c r="P549" i="3" s="1"/>
  <c r="O550" i="3"/>
  <c r="Q550" i="3" s="1"/>
  <c r="O551" i="3"/>
  <c r="O552" i="3"/>
  <c r="M552" i="3" s="1"/>
  <c r="O553" i="3"/>
  <c r="O554" i="3"/>
  <c r="O555" i="3"/>
  <c r="M555" i="3" s="1"/>
  <c r="O556" i="3"/>
  <c r="O557" i="3"/>
  <c r="O558" i="3"/>
  <c r="M558" i="3" s="1"/>
  <c r="O559" i="3"/>
  <c r="O560" i="3"/>
  <c r="Q560" i="3" s="1"/>
  <c r="O561" i="3"/>
  <c r="O562" i="3"/>
  <c r="Q562" i="3" s="1"/>
  <c r="O563" i="3"/>
  <c r="M563" i="3" s="1"/>
  <c r="O564" i="3"/>
  <c r="M564" i="3" s="1"/>
  <c r="O565" i="3"/>
  <c r="P565" i="3" s="1"/>
  <c r="O566" i="3"/>
  <c r="O567" i="3"/>
  <c r="M567" i="3" s="1"/>
  <c r="O568" i="3"/>
  <c r="O569" i="3"/>
  <c r="Q569" i="3" s="1"/>
  <c r="O570" i="3"/>
  <c r="O571" i="3"/>
  <c r="O572" i="3"/>
  <c r="O573" i="3"/>
  <c r="O574" i="3"/>
  <c r="Q574" i="3" s="1"/>
  <c r="O575" i="3"/>
  <c r="M575" i="3" s="1"/>
  <c r="O576" i="3"/>
  <c r="Q576" i="3" s="1"/>
  <c r="O577" i="3"/>
  <c r="M577" i="3" s="1"/>
  <c r="O578" i="3"/>
  <c r="Q578" i="3" s="1"/>
  <c r="O579" i="3"/>
  <c r="O580" i="3"/>
  <c r="M580" i="3" s="1"/>
  <c r="O581" i="3"/>
  <c r="O582" i="3"/>
  <c r="O583" i="3"/>
  <c r="O584" i="3"/>
  <c r="M584" i="3" s="1"/>
  <c r="O585" i="3"/>
  <c r="O586" i="3"/>
  <c r="O587" i="3"/>
  <c r="O588" i="3"/>
  <c r="O589" i="3"/>
  <c r="M589" i="3" s="1"/>
  <c r="O590" i="3"/>
  <c r="O591" i="3"/>
  <c r="O592" i="3"/>
  <c r="Q592" i="3" s="1"/>
  <c r="O593" i="3"/>
  <c r="O594" i="3"/>
  <c r="M594" i="3" s="1"/>
  <c r="O595" i="3"/>
  <c r="M595" i="3" s="1"/>
  <c r="O596" i="3"/>
  <c r="O597" i="3"/>
  <c r="M597" i="3" s="1"/>
  <c r="O598" i="3"/>
  <c r="O599" i="3"/>
  <c r="O600" i="3"/>
  <c r="M600" i="3" s="1"/>
  <c r="O601" i="3"/>
  <c r="M601" i="3" s="1"/>
  <c r="O602" i="3"/>
  <c r="O603" i="3"/>
  <c r="M603" i="3" s="1"/>
  <c r="O604" i="3"/>
  <c r="Q604" i="3" s="1"/>
  <c r="O605" i="3"/>
  <c r="Q605" i="3" s="1"/>
  <c r="O606" i="3"/>
  <c r="P606" i="3" s="1"/>
  <c r="O607" i="3"/>
  <c r="P607" i="3" s="1"/>
  <c r="O608" i="3"/>
  <c r="O609" i="3"/>
  <c r="M609" i="3" s="1"/>
  <c r="O610" i="3"/>
  <c r="Q610" i="3" s="1"/>
  <c r="O611" i="3"/>
  <c r="O612" i="3"/>
  <c r="O613" i="3"/>
  <c r="O614" i="3"/>
  <c r="M614" i="3" s="1"/>
  <c r="O615" i="3"/>
  <c r="O616" i="3"/>
  <c r="O617" i="3"/>
  <c r="O618" i="3"/>
  <c r="Q618" i="3" s="1"/>
  <c r="O619" i="3"/>
  <c r="O620" i="3"/>
  <c r="Q620" i="3" s="1"/>
  <c r="O621" i="3"/>
  <c r="P621" i="3" s="1"/>
  <c r="O622" i="3"/>
  <c r="O623" i="3"/>
  <c r="O624" i="3"/>
  <c r="M624" i="3" s="1"/>
  <c r="O625" i="3"/>
  <c r="O626" i="3"/>
  <c r="O627" i="3"/>
  <c r="O628" i="3"/>
  <c r="O629" i="3"/>
  <c r="O630" i="3"/>
  <c r="P630" i="3" s="1"/>
  <c r="O631" i="3"/>
  <c r="O632" i="3"/>
  <c r="Q632" i="3" s="1"/>
  <c r="O633" i="3"/>
  <c r="Q633" i="3" s="1"/>
  <c r="O634" i="3"/>
  <c r="O635" i="3"/>
  <c r="O636" i="3"/>
  <c r="O637" i="3"/>
  <c r="O638" i="3"/>
  <c r="O639" i="3"/>
  <c r="O640" i="3"/>
  <c r="O641" i="3"/>
  <c r="M641" i="3" s="1"/>
  <c r="O642" i="3"/>
  <c r="Q642" i="3" s="1"/>
  <c r="O643" i="3"/>
  <c r="P643" i="3" s="1"/>
  <c r="O644" i="3"/>
  <c r="O645" i="3"/>
  <c r="O646" i="3"/>
  <c r="O647" i="3"/>
  <c r="O648" i="3"/>
  <c r="O649" i="3"/>
  <c r="O650" i="3"/>
  <c r="M650" i="3" s="1"/>
  <c r="O651" i="3"/>
  <c r="M651" i="3" s="1"/>
  <c r="O652" i="3"/>
  <c r="M652" i="3" s="1"/>
  <c r="O653" i="3"/>
  <c r="M653" i="3" s="1"/>
  <c r="O654" i="3"/>
  <c r="O655" i="3"/>
  <c r="O656" i="3"/>
  <c r="O657" i="3"/>
  <c r="O658" i="3"/>
  <c r="M658" i="3" s="1"/>
  <c r="O659" i="3"/>
  <c r="M659" i="3" s="1"/>
  <c r="O660" i="3"/>
  <c r="Q660" i="3" s="1"/>
  <c r="O661" i="3"/>
  <c r="O662" i="3"/>
  <c r="M662" i="3" s="1"/>
  <c r="O663" i="3"/>
  <c r="M663" i="3" s="1"/>
  <c r="O664" i="3"/>
  <c r="M664" i="3" s="1"/>
  <c r="O665" i="3"/>
  <c r="Q665" i="3" s="1"/>
  <c r="O666" i="3"/>
  <c r="M666" i="3" s="1"/>
  <c r="O667" i="3"/>
  <c r="M667" i="3" s="1"/>
  <c r="O668" i="3"/>
  <c r="O669" i="3"/>
  <c r="M669" i="3" s="1"/>
  <c r="O670" i="3"/>
  <c r="O671" i="3"/>
  <c r="O672" i="3"/>
  <c r="O673" i="3"/>
  <c r="O674" i="3"/>
  <c r="O675" i="3"/>
  <c r="O676" i="3"/>
  <c r="O677" i="3"/>
  <c r="O678" i="3"/>
  <c r="O679" i="3"/>
  <c r="O680" i="3"/>
  <c r="M680" i="3" s="1"/>
  <c r="O681" i="3"/>
  <c r="M681" i="3" s="1"/>
  <c r="O682" i="3"/>
  <c r="O683" i="3"/>
  <c r="O684" i="3"/>
  <c r="O685" i="3"/>
  <c r="Q685" i="3" s="1"/>
  <c r="O686" i="3"/>
  <c r="Q686" i="3" s="1"/>
  <c r="O687" i="3"/>
  <c r="M687" i="3" s="1"/>
  <c r="O688" i="3"/>
  <c r="O689" i="3"/>
  <c r="Q689" i="3" s="1"/>
  <c r="O690" i="3"/>
  <c r="O691" i="3"/>
  <c r="Q691" i="3" s="1"/>
  <c r="O692" i="3"/>
  <c r="O693" i="3"/>
  <c r="O694" i="3"/>
  <c r="M694" i="3" s="1"/>
  <c r="O695" i="3"/>
  <c r="O696" i="3"/>
  <c r="O697" i="3"/>
  <c r="P697" i="3" s="1"/>
  <c r="O698" i="3"/>
  <c r="O699" i="3"/>
  <c r="M699" i="3" s="1"/>
  <c r="O700" i="3"/>
  <c r="O701" i="3"/>
  <c r="O702" i="3"/>
  <c r="Q702" i="3" s="1"/>
  <c r="O703" i="3"/>
  <c r="P703" i="3" s="1"/>
  <c r="O704" i="3"/>
  <c r="M704" i="3" s="1"/>
  <c r="O705" i="3"/>
  <c r="O706" i="3"/>
  <c r="O707" i="3"/>
  <c r="O708" i="3"/>
  <c r="O709" i="3"/>
  <c r="O710" i="3"/>
  <c r="O711" i="3"/>
  <c r="O712" i="3"/>
  <c r="O713" i="3"/>
  <c r="O714" i="3"/>
  <c r="M714" i="3" s="1"/>
  <c r="O715" i="3"/>
  <c r="M715" i="3" s="1"/>
  <c r="O716" i="3"/>
  <c r="O717" i="3"/>
  <c r="O718" i="3"/>
  <c r="M718" i="3" s="1"/>
  <c r="O719" i="3"/>
  <c r="O720" i="3"/>
  <c r="O721" i="3"/>
  <c r="O722" i="3"/>
  <c r="M722" i="3" s="1"/>
  <c r="O723" i="3"/>
  <c r="M723" i="3" s="1"/>
  <c r="O724" i="3"/>
  <c r="Q724" i="3" s="1"/>
  <c r="O725" i="3"/>
  <c r="O726" i="3"/>
  <c r="O727" i="3"/>
  <c r="O728" i="3"/>
  <c r="P728" i="3" s="1"/>
  <c r="O729" i="3"/>
  <c r="O730" i="3"/>
  <c r="Q730" i="3" s="1"/>
  <c r="O731" i="3"/>
  <c r="O732" i="3"/>
  <c r="Q732" i="3" s="1"/>
  <c r="O733" i="3"/>
  <c r="Q733" i="3" s="1"/>
  <c r="O734" i="3"/>
  <c r="M734" i="3" s="1"/>
  <c r="O735" i="3"/>
  <c r="O736" i="3"/>
  <c r="O737" i="3"/>
  <c r="M737" i="3" s="1"/>
  <c r="O738" i="3"/>
  <c r="M738" i="3" s="1"/>
  <c r="O739" i="3"/>
  <c r="O740" i="3"/>
  <c r="O741" i="3"/>
  <c r="O742" i="3"/>
  <c r="M742" i="3" s="1"/>
  <c r="O743" i="3"/>
  <c r="O744" i="3"/>
  <c r="P744" i="3" s="1"/>
  <c r="O745" i="3"/>
  <c r="O746" i="3"/>
  <c r="O747" i="3"/>
  <c r="M747" i="3" s="1"/>
  <c r="O748" i="3"/>
  <c r="O749" i="3"/>
  <c r="O750" i="3"/>
  <c r="Q750" i="3" s="1"/>
  <c r="O751" i="3"/>
  <c r="O752" i="3"/>
  <c r="O753" i="3"/>
  <c r="M753" i="3" s="1"/>
  <c r="O754" i="3"/>
  <c r="Q754" i="3" s="1"/>
  <c r="O755" i="3"/>
  <c r="Q755" i="3" s="1"/>
  <c r="O756" i="3"/>
  <c r="O757" i="3"/>
  <c r="O758" i="3"/>
  <c r="Q758" i="3" s="1"/>
  <c r="O759" i="3"/>
  <c r="Q759" i="3" s="1"/>
  <c r="O760" i="3"/>
  <c r="M760" i="3" s="1"/>
  <c r="O761" i="3"/>
  <c r="O762" i="3"/>
  <c r="M762" i="3" s="1"/>
  <c r="O763" i="3"/>
  <c r="O764" i="3"/>
  <c r="Q764" i="3" s="1"/>
  <c r="O765" i="3"/>
  <c r="P765" i="3" s="1"/>
  <c r="O766" i="3"/>
  <c r="M766" i="3" s="1"/>
  <c r="O767" i="3"/>
  <c r="O768" i="3"/>
  <c r="O769" i="3"/>
  <c r="O770" i="3"/>
  <c r="O771" i="3"/>
  <c r="O772" i="3"/>
  <c r="Q772" i="3" s="1"/>
  <c r="O773" i="3"/>
  <c r="O774" i="3"/>
  <c r="P774" i="3" s="1"/>
  <c r="O775" i="3"/>
  <c r="Q775" i="3" s="1"/>
  <c r="O776" i="3"/>
  <c r="O777" i="3"/>
  <c r="P777" i="3" s="1"/>
  <c r="O778" i="3"/>
  <c r="M778" i="3" s="1"/>
  <c r="O779" i="3"/>
  <c r="Q779" i="3" s="1"/>
  <c r="O780" i="3"/>
  <c r="O781" i="3"/>
  <c r="M781" i="3" s="1"/>
  <c r="O782" i="3"/>
  <c r="P782" i="3" s="1"/>
  <c r="O783" i="3"/>
  <c r="M783" i="3" s="1"/>
  <c r="O784" i="3"/>
  <c r="O785" i="3"/>
  <c r="M785" i="3" s="1"/>
  <c r="O786" i="3"/>
  <c r="O787" i="3"/>
  <c r="O788" i="3"/>
  <c r="Q788" i="3" s="1"/>
  <c r="O789" i="3"/>
  <c r="O790" i="3"/>
  <c r="M790" i="3" s="1"/>
  <c r="O791" i="3"/>
  <c r="O792" i="3"/>
  <c r="O793" i="3"/>
  <c r="P793" i="3" s="1"/>
  <c r="O794" i="3"/>
  <c r="O795" i="3"/>
  <c r="M795" i="3" s="1"/>
  <c r="O796" i="3"/>
  <c r="O797" i="3"/>
  <c r="Q797" i="3" s="1"/>
  <c r="O798" i="3"/>
  <c r="O799" i="3"/>
  <c r="M799" i="3" s="1"/>
  <c r="O800" i="3"/>
  <c r="O801" i="3"/>
  <c r="O802" i="3"/>
  <c r="P802" i="3" s="1"/>
  <c r="O803" i="3"/>
  <c r="M803" i="3" s="1"/>
  <c r="O804" i="3"/>
  <c r="O805" i="3"/>
  <c r="O806" i="3"/>
  <c r="O807" i="3"/>
  <c r="O808" i="3"/>
  <c r="M808" i="3" s="1"/>
  <c r="O809" i="3"/>
  <c r="M809" i="3" s="1"/>
  <c r="O810" i="3"/>
  <c r="M810" i="3" s="1"/>
  <c r="O811" i="3"/>
  <c r="O812" i="3"/>
  <c r="O813" i="3"/>
  <c r="M813" i="3" s="1"/>
  <c r="O814" i="3"/>
  <c r="O815" i="3"/>
  <c r="M815" i="3" s="1"/>
  <c r="O816" i="3"/>
  <c r="O817" i="3"/>
  <c r="Q817" i="3" s="1"/>
  <c r="O818" i="3"/>
  <c r="M818" i="3" s="1"/>
  <c r="O819" i="3"/>
  <c r="M819" i="3" s="1"/>
  <c r="O820" i="3"/>
  <c r="O821" i="3"/>
  <c r="O822" i="3"/>
  <c r="O823" i="3"/>
  <c r="O824" i="3"/>
  <c r="M824" i="3" s="1"/>
  <c r="O825" i="3"/>
  <c r="O826" i="3"/>
  <c r="O827" i="3"/>
  <c r="M827" i="3" s="1"/>
  <c r="O828" i="3"/>
  <c r="P828" i="3" s="1"/>
  <c r="O829" i="3"/>
  <c r="Q829" i="3" s="1"/>
  <c r="O830" i="3"/>
  <c r="O831" i="3"/>
  <c r="Q831" i="3" s="1"/>
  <c r="O832" i="3"/>
  <c r="O833" i="3"/>
  <c r="O834" i="3"/>
  <c r="M834" i="3" s="1"/>
  <c r="O835" i="3"/>
  <c r="O836" i="3"/>
  <c r="O837" i="3"/>
  <c r="M837" i="3" s="1"/>
  <c r="O838" i="3"/>
  <c r="M838" i="3" s="1"/>
  <c r="O839" i="3"/>
  <c r="O840" i="3"/>
  <c r="Q840" i="3" s="1"/>
  <c r="O841" i="3"/>
  <c r="O842" i="3"/>
  <c r="M842" i="3" s="1"/>
  <c r="O843" i="3"/>
  <c r="O844" i="3"/>
  <c r="M844" i="3" s="1"/>
  <c r="O845" i="3"/>
  <c r="Q845" i="3" s="1"/>
  <c r="O846" i="3"/>
  <c r="O847" i="3"/>
  <c r="P847" i="3" s="1"/>
  <c r="O848" i="3"/>
  <c r="M848" i="3" s="1"/>
  <c r="O849" i="3"/>
  <c r="Q849" i="3" s="1"/>
  <c r="O850" i="3"/>
  <c r="O851" i="3"/>
  <c r="O852" i="3"/>
  <c r="M852" i="3" s="1"/>
  <c r="O853" i="3"/>
  <c r="Q853" i="3" s="1"/>
  <c r="O854" i="3"/>
  <c r="M854" i="3" s="1"/>
  <c r="O855" i="3"/>
  <c r="M855" i="3" s="1"/>
  <c r="O856" i="3"/>
  <c r="Q856" i="3" s="1"/>
  <c r="O857" i="3"/>
  <c r="O858" i="3"/>
  <c r="M858" i="3" s="1"/>
  <c r="O859" i="3"/>
  <c r="O860" i="3"/>
  <c r="M860" i="3" s="1"/>
  <c r="O861" i="3"/>
  <c r="M861" i="3" s="1"/>
  <c r="O862" i="3"/>
  <c r="M862" i="3" s="1"/>
  <c r="O863" i="3"/>
  <c r="O864" i="3"/>
  <c r="Q864" i="3" s="1"/>
  <c r="O865" i="3"/>
  <c r="M865" i="3" s="1"/>
  <c r="O866" i="3"/>
  <c r="Q866" i="3" s="1"/>
  <c r="O867" i="3"/>
  <c r="O868" i="3"/>
  <c r="M868" i="3" s="1"/>
  <c r="O869" i="3"/>
  <c r="O870" i="3"/>
  <c r="O871" i="3"/>
  <c r="M871" i="3" s="1"/>
  <c r="O872" i="3"/>
  <c r="M872" i="3" s="1"/>
  <c r="O873" i="3"/>
  <c r="Q873" i="3" s="1"/>
  <c r="O874" i="3"/>
  <c r="M874" i="3" s="1"/>
  <c r="O875" i="3"/>
  <c r="M875" i="3" s="1"/>
  <c r="O876" i="3"/>
  <c r="P876" i="3" s="1"/>
  <c r="O877" i="3"/>
  <c r="M877" i="3" s="1"/>
  <c r="O878" i="3"/>
  <c r="Q878" i="3" s="1"/>
  <c r="O879" i="3"/>
  <c r="O880" i="3"/>
  <c r="P880" i="3" s="1"/>
  <c r="O881" i="3"/>
  <c r="O882" i="3"/>
  <c r="O883" i="3"/>
  <c r="M883" i="3" s="1"/>
  <c r="O884" i="3"/>
  <c r="O885" i="3"/>
  <c r="O886" i="3"/>
  <c r="O887" i="3"/>
  <c r="O888" i="3"/>
  <c r="O889" i="3"/>
  <c r="O890" i="3"/>
  <c r="M890" i="3" s="1"/>
  <c r="O891" i="3"/>
  <c r="O892" i="3"/>
  <c r="Q892" i="3" s="1"/>
  <c r="O893" i="3"/>
  <c r="O894" i="3"/>
  <c r="O895" i="3"/>
  <c r="P895" i="3" s="1"/>
  <c r="O896" i="3"/>
  <c r="Q896" i="3" s="1"/>
  <c r="O897" i="3"/>
  <c r="P897" i="3" s="1"/>
  <c r="O898" i="3"/>
  <c r="Q898" i="3" s="1"/>
  <c r="O899" i="3"/>
  <c r="O900" i="3"/>
  <c r="M900" i="3" s="1"/>
  <c r="O901" i="3"/>
  <c r="O902" i="3"/>
  <c r="O903" i="3"/>
  <c r="O904" i="3"/>
  <c r="O905" i="3"/>
  <c r="M905" i="3" s="1"/>
  <c r="O906" i="3"/>
  <c r="M906" i="3" s="1"/>
  <c r="O907" i="3"/>
  <c r="M907" i="3" s="1"/>
  <c r="O908" i="3"/>
  <c r="O909" i="3"/>
  <c r="O910" i="3"/>
  <c r="O911" i="3"/>
  <c r="M911" i="3" s="1"/>
  <c r="O912" i="3"/>
  <c r="O913" i="3"/>
  <c r="M913" i="3" s="1"/>
  <c r="O914" i="3"/>
  <c r="M914" i="3" s="1"/>
  <c r="O915" i="3"/>
  <c r="M915" i="3" s="1"/>
  <c r="O916" i="3"/>
  <c r="O917" i="3"/>
  <c r="O918" i="3"/>
  <c r="M918" i="3" s="1"/>
  <c r="O919" i="3"/>
  <c r="M919" i="3" s="1"/>
  <c r="O920" i="3"/>
  <c r="M920" i="3" s="1"/>
  <c r="O921" i="3"/>
  <c r="P921" i="3" s="1"/>
  <c r="O922" i="3"/>
  <c r="O923" i="3"/>
  <c r="P923" i="3" s="1"/>
  <c r="O924" i="3"/>
  <c r="M924" i="3" s="1"/>
  <c r="O925" i="3"/>
  <c r="P925" i="3" s="1"/>
  <c r="O926" i="3"/>
  <c r="M926" i="3" s="1"/>
  <c r="O927" i="3"/>
  <c r="O928" i="3"/>
  <c r="M928" i="3" s="1"/>
  <c r="O929" i="3"/>
  <c r="P929" i="3" s="1"/>
  <c r="O930" i="3"/>
  <c r="M930" i="3" s="1"/>
  <c r="O931" i="3"/>
  <c r="Q931" i="3" s="1"/>
  <c r="O932" i="3"/>
  <c r="O933" i="3"/>
  <c r="O934" i="3"/>
  <c r="Q934" i="3" s="1"/>
  <c r="O935" i="3"/>
  <c r="M935" i="3" s="1"/>
  <c r="O936" i="3"/>
  <c r="P936" i="3" s="1"/>
  <c r="O937" i="3"/>
  <c r="O938" i="3"/>
  <c r="O939" i="3"/>
  <c r="P939" i="3" s="1"/>
  <c r="O940" i="3"/>
  <c r="M940" i="3" s="1"/>
  <c r="O941" i="3"/>
  <c r="O942" i="3"/>
  <c r="O943" i="3"/>
  <c r="O944" i="3"/>
  <c r="O945" i="3"/>
  <c r="M945" i="3" s="1"/>
  <c r="O946" i="3"/>
  <c r="O947" i="3"/>
  <c r="O948" i="3"/>
  <c r="M948" i="3" s="1"/>
  <c r="O949" i="3"/>
  <c r="Q949" i="3" s="1"/>
  <c r="O950" i="3"/>
  <c r="O951" i="3"/>
  <c r="O952" i="3"/>
  <c r="O953" i="3"/>
  <c r="O954" i="3"/>
  <c r="O955" i="3"/>
  <c r="O956" i="3"/>
  <c r="O957" i="3"/>
  <c r="O958" i="3"/>
  <c r="M958" i="3" s="1"/>
  <c r="O959" i="3"/>
  <c r="O960" i="3"/>
  <c r="Q960" i="3" s="1"/>
  <c r="O961" i="3"/>
  <c r="Q961" i="3" s="1"/>
  <c r="O962" i="3"/>
  <c r="Q962" i="3" s="1"/>
  <c r="O963" i="3"/>
  <c r="O964" i="3"/>
  <c r="O965" i="3"/>
  <c r="O966" i="3"/>
  <c r="M966" i="3" s="1"/>
  <c r="O967" i="3"/>
  <c r="O968" i="3"/>
  <c r="P968" i="3" s="1"/>
  <c r="O969" i="3"/>
  <c r="M969" i="3" s="1"/>
  <c r="O970" i="3"/>
  <c r="P970" i="3" s="1"/>
  <c r="O971" i="3"/>
  <c r="P971" i="3" s="1"/>
  <c r="O972" i="3"/>
  <c r="M972" i="3" s="1"/>
  <c r="O973" i="3"/>
  <c r="O974" i="3"/>
  <c r="O975" i="3"/>
  <c r="O976" i="3"/>
  <c r="Q976" i="3" s="1"/>
  <c r="O977" i="3"/>
  <c r="Q977" i="3" s="1"/>
  <c r="O978" i="3"/>
  <c r="P978" i="3" s="1"/>
  <c r="O979" i="3"/>
  <c r="Q979" i="3" s="1"/>
  <c r="O980" i="3"/>
  <c r="O981" i="3"/>
  <c r="O982" i="3"/>
  <c r="P982" i="3" s="1"/>
  <c r="O983" i="3"/>
  <c r="O984" i="3"/>
  <c r="M984" i="3" s="1"/>
  <c r="O985" i="3"/>
  <c r="M985" i="3" s="1"/>
  <c r="O986" i="3"/>
  <c r="O987" i="3"/>
  <c r="M987" i="3" s="1"/>
  <c r="O988" i="3"/>
  <c r="O989" i="3"/>
  <c r="Q989" i="3" s="1"/>
  <c r="O990" i="3"/>
  <c r="O991" i="3"/>
  <c r="M991" i="3" s="1"/>
  <c r="O992" i="3"/>
  <c r="M992" i="3" s="1"/>
  <c r="O993" i="3"/>
  <c r="O994" i="3"/>
  <c r="Q994" i="3" s="1"/>
  <c r="O995" i="3"/>
  <c r="Q995" i="3" s="1"/>
  <c r="O996" i="3"/>
  <c r="P996" i="3" s="1"/>
  <c r="O997" i="3"/>
  <c r="O998" i="3"/>
  <c r="M998" i="3" s="1"/>
  <c r="O999" i="3"/>
  <c r="Q999" i="3" s="1"/>
  <c r="O1000" i="3"/>
  <c r="O1001" i="3"/>
  <c r="M1001" i="3" s="1"/>
  <c r="O1002" i="3"/>
  <c r="P1002" i="3" s="1"/>
  <c r="O1003" i="3"/>
  <c r="O1004" i="3"/>
  <c r="M1004" i="3" s="1"/>
  <c r="O1005" i="3"/>
  <c r="M1005" i="3" s="1"/>
  <c r="O1006" i="3"/>
  <c r="Q1006" i="3" s="1"/>
  <c r="O1007" i="3"/>
  <c r="O1008" i="3"/>
  <c r="M1008" i="3" s="1"/>
  <c r="O1009" i="3"/>
  <c r="O1010" i="3"/>
  <c r="O1011" i="3"/>
  <c r="O1012" i="3"/>
  <c r="Q1012" i="3" s="1"/>
  <c r="O1013" i="3"/>
  <c r="O1014" i="3"/>
  <c r="M1014" i="3" s="1"/>
  <c r="O1015" i="3"/>
  <c r="M1015" i="3" s="1"/>
  <c r="O1016" i="3"/>
  <c r="O1017" i="3"/>
  <c r="M1017" i="3" s="1"/>
  <c r="O1018" i="3"/>
  <c r="O1019" i="3"/>
  <c r="O1020" i="3"/>
  <c r="O1021" i="3"/>
  <c r="Q1021" i="3" s="1"/>
  <c r="O1022" i="3"/>
  <c r="O1023" i="3"/>
  <c r="Q1023" i="3" s="1"/>
  <c r="O1024" i="3"/>
  <c r="O1025" i="3"/>
  <c r="O1026" i="3"/>
  <c r="O1027" i="3"/>
  <c r="O1028" i="3"/>
  <c r="O1029" i="3"/>
  <c r="O1030" i="3"/>
  <c r="M1030" i="3" s="1"/>
  <c r="O1031" i="3"/>
  <c r="O1032" i="3"/>
  <c r="M1032" i="3" s="1"/>
  <c r="O1033" i="3"/>
  <c r="O1034" i="3"/>
  <c r="O1035" i="3"/>
  <c r="O1036" i="3"/>
  <c r="O1037" i="3"/>
  <c r="Q1037" i="3" s="1"/>
  <c r="O1038" i="3"/>
  <c r="O1039" i="3"/>
  <c r="O1040" i="3"/>
  <c r="Q1040" i="3" s="1"/>
  <c r="O1041" i="3"/>
  <c r="O1042" i="3"/>
  <c r="M1042" i="3" s="1"/>
  <c r="O1043" i="3"/>
  <c r="Q1043" i="3" s="1"/>
  <c r="O1044" i="3"/>
  <c r="M1044" i="3" s="1"/>
  <c r="O1045" i="3"/>
  <c r="M1045" i="3" s="1"/>
  <c r="O1046" i="3"/>
  <c r="Q1046" i="3" s="1"/>
  <c r="O1047" i="3"/>
  <c r="O1048" i="3"/>
  <c r="M1048" i="3" s="1"/>
  <c r="O1049" i="3"/>
  <c r="O1050" i="3"/>
  <c r="M1050" i="3" s="1"/>
  <c r="O1051" i="3"/>
  <c r="O1052" i="3"/>
  <c r="O1053" i="3"/>
  <c r="O1054" i="3"/>
  <c r="O1055" i="3"/>
  <c r="Q1055" i="3" s="1"/>
  <c r="O1056" i="3"/>
  <c r="M1056" i="3" s="1"/>
  <c r="O1057" i="3"/>
  <c r="O1058" i="3"/>
  <c r="M1058" i="3" s="1"/>
  <c r="O1059" i="3"/>
  <c r="M1059" i="3" s="1"/>
  <c r="O1060" i="3"/>
  <c r="O1061" i="3"/>
  <c r="O1062" i="3"/>
  <c r="M1062" i="3" s="1"/>
  <c r="O1063" i="3"/>
  <c r="Q1063" i="3" s="1"/>
  <c r="O1064" i="3"/>
  <c r="Q1064" i="3" s="1"/>
  <c r="O1065" i="3"/>
  <c r="M1065" i="3" s="1"/>
  <c r="O1066" i="3"/>
  <c r="M1066" i="3" s="1"/>
  <c r="O1067" i="3"/>
  <c r="M1067" i="3" s="1"/>
  <c r="O1068" i="3"/>
  <c r="Q1068" i="3" s="1"/>
  <c r="O1069" i="3"/>
  <c r="O1070" i="3"/>
  <c r="M1070" i="3" s="1"/>
  <c r="O1071" i="3"/>
  <c r="O1072" i="3"/>
  <c r="Q1072" i="3" s="1"/>
  <c r="O1073" i="3"/>
  <c r="Q1073" i="3" s="1"/>
  <c r="O1074" i="3"/>
  <c r="Q1074" i="3" s="1"/>
  <c r="O1075" i="3"/>
  <c r="O1076" i="3"/>
  <c r="P1076" i="3" s="1"/>
  <c r="O1077" i="3"/>
  <c r="Q1077" i="3" s="1"/>
  <c r="O1078" i="3"/>
  <c r="O1079" i="3"/>
  <c r="Q1079" i="3" s="1"/>
  <c r="O1080" i="3"/>
  <c r="P1080" i="3" s="1"/>
  <c r="O1081" i="3"/>
  <c r="O1082" i="3"/>
  <c r="O1083" i="3"/>
  <c r="M1083" i="3" s="1"/>
  <c r="O1084" i="3"/>
  <c r="O1085" i="3"/>
  <c r="M1085" i="3" s="1"/>
  <c r="O1086" i="3"/>
  <c r="O1087" i="3"/>
  <c r="Q1087" i="3" s="1"/>
  <c r="O1088" i="3"/>
  <c r="O1089" i="3"/>
  <c r="O1090" i="3"/>
  <c r="O1091" i="3"/>
  <c r="O1092" i="3"/>
  <c r="O1093" i="3"/>
  <c r="O1094" i="3"/>
  <c r="M1094" i="3" s="1"/>
  <c r="O1095" i="3"/>
  <c r="O1096" i="3"/>
  <c r="Q1096" i="3" s="1"/>
  <c r="O1097" i="3"/>
  <c r="O1098" i="3"/>
  <c r="M1098" i="3" s="1"/>
  <c r="O1099" i="3"/>
  <c r="P1099" i="3" s="1"/>
  <c r="O1100" i="3"/>
  <c r="M1100" i="3" s="1"/>
  <c r="O1101" i="3"/>
  <c r="M1101" i="3" s="1"/>
  <c r="O1102" i="3"/>
  <c r="O1103" i="3"/>
  <c r="O1104" i="3"/>
  <c r="O1105" i="3"/>
  <c r="P1105" i="3" s="1"/>
  <c r="O1106" i="3"/>
  <c r="P1106" i="3" s="1"/>
  <c r="O1107" i="3"/>
  <c r="O1108" i="3"/>
  <c r="P1108" i="3" s="1"/>
  <c r="O1109" i="3"/>
  <c r="O1110" i="3"/>
  <c r="Q1110" i="3" s="1"/>
  <c r="O1111" i="3"/>
  <c r="Q1111" i="3" s="1"/>
  <c r="O1112" i="3"/>
  <c r="O1113" i="3"/>
  <c r="O1114" i="3"/>
  <c r="O1115" i="3"/>
  <c r="M1115" i="3" s="1"/>
  <c r="O1116" i="3"/>
  <c r="O1117" i="3"/>
  <c r="O1118" i="3"/>
  <c r="M1118" i="3" s="1"/>
  <c r="O1119" i="3"/>
  <c r="M1119" i="3" s="1"/>
  <c r="O1120" i="3"/>
  <c r="O1121" i="3"/>
  <c r="O1122" i="3"/>
  <c r="P1122" i="3" s="1"/>
  <c r="O1123" i="3"/>
  <c r="O1124" i="3"/>
  <c r="O1125" i="3"/>
  <c r="Q1125" i="3" s="1"/>
  <c r="O1126" i="3"/>
  <c r="O1127" i="3"/>
  <c r="M1127" i="3" s="1"/>
  <c r="O1128" i="3"/>
  <c r="O1129" i="3"/>
  <c r="O1130" i="3"/>
  <c r="O1131" i="3"/>
  <c r="M1131" i="3" s="1"/>
  <c r="O1132" i="3"/>
  <c r="Q1132" i="3" s="1"/>
  <c r="O1133" i="3"/>
  <c r="O1134" i="3"/>
  <c r="O1135" i="3"/>
  <c r="O1136" i="3"/>
  <c r="P1136" i="3" s="1"/>
  <c r="O1137" i="3"/>
  <c r="O1138" i="3"/>
  <c r="O1139" i="3"/>
  <c r="Q1139" i="3" s="1"/>
  <c r="O1140" i="3"/>
  <c r="M1140" i="3" s="1"/>
  <c r="O1141" i="3"/>
  <c r="Q1141" i="3" s="1"/>
  <c r="O1142" i="3"/>
  <c r="Q1142" i="3" s="1"/>
  <c r="O1143" i="3"/>
  <c r="P1143" i="3" s="1"/>
  <c r="O1144" i="3"/>
  <c r="Q1144" i="3" s="1"/>
  <c r="O1145" i="3"/>
  <c r="O1146" i="3"/>
  <c r="M1146" i="3" s="1"/>
  <c r="O1147" i="3"/>
  <c r="O1148" i="3"/>
  <c r="P1148" i="3" s="1"/>
  <c r="O1149" i="3"/>
  <c r="M1149" i="3" s="1"/>
  <c r="O1150" i="3"/>
  <c r="O1151" i="3"/>
  <c r="M1151" i="3" s="1"/>
  <c r="O1152" i="3"/>
  <c r="O1153" i="3"/>
  <c r="O1154" i="3"/>
  <c r="M1154" i="3" s="1"/>
  <c r="O1155" i="3"/>
  <c r="O1156" i="3"/>
  <c r="O1157" i="3"/>
  <c r="O1158" i="3"/>
  <c r="O1159" i="3"/>
  <c r="O1160" i="3"/>
  <c r="O1161" i="3"/>
  <c r="O1162" i="3"/>
  <c r="O1163" i="3"/>
  <c r="M1163" i="3" s="1"/>
  <c r="O1164" i="3"/>
  <c r="O1165" i="3"/>
  <c r="O1166" i="3"/>
  <c r="Q1166" i="3" s="1"/>
  <c r="O1167" i="3"/>
  <c r="P1167" i="3" s="1"/>
  <c r="O1168" i="3"/>
  <c r="O1169" i="3"/>
  <c r="O1170" i="3"/>
  <c r="M1170" i="3" s="1"/>
  <c r="O1171" i="3"/>
  <c r="O1172" i="3"/>
  <c r="O1173" i="3"/>
  <c r="M1173" i="3" s="1"/>
  <c r="O1174" i="3"/>
  <c r="O1175" i="3"/>
  <c r="M1175" i="3" s="1"/>
  <c r="O1176" i="3"/>
  <c r="O1177" i="3"/>
  <c r="Q1177" i="3" s="1"/>
  <c r="O1178" i="3"/>
  <c r="O1179" i="3"/>
  <c r="M1179" i="3" s="1"/>
  <c r="O1180" i="3"/>
  <c r="M1180" i="3" s="1"/>
  <c r="O1181" i="3"/>
  <c r="P1181" i="3" s="1"/>
  <c r="O1182" i="3"/>
  <c r="O1183" i="3"/>
  <c r="M1183" i="3" s="1"/>
  <c r="O1184" i="3"/>
  <c r="M1184" i="3" s="1"/>
  <c r="O1185" i="3"/>
  <c r="Q1185" i="3" s="1"/>
  <c r="O1186" i="3"/>
  <c r="Q1186" i="3" s="1"/>
  <c r="O1187" i="3"/>
  <c r="Q1187" i="3" s="1"/>
  <c r="O1188" i="3"/>
  <c r="O1189" i="3"/>
  <c r="M1189" i="3" s="1"/>
  <c r="O1190" i="3"/>
  <c r="M1190" i="3" s="1"/>
  <c r="O1191" i="3"/>
  <c r="Q1191" i="3" s="1"/>
  <c r="O1192" i="3"/>
  <c r="O1193" i="3"/>
  <c r="M1193" i="3" s="1"/>
  <c r="O1194" i="3"/>
  <c r="Q1194" i="3" s="1"/>
  <c r="O1195" i="3"/>
  <c r="O1196" i="3"/>
  <c r="M1196" i="3" s="1"/>
  <c r="O1197" i="3"/>
  <c r="M1197" i="3" s="1"/>
  <c r="O1198" i="3"/>
  <c r="O1199" i="3"/>
  <c r="M1199" i="3" s="1"/>
  <c r="O1200" i="3"/>
  <c r="M1200" i="3" s="1"/>
  <c r="O1201" i="3"/>
  <c r="Q1201" i="3" s="1"/>
  <c r="O1202" i="3"/>
  <c r="M1202" i="3" s="1"/>
  <c r="O1203" i="3"/>
  <c r="Q1203" i="3" s="1"/>
  <c r="O1204" i="3"/>
  <c r="Q1204" i="3" s="1"/>
  <c r="O1205" i="3"/>
  <c r="O1206" i="3"/>
  <c r="P1206" i="3" s="1"/>
  <c r="O1207" i="3"/>
  <c r="O1208" i="3"/>
  <c r="O1209" i="3"/>
  <c r="O1210" i="3"/>
  <c r="O1211" i="3"/>
  <c r="M1211" i="3" s="1"/>
  <c r="O1212" i="3"/>
  <c r="O1213" i="3"/>
  <c r="M1213" i="3" s="1"/>
  <c r="O1214" i="3"/>
  <c r="O1215" i="3"/>
  <c r="O1216" i="3"/>
  <c r="P1216" i="3" s="1"/>
  <c r="O1217" i="3"/>
  <c r="M1217" i="3" s="1"/>
  <c r="O1218" i="3"/>
  <c r="M1218" i="3" s="1"/>
  <c r="O1219" i="3"/>
  <c r="O1220" i="3"/>
  <c r="M1220" i="3" s="1"/>
  <c r="O1221" i="3"/>
  <c r="M1221" i="3" s="1"/>
  <c r="O1222" i="3"/>
  <c r="Q1222" i="3" s="1"/>
  <c r="O1223" i="3"/>
  <c r="O1224" i="3"/>
  <c r="M1224" i="3" s="1"/>
  <c r="O1225" i="3"/>
  <c r="O1226" i="3"/>
  <c r="O1227" i="3"/>
  <c r="O1228" i="3"/>
  <c r="O1229" i="3"/>
  <c r="O1230" i="3"/>
  <c r="O1231" i="3"/>
  <c r="O1232" i="3"/>
  <c r="P1232" i="3" s="1"/>
  <c r="O1233" i="3"/>
  <c r="Q1233" i="3" s="1"/>
  <c r="O1234" i="3"/>
  <c r="O1235" i="3"/>
  <c r="M1235" i="3" s="1"/>
  <c r="O1236" i="3"/>
  <c r="P1236" i="3" s="1"/>
  <c r="O1237" i="3"/>
  <c r="O1238" i="3"/>
  <c r="O1239" i="3"/>
  <c r="Q1239" i="3" s="1"/>
  <c r="O1240" i="3"/>
  <c r="M1240" i="3" s="1"/>
  <c r="O1241" i="3"/>
  <c r="O1242" i="3"/>
  <c r="O1243" i="3"/>
  <c r="M1243" i="3" s="1"/>
  <c r="O1244" i="3"/>
  <c r="M1244" i="3" s="1"/>
  <c r="O1245" i="3"/>
  <c r="O1246" i="3"/>
  <c r="M1246" i="3" s="1"/>
  <c r="O1247" i="3"/>
  <c r="M1247" i="3" s="1"/>
  <c r="O1248" i="3"/>
  <c r="O1249" i="3"/>
  <c r="P1249" i="3" s="1"/>
  <c r="O1250" i="3"/>
  <c r="O1251" i="3"/>
  <c r="O1252" i="3"/>
  <c r="O1253" i="3"/>
  <c r="Q1253" i="3" s="1"/>
  <c r="O1254" i="3"/>
  <c r="O1255" i="3"/>
  <c r="M1255" i="3" s="1"/>
  <c r="O1256" i="3"/>
  <c r="Q1256" i="3" s="1"/>
  <c r="O1257" i="3"/>
  <c r="O1258" i="3"/>
  <c r="Q1258" i="3" s="1"/>
  <c r="O1259" i="3"/>
  <c r="O1260" i="3"/>
  <c r="Q1260" i="3" s="1"/>
  <c r="O1261" i="3"/>
  <c r="O1262" i="3"/>
  <c r="O1263" i="3"/>
  <c r="M1263" i="3" s="1"/>
  <c r="O1264" i="3"/>
  <c r="M1264" i="3" s="1"/>
  <c r="O1265" i="3"/>
  <c r="O1266" i="3"/>
  <c r="M1266" i="3" s="1"/>
  <c r="O1267" i="3"/>
  <c r="P1267" i="3" s="1"/>
  <c r="O1268" i="3"/>
  <c r="Q1268" i="3" s="1"/>
  <c r="O1269" i="3"/>
  <c r="O1270" i="3"/>
  <c r="O1271" i="3"/>
  <c r="O1272" i="3"/>
  <c r="O1273" i="3"/>
  <c r="M1273" i="3" s="1"/>
  <c r="O1274" i="3"/>
  <c r="O1275" i="3"/>
  <c r="M1275" i="3" s="1"/>
  <c r="O1276" i="3"/>
  <c r="O1277" i="3"/>
  <c r="M1277" i="3" s="1"/>
  <c r="O1278" i="3"/>
  <c r="O1279" i="3"/>
  <c r="P1279" i="3" s="1"/>
  <c r="O1280" i="3"/>
  <c r="M1280" i="3" s="1"/>
  <c r="O1281" i="3"/>
  <c r="Q1281" i="3" s="1"/>
  <c r="O1282" i="3"/>
  <c r="M1282" i="3" s="1"/>
  <c r="O1283" i="3"/>
  <c r="M1283" i="3" s="1"/>
  <c r="O1284" i="3"/>
  <c r="O1285" i="3"/>
  <c r="M1285" i="3" s="1"/>
  <c r="O1286" i="3"/>
  <c r="Q1286" i="3" s="1"/>
  <c r="O1287" i="3"/>
  <c r="Q1287" i="3" s="1"/>
  <c r="O1288" i="3"/>
  <c r="O1289" i="3"/>
  <c r="M1289" i="3" s="1"/>
  <c r="O1290" i="3"/>
  <c r="O1291" i="3"/>
  <c r="O1292" i="3"/>
  <c r="O1293" i="3"/>
  <c r="O1294" i="3"/>
  <c r="M1294" i="3" s="1"/>
  <c r="O1295" i="3"/>
  <c r="O1296" i="3"/>
  <c r="O1297" i="3"/>
  <c r="M1297" i="3" s="1"/>
  <c r="O1298" i="3"/>
  <c r="Q1298" i="3" s="1"/>
  <c r="O1299" i="3"/>
  <c r="O1300" i="3"/>
  <c r="O1301" i="3"/>
  <c r="Q1301" i="3" s="1"/>
  <c r="O1302" i="3"/>
  <c r="Q1302" i="3" s="1"/>
  <c r="O1303" i="3"/>
  <c r="Q1303" i="3" s="1"/>
  <c r="O1304" i="3"/>
  <c r="Q1304" i="3" s="1"/>
  <c r="O1305" i="3"/>
  <c r="P1305" i="3" s="1"/>
  <c r="O1306" i="3"/>
  <c r="M1306" i="3" s="1"/>
  <c r="O1307" i="3"/>
  <c r="Q1307" i="3" s="1"/>
  <c r="O1308" i="3"/>
  <c r="M1308" i="3" s="1"/>
  <c r="O1309" i="3"/>
  <c r="M1309" i="3" s="1"/>
  <c r="O1310" i="3"/>
  <c r="M1310" i="3" s="1"/>
  <c r="O1311" i="3"/>
  <c r="M1311" i="3" s="1"/>
  <c r="O1312" i="3"/>
  <c r="O1313" i="3"/>
  <c r="M1313" i="3" s="1"/>
  <c r="O1314" i="3"/>
  <c r="O1315" i="3"/>
  <c r="M1315" i="3" s="1"/>
  <c r="O1316" i="3"/>
  <c r="M1316" i="3" s="1"/>
  <c r="O1317" i="3"/>
  <c r="O1318" i="3"/>
  <c r="O1319" i="3"/>
  <c r="O1320" i="3"/>
  <c r="P1320" i="3" s="1"/>
  <c r="O1321" i="3"/>
  <c r="M1321" i="3" s="1"/>
  <c r="O1322" i="3"/>
  <c r="O1323" i="3"/>
  <c r="M1323" i="3" s="1"/>
  <c r="O1324" i="3"/>
  <c r="M1324" i="3" s="1"/>
  <c r="O1325" i="3"/>
  <c r="O1326" i="3"/>
  <c r="O1327" i="3"/>
  <c r="O1328" i="3"/>
  <c r="O1329" i="3"/>
  <c r="O1330" i="3"/>
  <c r="O1331" i="3"/>
  <c r="Q1331" i="3" s="1"/>
  <c r="O1332" i="3"/>
  <c r="Q1332" i="3" s="1"/>
  <c r="O1333" i="3"/>
  <c r="O1334" i="3"/>
  <c r="Q1334" i="3" s="1"/>
  <c r="O1335" i="3"/>
  <c r="O1336" i="3"/>
  <c r="O1337" i="3"/>
  <c r="O1338" i="3"/>
  <c r="O1339" i="3"/>
  <c r="O1340" i="3"/>
  <c r="O1341" i="3"/>
  <c r="O1342" i="3"/>
  <c r="Q1342" i="3" s="1"/>
  <c r="O1343" i="3"/>
  <c r="Q1343" i="3" s="1"/>
  <c r="O1344" i="3"/>
  <c r="O1345" i="3"/>
  <c r="P1345" i="3" s="1"/>
  <c r="O1346" i="3"/>
  <c r="P1346" i="3" s="1"/>
  <c r="O1347" i="3"/>
  <c r="O1348" i="3"/>
  <c r="O1349" i="3"/>
  <c r="Q1349" i="3" s="1"/>
  <c r="O1350" i="3"/>
  <c r="O1351" i="3"/>
  <c r="P1351" i="3" s="1"/>
  <c r="O1352" i="3"/>
  <c r="Q1352" i="3" s="1"/>
  <c r="O1353" i="3"/>
  <c r="O1354" i="3"/>
  <c r="O1355" i="3"/>
  <c r="O1356" i="3"/>
  <c r="O1357" i="3"/>
  <c r="O1358" i="3"/>
  <c r="M1358" i="3" s="1"/>
  <c r="O1359" i="3"/>
  <c r="O1360" i="3"/>
  <c r="O1361" i="3"/>
  <c r="P1361" i="3" s="1"/>
  <c r="O1362" i="3"/>
  <c r="Q1362" i="3" s="1"/>
  <c r="O1363" i="3"/>
  <c r="O1364" i="3"/>
  <c r="M1364" i="3" s="1"/>
  <c r="O1365" i="3"/>
  <c r="O1366" i="3"/>
  <c r="O1367" i="3"/>
  <c r="O1368" i="3"/>
  <c r="O1369" i="3"/>
  <c r="M1369" i="3" s="1"/>
  <c r="O1370" i="3"/>
  <c r="P1370" i="3" s="1"/>
  <c r="O1371" i="3"/>
  <c r="O1372" i="3"/>
  <c r="O1373" i="3"/>
  <c r="O1374" i="3"/>
  <c r="O1375" i="3"/>
  <c r="O1376" i="3"/>
  <c r="Q1376" i="3" s="1"/>
  <c r="O1377" i="3"/>
  <c r="Q1377" i="3" s="1"/>
  <c r="O1378" i="3"/>
  <c r="O1379" i="3"/>
  <c r="M1379" i="3" s="1"/>
  <c r="O1380" i="3"/>
  <c r="O1381" i="3"/>
  <c r="O1382" i="3"/>
  <c r="M1382" i="3" s="1"/>
  <c r="O1383" i="3"/>
  <c r="O1384" i="3"/>
  <c r="Q1384" i="3" s="1"/>
  <c r="O1385" i="3"/>
  <c r="O1386" i="3"/>
  <c r="Q1386" i="3" s="1"/>
  <c r="O1387" i="3"/>
  <c r="Q1387" i="3" s="1"/>
  <c r="O1388" i="3"/>
  <c r="O1389" i="3"/>
  <c r="Q1389" i="3" s="1"/>
  <c r="O1390" i="3"/>
  <c r="O1391" i="3"/>
  <c r="Q1391" i="3" s="1"/>
  <c r="O1392" i="3"/>
  <c r="M1392" i="3" s="1"/>
  <c r="O1393" i="3"/>
  <c r="M1393" i="3" s="1"/>
  <c r="O1394" i="3"/>
  <c r="O1395" i="3"/>
  <c r="O1396" i="3"/>
  <c r="M1396" i="3" s="1"/>
  <c r="O1397" i="3"/>
  <c r="M1397" i="3" s="1"/>
  <c r="O1398" i="3"/>
  <c r="P1398" i="3" s="1"/>
  <c r="O1399" i="3"/>
  <c r="O1400" i="3"/>
  <c r="Q1400" i="3" s="1"/>
  <c r="O1401" i="3"/>
  <c r="Q1401" i="3" s="1"/>
  <c r="O1402" i="3"/>
  <c r="P1402" i="3" s="1"/>
  <c r="O1403" i="3"/>
  <c r="M1403" i="3" s="1"/>
  <c r="O1404" i="3"/>
  <c r="O1405" i="3"/>
  <c r="Q1405" i="3" s="1"/>
  <c r="O1406" i="3"/>
  <c r="O1407" i="3"/>
  <c r="P1407" i="3" s="1"/>
  <c r="O1408" i="3"/>
  <c r="M1408" i="3" s="1"/>
  <c r="O1409" i="3"/>
  <c r="P1409" i="3" s="1"/>
  <c r="O1410" i="3"/>
  <c r="O1411" i="3"/>
  <c r="O1412" i="3"/>
  <c r="O1413" i="3"/>
  <c r="O1414" i="3"/>
  <c r="O1415" i="3"/>
  <c r="O1416" i="3"/>
  <c r="Q1416" i="3" s="1"/>
  <c r="O1417" i="3"/>
  <c r="O1418" i="3"/>
  <c r="Q1418" i="3" s="1"/>
  <c r="O1419" i="3"/>
  <c r="Q1419" i="3" s="1"/>
  <c r="O1420" i="3"/>
  <c r="O1421" i="3"/>
  <c r="M1421" i="3" s="1"/>
  <c r="O1422" i="3"/>
  <c r="O1423" i="3"/>
  <c r="O1424" i="3"/>
  <c r="O1425" i="3"/>
  <c r="O1426" i="3"/>
  <c r="Q1426" i="3" s="1"/>
  <c r="O1427" i="3"/>
  <c r="O1428" i="3"/>
  <c r="Q1428" i="3" s="1"/>
  <c r="O1429" i="3"/>
  <c r="O1430" i="3"/>
  <c r="Q1430" i="3" s="1"/>
  <c r="O1431" i="3"/>
  <c r="O1432" i="3"/>
  <c r="M1432" i="3" s="1"/>
  <c r="O1433" i="3"/>
  <c r="M1433" i="3" s="1"/>
  <c r="O1434" i="3"/>
  <c r="M1434" i="3" s="1"/>
  <c r="O1435" i="3"/>
  <c r="P1435" i="3" s="1"/>
  <c r="O1436" i="3"/>
  <c r="O1437" i="3"/>
  <c r="Q1437" i="3" s="1"/>
  <c r="O1438" i="3"/>
  <c r="O1439" i="3"/>
  <c r="O1440" i="3"/>
  <c r="O1441" i="3"/>
  <c r="O1442" i="3"/>
  <c r="O1443" i="3"/>
  <c r="Q1443" i="3" s="1"/>
  <c r="O1444" i="3"/>
  <c r="O1445" i="3"/>
  <c r="O1446" i="3"/>
  <c r="O1447" i="3"/>
  <c r="O1448" i="3"/>
  <c r="M1448" i="3" s="1"/>
  <c r="O1449" i="3"/>
  <c r="O1450" i="3"/>
  <c r="M1450" i="3" s="1"/>
  <c r="O1451" i="3"/>
  <c r="M1451" i="3" s="1"/>
  <c r="O1452" i="3"/>
  <c r="M1452" i="3" s="1"/>
  <c r="O1453" i="3"/>
  <c r="O1454" i="3"/>
  <c r="M1454" i="3" s="1"/>
  <c r="O1455" i="3"/>
  <c r="P1455" i="3" s="1"/>
  <c r="O1456" i="3"/>
  <c r="P1456" i="3" s="1"/>
  <c r="O1457" i="3"/>
  <c r="O1458" i="3"/>
  <c r="Q1458" i="3" s="1"/>
  <c r="O1459" i="3"/>
  <c r="M1459" i="3" s="1"/>
  <c r="O1460" i="3"/>
  <c r="O1461" i="3"/>
  <c r="O1462" i="3"/>
  <c r="O1463" i="3"/>
  <c r="O1464" i="3"/>
  <c r="P1464" i="3" s="1"/>
  <c r="O1465" i="3"/>
  <c r="Q1465" i="3" s="1"/>
  <c r="O1466" i="3"/>
  <c r="O1467" i="3"/>
  <c r="O1468" i="3"/>
  <c r="Q1468" i="3" s="1"/>
  <c r="O1469" i="3"/>
  <c r="O1470" i="3"/>
  <c r="Q1470" i="3" s="1"/>
  <c r="O1471" i="3"/>
  <c r="Q1471" i="3" s="1"/>
  <c r="O1472" i="3"/>
  <c r="Q1472" i="3" s="1"/>
  <c r="O1473" i="3"/>
  <c r="M1473" i="3" s="1"/>
  <c r="O1474" i="3"/>
  <c r="O1475" i="3"/>
  <c r="O1476" i="3"/>
  <c r="O1477" i="3"/>
  <c r="O1478" i="3"/>
  <c r="M1478" i="3" s="1"/>
  <c r="O1479" i="3"/>
  <c r="Q1479" i="3" s="1"/>
  <c r="O1480" i="3"/>
  <c r="M1480" i="3" s="1"/>
  <c r="O1481" i="3"/>
  <c r="M1481" i="3" s="1"/>
  <c r="O1482" i="3"/>
  <c r="Q1482" i="3" s="1"/>
  <c r="O1483" i="3"/>
  <c r="O1484" i="3"/>
  <c r="M1484" i="3" s="1"/>
  <c r="O1485" i="3"/>
  <c r="O1486" i="3"/>
  <c r="Q1486" i="3" s="1"/>
  <c r="O1487" i="3"/>
  <c r="M1487" i="3" s="1"/>
  <c r="O1488" i="3"/>
  <c r="O1489" i="3"/>
  <c r="O1490" i="3"/>
  <c r="M1490" i="3" s="1"/>
  <c r="O1491" i="3"/>
  <c r="M1491" i="3" s="1"/>
  <c r="O1492" i="3"/>
  <c r="M1492" i="3" s="1"/>
  <c r="O1493" i="3"/>
  <c r="M1493" i="3" s="1"/>
  <c r="O1494" i="3"/>
  <c r="M1494" i="3" s="1"/>
  <c r="O1495" i="3"/>
  <c r="O1496" i="3"/>
  <c r="Q1496" i="3" s="1"/>
  <c r="O1497" i="3"/>
  <c r="O1498" i="3"/>
  <c r="O1499" i="3"/>
  <c r="Q1499" i="3" s="1"/>
  <c r="O1500" i="3"/>
  <c r="O1501" i="3"/>
  <c r="Q1501" i="3" s="1"/>
  <c r="O1502" i="3"/>
  <c r="Q1502" i="3" s="1"/>
  <c r="O1503" i="3"/>
  <c r="O1504" i="3"/>
  <c r="O1505" i="3"/>
  <c r="P1505" i="3" s="1"/>
  <c r="O1506" i="3"/>
  <c r="P1506" i="3" s="1"/>
  <c r="O1507" i="3"/>
  <c r="Q1507" i="3" s="1"/>
  <c r="O1508" i="3"/>
  <c r="P1508" i="3" s="1"/>
  <c r="O1509" i="3"/>
  <c r="P1509" i="3" s="1"/>
  <c r="O1510" i="3"/>
  <c r="Q1510" i="3" s="1"/>
  <c r="O1511" i="3"/>
  <c r="Q1511" i="3" s="1"/>
  <c r="O1512" i="3"/>
  <c r="M1512" i="3" s="1"/>
  <c r="O1513" i="3"/>
  <c r="Q1513" i="3" s="1"/>
  <c r="O1514" i="3"/>
  <c r="Q1514" i="3" s="1"/>
  <c r="O1515" i="3"/>
  <c r="Q1515" i="3" s="1"/>
  <c r="O1516" i="3"/>
  <c r="Q1516" i="3" s="1"/>
  <c r="O1517" i="3"/>
  <c r="O1518" i="3"/>
  <c r="M1518" i="3" s="1"/>
  <c r="O1519" i="3"/>
  <c r="M1519" i="3" s="1"/>
  <c r="O1520" i="3"/>
  <c r="M1520" i="3" s="1"/>
  <c r="O1521" i="3"/>
  <c r="Q1521" i="3" s="1"/>
  <c r="O1522" i="3"/>
  <c r="O1523" i="3"/>
  <c r="O1524" i="3"/>
  <c r="O1525" i="3"/>
  <c r="O1526" i="3"/>
  <c r="O1527" i="3"/>
  <c r="M1527" i="3" s="1"/>
  <c r="O1528" i="3"/>
  <c r="O1529" i="3"/>
  <c r="Q1529" i="3" s="1"/>
  <c r="O1530" i="3"/>
  <c r="O1531" i="3"/>
  <c r="Q1531" i="3" s="1"/>
  <c r="O1532" i="3"/>
  <c r="O1533" i="3"/>
  <c r="O1534" i="3"/>
  <c r="P1534" i="3" s="1"/>
  <c r="O1535" i="3"/>
  <c r="O1536" i="3"/>
  <c r="O1537" i="3"/>
  <c r="O1538" i="3"/>
  <c r="O1539" i="3"/>
  <c r="M1539" i="3" s="1"/>
  <c r="O1540" i="3"/>
  <c r="O1541" i="3"/>
  <c r="O1542" i="3"/>
  <c r="Q1542" i="3" s="1"/>
  <c r="O1543" i="3"/>
  <c r="M1543" i="3" s="1"/>
  <c r="O1544" i="3"/>
  <c r="Q1544" i="3" s="1"/>
  <c r="O1545" i="3"/>
  <c r="Q1545" i="3" s="1"/>
  <c r="O1546" i="3"/>
  <c r="M1546" i="3" s="1"/>
  <c r="O1547" i="3"/>
  <c r="O1548" i="3"/>
  <c r="O1549" i="3"/>
  <c r="M1549" i="3" s="1"/>
  <c r="O1550" i="3"/>
  <c r="O1551" i="3"/>
  <c r="O1552" i="3"/>
  <c r="O1553" i="3"/>
  <c r="M1553" i="3" s="1"/>
  <c r="O1554" i="3"/>
  <c r="Q1554" i="3" s="1"/>
  <c r="O1555" i="3"/>
  <c r="O1556" i="3"/>
  <c r="Q1556" i="3" s="1"/>
  <c r="O1557" i="3"/>
  <c r="M1557" i="3" s="1"/>
  <c r="O1558" i="3"/>
  <c r="O1559" i="3"/>
  <c r="Q1559" i="3" s="1"/>
  <c r="O1560" i="3"/>
  <c r="M1560" i="3" s="1"/>
  <c r="O1561" i="3"/>
  <c r="O1562" i="3"/>
  <c r="O1563" i="3"/>
  <c r="O1564" i="3"/>
  <c r="M1564" i="3" s="1"/>
  <c r="O1565" i="3"/>
  <c r="O1566" i="3"/>
  <c r="Q1566" i="3" s="1"/>
  <c r="O1567" i="3"/>
  <c r="Q1567" i="3" s="1"/>
  <c r="O1568" i="3"/>
  <c r="Q1568" i="3" s="1"/>
  <c r="O1569" i="3"/>
  <c r="Q1569" i="3" s="1"/>
  <c r="O1570" i="3"/>
  <c r="P1570" i="3" s="1"/>
  <c r="O1571" i="3"/>
  <c r="M1571" i="3" s="1"/>
  <c r="O1572" i="3"/>
  <c r="Q1572" i="3" s="1"/>
  <c r="O1573" i="3"/>
  <c r="Q1573" i="3" s="1"/>
  <c r="O1574" i="3"/>
  <c r="O1575" i="3"/>
  <c r="O1576" i="3"/>
  <c r="M1576" i="3" s="1"/>
  <c r="O1577" i="3"/>
  <c r="M1577" i="3" s="1"/>
  <c r="O1578" i="3"/>
  <c r="M1578" i="3" s="1"/>
  <c r="O1579" i="3"/>
  <c r="O1580" i="3"/>
  <c r="Q1580" i="3" s="1"/>
  <c r="O1581" i="3"/>
  <c r="M1581" i="3" s="1"/>
  <c r="O1582" i="3"/>
  <c r="O1583" i="3"/>
  <c r="O1584" i="3"/>
  <c r="O1585" i="3"/>
  <c r="M1585" i="3" s="1"/>
  <c r="O1586" i="3"/>
  <c r="O1587" i="3"/>
  <c r="O1588" i="3"/>
  <c r="M1588" i="3" s="1"/>
  <c r="O1589" i="3"/>
  <c r="P1589" i="3" s="1"/>
  <c r="O1590" i="3"/>
  <c r="M1590" i="3" s="1"/>
  <c r="O1591" i="3"/>
  <c r="M1591" i="3" s="1"/>
  <c r="O1592" i="3"/>
  <c r="M1592" i="3" s="1"/>
  <c r="O1593" i="3"/>
  <c r="M1593" i="3" s="1"/>
  <c r="O1594" i="3"/>
  <c r="O1595" i="3"/>
  <c r="O1596" i="3"/>
  <c r="Q1596" i="3" s="1"/>
  <c r="O1597" i="3"/>
  <c r="O1598" i="3"/>
  <c r="P1598" i="3" s="1"/>
  <c r="O1599" i="3"/>
  <c r="M1599" i="3" s="1"/>
  <c r="O1600" i="3"/>
  <c r="O1601" i="3"/>
  <c r="Q1601" i="3" s="1"/>
  <c r="O1602" i="3"/>
  <c r="O1603" i="3"/>
  <c r="O1604" i="3"/>
  <c r="M1604" i="3" s="1"/>
  <c r="O1605" i="3"/>
  <c r="O1606" i="3"/>
  <c r="P1606" i="3" s="1"/>
  <c r="O1607" i="3"/>
  <c r="P1607" i="3" s="1"/>
  <c r="O1608" i="3"/>
  <c r="Q1608" i="3" s="1"/>
  <c r="O1609" i="3"/>
  <c r="M1609" i="3" s="1"/>
  <c r="O1610" i="3"/>
  <c r="O1611" i="3"/>
  <c r="Q1611" i="3" s="1"/>
  <c r="O1612" i="3"/>
  <c r="M1612" i="3" s="1"/>
  <c r="O1613" i="3"/>
  <c r="O1614" i="3"/>
  <c r="Q1614" i="3" s="1"/>
  <c r="O1615" i="3"/>
  <c r="O1616" i="3"/>
  <c r="M1616" i="3" s="1"/>
  <c r="O1617" i="3"/>
  <c r="M1617" i="3" s="1"/>
  <c r="O1618" i="3"/>
  <c r="O1619" i="3"/>
  <c r="M1619" i="3" s="1"/>
  <c r="O1620" i="3"/>
  <c r="P1620" i="3" s="1"/>
  <c r="O1621" i="3"/>
  <c r="P1621" i="3" s="1"/>
  <c r="O1622" i="3"/>
  <c r="M1622" i="3" s="1"/>
  <c r="O1623" i="3"/>
  <c r="O1624" i="3"/>
  <c r="O1625" i="3"/>
  <c r="O1626" i="3"/>
  <c r="O1627" i="3"/>
  <c r="O1628" i="3"/>
  <c r="Q1628" i="3" s="1"/>
  <c r="O1629" i="3"/>
  <c r="Q1629" i="3" s="1"/>
  <c r="O1630" i="3"/>
  <c r="O1631" i="3"/>
  <c r="M1631" i="3" s="1"/>
  <c r="O1632" i="3"/>
  <c r="M1632" i="3" s="1"/>
  <c r="O1633" i="3"/>
  <c r="O1634" i="3"/>
  <c r="M1634" i="3" s="1"/>
  <c r="O1635" i="3"/>
  <c r="O1636" i="3"/>
  <c r="O1637" i="3"/>
  <c r="O1638" i="3"/>
  <c r="O1639" i="3"/>
  <c r="Q1639" i="3" s="1"/>
  <c r="O1640" i="3"/>
  <c r="O1641" i="3"/>
  <c r="P1641" i="3" s="1"/>
  <c r="O1642" i="3"/>
  <c r="O1643" i="3"/>
  <c r="O1644" i="3"/>
  <c r="M1644" i="3" s="1"/>
  <c r="O1645" i="3"/>
  <c r="M1645" i="3" s="1"/>
  <c r="O1646" i="3"/>
  <c r="O1647" i="3"/>
  <c r="O1648" i="3"/>
  <c r="O1649" i="3"/>
  <c r="P1649" i="3" s="1"/>
  <c r="O1650" i="3"/>
  <c r="Q1650" i="3" s="1"/>
  <c r="O1651" i="3"/>
  <c r="O1652" i="3"/>
  <c r="Q1652" i="3" s="1"/>
  <c r="O1653" i="3"/>
  <c r="Q1653" i="3" s="1"/>
  <c r="O1654" i="3"/>
  <c r="O1655" i="3"/>
  <c r="O1656" i="3"/>
  <c r="O1657" i="3"/>
  <c r="Q1657" i="3" s="1"/>
  <c r="O1658" i="3"/>
  <c r="O1659" i="3"/>
  <c r="M1659" i="3" s="1"/>
  <c r="O1660" i="3"/>
  <c r="O1661" i="3"/>
  <c r="O1662" i="3"/>
  <c r="O1663" i="3"/>
  <c r="M1663" i="3" s="1"/>
  <c r="O1664" i="3"/>
  <c r="M1664" i="3" s="1"/>
  <c r="O1665" i="3"/>
  <c r="O1666" i="3"/>
  <c r="O1667" i="3"/>
  <c r="M1667" i="3" s="1"/>
  <c r="O1668" i="3"/>
  <c r="O1669" i="3"/>
  <c r="M1669" i="3" s="1"/>
  <c r="O1670" i="3"/>
  <c r="P1670" i="3" s="1"/>
  <c r="O1671" i="3"/>
  <c r="Q1671" i="3" s="1"/>
  <c r="O1672" i="3"/>
  <c r="M1672" i="3" s="1"/>
  <c r="O1673" i="3"/>
  <c r="M1673" i="3" s="1"/>
  <c r="O1674" i="3"/>
  <c r="O1675" i="3"/>
  <c r="O1676" i="3"/>
  <c r="O1677" i="3"/>
  <c r="M1677" i="3" s="1"/>
  <c r="O1678" i="3"/>
  <c r="O1679" i="3"/>
  <c r="Q1679" i="3" s="1"/>
  <c r="O1680" i="3"/>
  <c r="Q1680" i="3" s="1"/>
  <c r="O1681" i="3"/>
  <c r="O1682" i="3"/>
  <c r="Q1682" i="3" s="1"/>
  <c r="O1683" i="3"/>
  <c r="Q1683" i="3" s="1"/>
  <c r="O1684" i="3"/>
  <c r="Q1684" i="3" s="1"/>
  <c r="O1685" i="3"/>
  <c r="O1686" i="3"/>
  <c r="M1686" i="3" s="1"/>
  <c r="O1687" i="3"/>
  <c r="M1687" i="3" s="1"/>
  <c r="O1688" i="3"/>
  <c r="O1689" i="3"/>
  <c r="O1690" i="3"/>
  <c r="P1690" i="3" s="1"/>
  <c r="O1691" i="3"/>
  <c r="O1692" i="3"/>
  <c r="P1692" i="3" s="1"/>
  <c r="O1693" i="3"/>
  <c r="O1694" i="3"/>
  <c r="O1695" i="3"/>
  <c r="O1696" i="3"/>
  <c r="O1697" i="3"/>
  <c r="O1698" i="3"/>
  <c r="Q1698" i="3" s="1"/>
  <c r="O1699" i="3"/>
  <c r="O1700" i="3"/>
  <c r="M1700" i="3" s="1"/>
  <c r="O1701" i="3"/>
  <c r="M1701" i="3" s="1"/>
  <c r="O1702" i="3"/>
  <c r="M1702" i="3" s="1"/>
  <c r="O1703" i="3"/>
  <c r="M1703" i="3" s="1"/>
  <c r="O2" i="3"/>
  <c r="V6" i="3" s="1"/>
  <c r="V5" i="3" s="1"/>
  <c r="A5" i="2"/>
  <c r="A4" i="2"/>
  <c r="A3" i="2"/>
  <c r="A2" i="2"/>
  <c r="A1" i="2"/>
  <c r="F102" i="1"/>
  <c r="E102" i="1" a="1"/>
  <c r="E102" i="1"/>
  <c r="H102" i="1" s="1"/>
  <c r="C102" i="1"/>
  <c r="F101" i="1"/>
  <c r="E101" i="1" a="1"/>
  <c r="E101" i="1"/>
  <c r="H101" i="1" s="1"/>
  <c r="F99" i="1"/>
  <c r="E99" i="1" a="1"/>
  <c r="E99" i="1"/>
  <c r="H99" i="1" s="1"/>
  <c r="C99" i="1"/>
  <c r="F98" i="1"/>
  <c r="E98" i="1" a="1"/>
  <c r="E98" i="1"/>
  <c r="H98" i="1" s="1"/>
  <c r="F96" i="1"/>
  <c r="E96" i="1" a="1"/>
  <c r="E96" i="1"/>
  <c r="F95" i="1"/>
  <c r="E95" i="1" a="1"/>
  <c r="E95" i="1"/>
  <c r="F94" i="1"/>
  <c r="E94" i="1" a="1"/>
  <c r="E94" i="1"/>
  <c r="C94" i="1"/>
  <c r="F92" i="1"/>
  <c r="E92" i="1" a="1"/>
  <c r="E92" i="1"/>
  <c r="C92" i="1"/>
  <c r="H92" i="1" s="1"/>
  <c r="F91" i="1"/>
  <c r="E91" i="1" a="1"/>
  <c r="E91" i="1"/>
  <c r="C91" i="1"/>
  <c r="H91" i="1" s="1"/>
  <c r="F90" i="1"/>
  <c r="E90" i="1" a="1"/>
  <c r="E90" i="1"/>
  <c r="H90" i="1" s="1"/>
  <c r="C90" i="1"/>
  <c r="F89" i="1"/>
  <c r="E89" i="1" a="1"/>
  <c r="E89" i="1"/>
  <c r="C89" i="1"/>
  <c r="H89" i="1" s="1"/>
  <c r="F88" i="1"/>
  <c r="E88" i="1" a="1"/>
  <c r="E88" i="1"/>
  <c r="C88" i="1"/>
  <c r="H88" i="1" s="1"/>
  <c r="F87" i="1"/>
  <c r="E87" i="1" a="1"/>
  <c r="E87" i="1"/>
  <c r="H87" i="1" s="1"/>
  <c r="C87" i="1"/>
  <c r="F86" i="1"/>
  <c r="E86" i="1" a="1"/>
  <c r="E86" i="1"/>
  <c r="F85" i="1"/>
  <c r="E85" i="1" a="1"/>
  <c r="E85" i="1"/>
  <c r="F84" i="1"/>
  <c r="E84" i="1" a="1"/>
  <c r="E84" i="1"/>
  <c r="F83" i="1"/>
  <c r="E83" i="1" a="1"/>
  <c r="E83" i="1"/>
  <c r="C83" i="1"/>
  <c r="F81" i="1"/>
  <c r="E81" i="1" a="1"/>
  <c r="E81" i="1"/>
  <c r="H81" i="1" s="1"/>
  <c r="C81" i="1"/>
  <c r="F80" i="1"/>
  <c r="E80" i="1" a="1"/>
  <c r="E80" i="1"/>
  <c r="C80" i="1"/>
  <c r="H80" i="1" s="1"/>
  <c r="F79" i="1"/>
  <c r="E79" i="1" a="1"/>
  <c r="E79" i="1"/>
  <c r="C79" i="1"/>
  <c r="H79" i="1" s="1"/>
  <c r="F78" i="1"/>
  <c r="E78" i="1" a="1"/>
  <c r="E78" i="1"/>
  <c r="C78" i="1"/>
  <c r="H78" i="1" s="1"/>
  <c r="F77" i="1"/>
  <c r="E77" i="1" a="1"/>
  <c r="E77" i="1"/>
  <c r="C77" i="1"/>
  <c r="C73" i="1"/>
  <c r="Q1699" i="3" l="1"/>
  <c r="M1699" i="3"/>
  <c r="P1696" i="3"/>
  <c r="M1696" i="3"/>
  <c r="Q1695" i="3"/>
  <c r="M1695" i="3"/>
  <c r="Q1694" i="3"/>
  <c r="M1694" i="3"/>
  <c r="Q1693" i="3"/>
  <c r="M1693" i="3"/>
  <c r="Q1689" i="3"/>
  <c r="M1689" i="3"/>
  <c r="P1688" i="3"/>
  <c r="M1688" i="3"/>
  <c r="Q1685" i="3"/>
  <c r="M1685" i="3"/>
  <c r="Q1681" i="3"/>
  <c r="M1681" i="3"/>
  <c r="Q1678" i="3"/>
  <c r="M1678" i="3"/>
  <c r="P1674" i="3"/>
  <c r="M1674" i="3"/>
  <c r="Q1668" i="3"/>
  <c r="M1668" i="3"/>
  <c r="Q1656" i="3"/>
  <c r="M1656" i="3"/>
  <c r="Q1654" i="3"/>
  <c r="M1654" i="3"/>
  <c r="Q1651" i="3"/>
  <c r="M1651" i="3"/>
  <c r="P1648" i="3"/>
  <c r="M1648" i="3"/>
  <c r="Q1643" i="3"/>
  <c r="M1643" i="3"/>
  <c r="Q1642" i="3"/>
  <c r="M1642" i="3"/>
  <c r="Q1640" i="3"/>
  <c r="M1640" i="3"/>
  <c r="Q1638" i="3"/>
  <c r="M1638" i="3"/>
  <c r="P1636" i="3"/>
  <c r="M1636" i="3"/>
  <c r="Q1633" i="3"/>
  <c r="M1633" i="3"/>
  <c r="P1626" i="3"/>
  <c r="M1626" i="3"/>
  <c r="Q1625" i="3"/>
  <c r="M1625" i="3"/>
  <c r="P1623" i="3"/>
  <c r="M1623" i="3"/>
  <c r="Q1615" i="3"/>
  <c r="M1615" i="3"/>
  <c r="Q1610" i="3"/>
  <c r="M1610" i="3"/>
  <c r="Q1605" i="3"/>
  <c r="M1605" i="3"/>
  <c r="Q1600" i="3"/>
  <c r="M1600" i="3"/>
  <c r="Q1597" i="3"/>
  <c r="M1597" i="3"/>
  <c r="Q1595" i="3"/>
  <c r="M1595" i="3"/>
  <c r="Q1594" i="3"/>
  <c r="M1594" i="3"/>
  <c r="Q1587" i="3"/>
  <c r="M1587" i="3"/>
  <c r="Q1586" i="3"/>
  <c r="M1586" i="3"/>
  <c r="P1584" i="3"/>
  <c r="M1584" i="3"/>
  <c r="P1583" i="3"/>
  <c r="M1583" i="3"/>
  <c r="P1575" i="3"/>
  <c r="M1575" i="3"/>
  <c r="Q1563" i="3"/>
  <c r="M1563" i="3"/>
  <c r="Q1558" i="3"/>
  <c r="M1558" i="3"/>
  <c r="P1555" i="3"/>
  <c r="M1555" i="3"/>
  <c r="P1551" i="3"/>
  <c r="M1551" i="3"/>
  <c r="P1550" i="3"/>
  <c r="M1550" i="3"/>
  <c r="Q1541" i="3"/>
  <c r="M1541" i="3"/>
  <c r="Q1538" i="3"/>
  <c r="M1538" i="3"/>
  <c r="P1537" i="3"/>
  <c r="M1537" i="3"/>
  <c r="Q1535" i="3"/>
  <c r="M1535" i="3"/>
  <c r="Q1528" i="3"/>
  <c r="M1528" i="3"/>
  <c r="P1526" i="3"/>
  <c r="M1526" i="3"/>
  <c r="P1525" i="3"/>
  <c r="M1525" i="3"/>
  <c r="Q1524" i="3"/>
  <c r="M1524" i="3"/>
  <c r="Q1517" i="3"/>
  <c r="M1517" i="3"/>
  <c r="Q1503" i="3"/>
  <c r="M1503" i="3"/>
  <c r="Q1500" i="3"/>
  <c r="M1500" i="3"/>
  <c r="Q1489" i="3"/>
  <c r="M1489" i="3"/>
  <c r="P1488" i="3"/>
  <c r="M1488" i="3"/>
  <c r="P1485" i="3"/>
  <c r="M1485" i="3"/>
  <c r="Q1483" i="3"/>
  <c r="M1483" i="3"/>
  <c r="Q1475" i="3"/>
  <c r="M1475" i="3"/>
  <c r="P1474" i="3"/>
  <c r="M1474" i="3"/>
  <c r="Q1469" i="3"/>
  <c r="M1469" i="3"/>
  <c r="Q1461" i="3"/>
  <c r="M1461" i="3"/>
  <c r="Q1447" i="3"/>
  <c r="M1447" i="3"/>
  <c r="Q1446" i="3"/>
  <c r="M1446" i="3"/>
  <c r="Q1442" i="3"/>
  <c r="M1442" i="3"/>
  <c r="Q1441" i="3"/>
  <c r="M1441" i="3"/>
  <c r="Q1440" i="3"/>
  <c r="M1440" i="3"/>
  <c r="P1438" i="3"/>
  <c r="M1438" i="3"/>
  <c r="P1436" i="3"/>
  <c r="M1436" i="3"/>
  <c r="Q1429" i="3"/>
  <c r="M1429" i="3"/>
  <c r="Q1427" i="3"/>
  <c r="M1427" i="3"/>
  <c r="Q1417" i="3"/>
  <c r="M1417" i="3"/>
  <c r="P1415" i="3"/>
  <c r="M1415" i="3"/>
  <c r="Q1404" i="3"/>
  <c r="M1404" i="3"/>
  <c r="Q1399" i="3"/>
  <c r="M1399" i="3"/>
  <c r="Q1395" i="3"/>
  <c r="M1395" i="3"/>
  <c r="Q1390" i="3"/>
  <c r="M1390" i="3"/>
  <c r="P1388" i="3"/>
  <c r="M1388" i="3"/>
  <c r="Q1385" i="3"/>
  <c r="M1385" i="3"/>
  <c r="Q1375" i="3"/>
  <c r="M1375" i="3"/>
  <c r="Q1374" i="3"/>
  <c r="M1374" i="3"/>
  <c r="Q1373" i="3"/>
  <c r="M1373" i="3"/>
  <c r="P1371" i="3"/>
  <c r="M1371" i="3"/>
  <c r="P1365" i="3"/>
  <c r="M1365" i="3"/>
  <c r="Q1363" i="3"/>
  <c r="M1363" i="3"/>
  <c r="Q1360" i="3"/>
  <c r="M1360" i="3"/>
  <c r="Q1359" i="3"/>
  <c r="M1359" i="3"/>
  <c r="Q1357" i="3"/>
  <c r="M1357" i="3"/>
  <c r="Q1355" i="3"/>
  <c r="M1355" i="3"/>
  <c r="P1353" i="3"/>
  <c r="M1353" i="3"/>
  <c r="Q1348" i="3"/>
  <c r="M1348" i="3"/>
  <c r="P1344" i="3"/>
  <c r="M1344" i="3"/>
  <c r="Q1341" i="3"/>
  <c r="M1341" i="3"/>
  <c r="Q1340" i="3"/>
  <c r="M1340" i="3"/>
  <c r="Q1337" i="3"/>
  <c r="M1337" i="3"/>
  <c r="P1335" i="3"/>
  <c r="M1335" i="3"/>
  <c r="Q1330" i="3"/>
  <c r="M1330" i="3"/>
  <c r="P1329" i="3"/>
  <c r="M1329" i="3"/>
  <c r="P1317" i="3"/>
  <c r="M1317" i="3"/>
  <c r="Q1314" i="3"/>
  <c r="M1314" i="3"/>
  <c r="Q1312" i="3"/>
  <c r="M1312" i="3"/>
  <c r="Q1300" i="3"/>
  <c r="M1300" i="3"/>
  <c r="Q1299" i="3"/>
  <c r="M1299" i="3"/>
  <c r="Q1292" i="3"/>
  <c r="M1292" i="3"/>
  <c r="P1291" i="3"/>
  <c r="M1291" i="3"/>
  <c r="Q1288" i="3"/>
  <c r="M1288" i="3"/>
  <c r="Q1276" i="3"/>
  <c r="M1276" i="3"/>
  <c r="Q1272" i="3"/>
  <c r="M1272" i="3"/>
  <c r="Q1271" i="3"/>
  <c r="M1271" i="3"/>
  <c r="Q1265" i="3"/>
  <c r="M1265" i="3"/>
  <c r="Q1261" i="3"/>
  <c r="M1261" i="3"/>
  <c r="P1259" i="3"/>
  <c r="M1259" i="3"/>
  <c r="Q1257" i="3"/>
  <c r="M1257" i="3"/>
  <c r="Q1251" i="3"/>
  <c r="M1251" i="3"/>
  <c r="Q1250" i="3"/>
  <c r="M1250" i="3"/>
  <c r="Q1248" i="3"/>
  <c r="M1248" i="3"/>
  <c r="Q1245" i="3"/>
  <c r="M1245" i="3"/>
  <c r="Q1241" i="3"/>
  <c r="M1241" i="3"/>
  <c r="Q1237" i="3"/>
  <c r="M1237" i="3"/>
  <c r="P1234" i="3"/>
  <c r="M1234" i="3"/>
  <c r="P1231" i="3"/>
  <c r="M1231" i="3"/>
  <c r="P1230" i="3"/>
  <c r="M1230" i="3"/>
  <c r="P1228" i="3"/>
  <c r="M1228" i="3"/>
  <c r="Q1227" i="3"/>
  <c r="M1227" i="3"/>
  <c r="Q1223" i="3"/>
  <c r="M1223" i="3"/>
  <c r="Q1219" i="3"/>
  <c r="M1219" i="3"/>
  <c r="Q1214" i="3"/>
  <c r="M1214" i="3"/>
  <c r="Q1209" i="3"/>
  <c r="M1209" i="3"/>
  <c r="Q1208" i="3"/>
  <c r="M1208" i="3"/>
  <c r="Q1205" i="3"/>
  <c r="M1205" i="3"/>
  <c r="Q1198" i="3"/>
  <c r="M1198" i="3"/>
  <c r="Q1195" i="3"/>
  <c r="M1195" i="3"/>
  <c r="Q1188" i="3"/>
  <c r="M1188" i="3"/>
  <c r="Q1176" i="3"/>
  <c r="M1176" i="3"/>
  <c r="Q1174" i="3"/>
  <c r="M1174" i="3"/>
  <c r="Q1160" i="3"/>
  <c r="M1160" i="3"/>
  <c r="Q1159" i="3"/>
  <c r="M1159" i="3"/>
  <c r="Q1153" i="3"/>
  <c r="M1153" i="3"/>
  <c r="P1150" i="3"/>
  <c r="M1150" i="3"/>
  <c r="Q1147" i="3"/>
  <c r="M1147" i="3"/>
  <c r="Q1145" i="3"/>
  <c r="M1145" i="3"/>
  <c r="Q1135" i="3"/>
  <c r="M1135" i="3"/>
  <c r="Q1134" i="3"/>
  <c r="M1134" i="3"/>
  <c r="Q1133" i="3"/>
  <c r="M1133" i="3"/>
  <c r="Q1128" i="3"/>
  <c r="M1128" i="3"/>
  <c r="Q1124" i="3"/>
  <c r="M1124" i="3"/>
  <c r="P1123" i="3"/>
  <c r="M1123" i="3"/>
  <c r="Q1121" i="3"/>
  <c r="M1121" i="3"/>
  <c r="Q1116" i="3"/>
  <c r="M1116" i="3"/>
  <c r="Q1113" i="3"/>
  <c r="M1113" i="3"/>
  <c r="Q1107" i="3"/>
  <c r="M1107" i="3"/>
  <c r="Q1103" i="3"/>
  <c r="M1103" i="3"/>
  <c r="Q1097" i="3"/>
  <c r="M1097" i="3"/>
  <c r="Q1093" i="3"/>
  <c r="M1093" i="3"/>
  <c r="Q1091" i="3"/>
  <c r="M1091" i="3"/>
  <c r="Q1090" i="3"/>
  <c r="M1090" i="3"/>
  <c r="P1082" i="3"/>
  <c r="M1082" i="3"/>
  <c r="Q1078" i="3"/>
  <c r="M1078" i="3"/>
  <c r="Q1071" i="3"/>
  <c r="M1071" i="3"/>
  <c r="P1053" i="3"/>
  <c r="M1053" i="3"/>
  <c r="P1052" i="3"/>
  <c r="M1052" i="3"/>
  <c r="Q1049" i="3"/>
  <c r="M1049" i="3"/>
  <c r="Q1041" i="3"/>
  <c r="M1041" i="3"/>
  <c r="Q1036" i="3"/>
  <c r="M1036" i="3"/>
  <c r="P1035" i="3"/>
  <c r="M1035" i="3"/>
  <c r="Q1034" i="3"/>
  <c r="M1034" i="3"/>
  <c r="Q1031" i="3"/>
  <c r="M1031" i="3"/>
  <c r="Q1029" i="3"/>
  <c r="M1029" i="3"/>
  <c r="Q1027" i="3"/>
  <c r="M1027" i="3"/>
  <c r="Q1026" i="3"/>
  <c r="M1026" i="3"/>
  <c r="P1024" i="3"/>
  <c r="M1024" i="3"/>
  <c r="Q1022" i="3"/>
  <c r="M1022" i="3"/>
  <c r="P1020" i="3"/>
  <c r="M1020" i="3"/>
  <c r="Q1013" i="3"/>
  <c r="M1013" i="3"/>
  <c r="Q1009" i="3"/>
  <c r="M1009" i="3"/>
  <c r="P1003" i="3"/>
  <c r="M1003" i="3"/>
  <c r="Q981" i="3"/>
  <c r="M981" i="3"/>
  <c r="Q980" i="3"/>
  <c r="M980" i="3"/>
  <c r="Q974" i="3"/>
  <c r="M974" i="3"/>
  <c r="Q959" i="3"/>
  <c r="M959" i="3"/>
  <c r="Q957" i="3"/>
  <c r="M957" i="3"/>
  <c r="Q952" i="3"/>
  <c r="M952" i="3"/>
  <c r="Q951" i="3"/>
  <c r="M951" i="3"/>
  <c r="Q943" i="3"/>
  <c r="M943" i="3"/>
  <c r="P942" i="3"/>
  <c r="M942" i="3"/>
  <c r="P941" i="3"/>
  <c r="M941" i="3"/>
  <c r="Q937" i="3"/>
  <c r="M937" i="3"/>
  <c r="Q927" i="3"/>
  <c r="M927" i="3"/>
  <c r="Q912" i="3"/>
  <c r="M912" i="3"/>
  <c r="Q910" i="3"/>
  <c r="M910" i="3"/>
  <c r="Q909" i="3"/>
  <c r="M909" i="3"/>
  <c r="Q904" i="3"/>
  <c r="M904" i="3"/>
  <c r="P903" i="3"/>
  <c r="M903" i="3"/>
  <c r="Q901" i="3"/>
  <c r="M901" i="3"/>
  <c r="Q887" i="3"/>
  <c r="M887" i="3"/>
  <c r="Q886" i="3"/>
  <c r="M886" i="3"/>
  <c r="Q885" i="3"/>
  <c r="M885" i="3"/>
  <c r="Q884" i="3"/>
  <c r="M884" i="3"/>
  <c r="Q881" i="3"/>
  <c r="M881" i="3"/>
  <c r="Q870" i="3"/>
  <c r="M870" i="3"/>
  <c r="P869" i="3"/>
  <c r="M869" i="3"/>
  <c r="Q867" i="3"/>
  <c r="M867" i="3"/>
  <c r="Q857" i="3"/>
  <c r="M857" i="3"/>
  <c r="Q850" i="3"/>
  <c r="M850" i="3"/>
  <c r="P841" i="3"/>
  <c r="M841" i="3"/>
  <c r="Q839" i="3"/>
  <c r="M839" i="3"/>
  <c r="Q835" i="3"/>
  <c r="M835" i="3"/>
  <c r="Q830" i="3"/>
  <c r="M830" i="3"/>
  <c r="Q816" i="3"/>
  <c r="M816" i="3"/>
  <c r="Q812" i="3"/>
  <c r="M812" i="3"/>
  <c r="Q811" i="3"/>
  <c r="M811" i="3"/>
  <c r="Q806" i="3"/>
  <c r="M806" i="3"/>
  <c r="Q805" i="3"/>
  <c r="M805" i="3"/>
  <c r="Q800" i="3"/>
  <c r="M800" i="3"/>
  <c r="Q798" i="3"/>
  <c r="M798" i="3"/>
  <c r="Q796" i="3"/>
  <c r="M796" i="3"/>
  <c r="Q794" i="3"/>
  <c r="M794" i="3"/>
  <c r="Q791" i="3"/>
  <c r="M791" i="3"/>
  <c r="Q789" i="3"/>
  <c r="M789" i="3"/>
  <c r="Q786" i="3"/>
  <c r="M786" i="3"/>
  <c r="P771" i="3"/>
  <c r="M771" i="3"/>
  <c r="Q768" i="3"/>
  <c r="M768" i="3"/>
  <c r="P767" i="3"/>
  <c r="M767" i="3"/>
  <c r="Q756" i="3"/>
  <c r="M756" i="3"/>
  <c r="Q752" i="3"/>
  <c r="M752" i="3"/>
  <c r="Q751" i="3"/>
  <c r="M751" i="3"/>
  <c r="Q749" i="3"/>
  <c r="M749" i="3"/>
  <c r="P743" i="3"/>
  <c r="M743" i="3"/>
  <c r="Q740" i="3"/>
  <c r="M740" i="3"/>
  <c r="P731" i="3"/>
  <c r="M731" i="3"/>
  <c r="Q721" i="3"/>
  <c r="M721" i="3"/>
  <c r="Q719" i="3"/>
  <c r="M719" i="3"/>
  <c r="Q716" i="3"/>
  <c r="M716" i="3"/>
  <c r="P713" i="3"/>
  <c r="M713" i="3"/>
  <c r="P712" i="3"/>
  <c r="M712" i="3"/>
  <c r="P711" i="3"/>
  <c r="M711" i="3"/>
  <c r="Q709" i="3"/>
  <c r="M709" i="3"/>
  <c r="P705" i="3"/>
  <c r="M705" i="3"/>
  <c r="Q700" i="3"/>
  <c r="M700" i="3"/>
  <c r="Q698" i="3"/>
  <c r="M698" i="3"/>
  <c r="Q696" i="3"/>
  <c r="M696" i="3"/>
  <c r="Q693" i="3"/>
  <c r="M693" i="3"/>
  <c r="Q688" i="3"/>
  <c r="M688" i="3"/>
  <c r="Q677" i="3"/>
  <c r="M677" i="3"/>
  <c r="Q676" i="3"/>
  <c r="M676" i="3"/>
  <c r="Q674" i="3"/>
  <c r="M674" i="3"/>
  <c r="Q672" i="3"/>
  <c r="M672" i="3"/>
  <c r="Q668" i="3"/>
  <c r="M668" i="3"/>
  <c r="P647" i="3"/>
  <c r="M647" i="3"/>
  <c r="Q644" i="3"/>
  <c r="M644" i="3"/>
  <c r="Q640" i="3"/>
  <c r="M640" i="3"/>
  <c r="Q639" i="3"/>
  <c r="M639" i="3"/>
  <c r="Q638" i="3"/>
  <c r="M638" i="3"/>
  <c r="P637" i="3"/>
  <c r="M637" i="3"/>
  <c r="P635" i="3"/>
  <c r="M635" i="3"/>
  <c r="P634" i="3"/>
  <c r="M634" i="3"/>
  <c r="P631" i="3"/>
  <c r="M631" i="3"/>
  <c r="Q623" i="3"/>
  <c r="M623" i="3"/>
  <c r="Q619" i="3"/>
  <c r="M619" i="3"/>
  <c r="Q616" i="3"/>
  <c r="M616" i="3"/>
  <c r="Q615" i="3"/>
  <c r="M615" i="3"/>
  <c r="P611" i="3"/>
  <c r="M611" i="3"/>
  <c r="P590" i="3"/>
  <c r="M590" i="3"/>
  <c r="P586" i="3"/>
  <c r="M586" i="3"/>
  <c r="Q582" i="3"/>
  <c r="M582" i="3"/>
  <c r="Q579" i="3"/>
  <c r="M579" i="3"/>
  <c r="Q568" i="3"/>
  <c r="M568" i="3"/>
  <c r="Q559" i="3"/>
  <c r="M559" i="3"/>
  <c r="Q551" i="3"/>
  <c r="M551" i="3"/>
  <c r="P547" i="3"/>
  <c r="M547" i="3"/>
  <c r="Q544" i="3"/>
  <c r="M544" i="3"/>
  <c r="Q539" i="3"/>
  <c r="M539" i="3"/>
  <c r="P537" i="3"/>
  <c r="M537" i="3"/>
  <c r="Q536" i="3"/>
  <c r="M536" i="3"/>
  <c r="P534" i="3"/>
  <c r="M534" i="3"/>
  <c r="Q522" i="3"/>
  <c r="M522" i="3"/>
  <c r="Q517" i="3"/>
  <c r="M517" i="3"/>
  <c r="Q511" i="3"/>
  <c r="M511" i="3"/>
  <c r="Q509" i="3"/>
  <c r="M509" i="3"/>
  <c r="Q506" i="3"/>
  <c r="M506" i="3"/>
  <c r="P503" i="3"/>
  <c r="M503" i="3"/>
  <c r="P502" i="3"/>
  <c r="M502" i="3"/>
  <c r="Q492" i="3"/>
  <c r="M492" i="3"/>
  <c r="P489" i="3"/>
  <c r="M489" i="3"/>
  <c r="Q485" i="3"/>
  <c r="M485" i="3"/>
  <c r="Q478" i="3"/>
  <c r="M478" i="3"/>
  <c r="Q469" i="3"/>
  <c r="M469" i="3"/>
  <c r="Q465" i="3"/>
  <c r="M465" i="3"/>
  <c r="P464" i="3"/>
  <c r="M464" i="3"/>
  <c r="Q462" i="3"/>
  <c r="M462" i="3"/>
  <c r="Q461" i="3"/>
  <c r="M461" i="3"/>
  <c r="Q458" i="3"/>
  <c r="M458" i="3"/>
  <c r="Q452" i="3"/>
  <c r="M452" i="3"/>
  <c r="P450" i="3"/>
  <c r="M450" i="3"/>
  <c r="Q440" i="3"/>
  <c r="M440" i="3"/>
  <c r="P436" i="3"/>
  <c r="M436" i="3"/>
  <c r="P432" i="3"/>
  <c r="M432" i="3"/>
  <c r="Q430" i="3"/>
  <c r="M430" i="3"/>
  <c r="P429" i="3"/>
  <c r="M429" i="3"/>
  <c r="Q427" i="3"/>
  <c r="M427" i="3"/>
  <c r="Q425" i="3"/>
  <c r="M425" i="3"/>
  <c r="Q419" i="3"/>
  <c r="M419" i="3"/>
  <c r="P401" i="3"/>
  <c r="M401" i="3"/>
  <c r="P400" i="3"/>
  <c r="M400" i="3"/>
  <c r="P397" i="3"/>
  <c r="M397" i="3"/>
  <c r="Q394" i="3"/>
  <c r="M394" i="3"/>
  <c r="Q392" i="3"/>
  <c r="M392" i="3"/>
  <c r="Q387" i="3"/>
  <c r="M387" i="3"/>
  <c r="Q381" i="3"/>
  <c r="M381" i="3"/>
  <c r="P379" i="3"/>
  <c r="M379" i="3"/>
  <c r="P378" i="3"/>
  <c r="M378" i="3"/>
  <c r="P376" i="3"/>
  <c r="M376" i="3"/>
  <c r="P375" i="3"/>
  <c r="M375" i="3"/>
  <c r="Q373" i="3"/>
  <c r="M373" i="3"/>
  <c r="Q367" i="3"/>
  <c r="M367" i="3"/>
  <c r="P366" i="3"/>
  <c r="M366" i="3"/>
  <c r="Q359" i="3"/>
  <c r="M359" i="3"/>
  <c r="Q356" i="3"/>
  <c r="M356" i="3"/>
  <c r="Q354" i="3"/>
  <c r="M354" i="3"/>
  <c r="P353" i="3"/>
  <c r="M353" i="3"/>
  <c r="Q340" i="3"/>
  <c r="M340" i="3"/>
  <c r="Q334" i="3"/>
  <c r="M334" i="3"/>
  <c r="Q331" i="3"/>
  <c r="M331" i="3"/>
  <c r="Q330" i="3"/>
  <c r="M330" i="3"/>
  <c r="Q329" i="3"/>
  <c r="M329" i="3"/>
  <c r="Q326" i="3"/>
  <c r="M326" i="3"/>
  <c r="Q315" i="3"/>
  <c r="M315" i="3"/>
  <c r="Q314" i="3"/>
  <c r="M314" i="3"/>
  <c r="Q313" i="3"/>
  <c r="M313" i="3"/>
  <c r="Q312" i="3"/>
  <c r="M312" i="3"/>
  <c r="Q310" i="3"/>
  <c r="M310" i="3"/>
  <c r="Q308" i="3"/>
  <c r="M308" i="3"/>
  <c r="P303" i="3"/>
  <c r="M303" i="3"/>
  <c r="P278" i="3"/>
  <c r="M278" i="3"/>
  <c r="Q273" i="3"/>
  <c r="M273" i="3"/>
  <c r="P269" i="3"/>
  <c r="M269" i="3"/>
  <c r="P268" i="3"/>
  <c r="M268" i="3"/>
  <c r="Q266" i="3"/>
  <c r="M266" i="3"/>
  <c r="Q262" i="3"/>
  <c r="M262" i="3"/>
  <c r="Q260" i="3"/>
  <c r="M260" i="3"/>
  <c r="Q258" i="3"/>
  <c r="M258" i="3"/>
  <c r="Q256" i="3"/>
  <c r="M256" i="3"/>
  <c r="Q252" i="3"/>
  <c r="M252" i="3"/>
  <c r="Q250" i="3"/>
  <c r="M250" i="3"/>
  <c r="P244" i="3"/>
  <c r="M244" i="3"/>
  <c r="Q224" i="3"/>
  <c r="M224" i="3"/>
  <c r="Q215" i="3"/>
  <c r="M215" i="3"/>
  <c r="Q192" i="3"/>
  <c r="M192" i="3"/>
  <c r="Q191" i="3"/>
  <c r="M191" i="3"/>
  <c r="Q181" i="3"/>
  <c r="M181" i="3"/>
  <c r="P175" i="3"/>
  <c r="M175" i="3"/>
  <c r="Q170" i="3"/>
  <c r="M170" i="3"/>
  <c r="P168" i="3"/>
  <c r="M168" i="3"/>
  <c r="P163" i="3"/>
  <c r="M163" i="3"/>
  <c r="Q160" i="3"/>
  <c r="M160" i="3"/>
  <c r="P156" i="3"/>
  <c r="M156" i="3"/>
  <c r="P145" i="3"/>
  <c r="M145" i="3"/>
  <c r="P142" i="3"/>
  <c r="M142" i="3"/>
  <c r="P141" i="3"/>
  <c r="M141" i="3"/>
  <c r="P139" i="3"/>
  <c r="M139" i="3"/>
  <c r="Q132" i="3"/>
  <c r="M132" i="3"/>
  <c r="Q129" i="3"/>
  <c r="M129" i="3"/>
  <c r="Q118" i="3"/>
  <c r="M118" i="3"/>
  <c r="Q116" i="3"/>
  <c r="M116" i="3"/>
  <c r="Q114" i="3"/>
  <c r="M114" i="3"/>
  <c r="Q111" i="3"/>
  <c r="M111" i="3"/>
  <c r="P110" i="3"/>
  <c r="M110" i="3"/>
  <c r="P96" i="3"/>
  <c r="M96" i="3"/>
  <c r="Q88" i="3"/>
  <c r="M88" i="3"/>
  <c r="Q86" i="3"/>
  <c r="M86" i="3"/>
  <c r="Q77" i="3"/>
  <c r="M77" i="3"/>
  <c r="P72" i="3"/>
  <c r="M72" i="3"/>
  <c r="Q54" i="3"/>
  <c r="M54" i="3"/>
  <c r="Q52" i="3"/>
  <c r="M52" i="3"/>
  <c r="Q50" i="3"/>
  <c r="M50" i="3"/>
  <c r="Q48" i="3"/>
  <c r="M48" i="3"/>
  <c r="P44" i="3"/>
  <c r="M44" i="3"/>
  <c r="P43" i="3"/>
  <c r="M43" i="3"/>
  <c r="P40" i="3"/>
  <c r="M40" i="3"/>
  <c r="Q36" i="3"/>
  <c r="M36" i="3"/>
  <c r="Q34" i="3"/>
  <c r="M34" i="3"/>
  <c r="Q30" i="3"/>
  <c r="M30" i="3"/>
  <c r="Q20" i="3"/>
  <c r="M20" i="3"/>
  <c r="Q12" i="3"/>
  <c r="M12" i="3"/>
  <c r="P6" i="3"/>
  <c r="M6" i="3"/>
  <c r="J1707" i="3"/>
  <c r="Q1697" i="3"/>
  <c r="P1697" i="3"/>
  <c r="P1669" i="3"/>
  <c r="Q1669" i="3"/>
  <c r="Q1655" i="3"/>
  <c r="P1655" i="3"/>
  <c r="Q1647" i="3"/>
  <c r="P1647" i="3"/>
  <c r="P1627" i="3"/>
  <c r="Q1627" i="3"/>
  <c r="Q1613" i="3"/>
  <c r="P1613" i="3"/>
  <c r="P1599" i="3"/>
  <c r="Q1599" i="3"/>
  <c r="P1585" i="3"/>
  <c r="Q1585" i="3"/>
  <c r="Q1571" i="3"/>
  <c r="P1571" i="3"/>
  <c r="Q1557" i="3"/>
  <c r="P1557" i="3"/>
  <c r="Q1543" i="3"/>
  <c r="P1543" i="3"/>
  <c r="P1527" i="3"/>
  <c r="Q1527" i="3"/>
  <c r="Q1487" i="3"/>
  <c r="P1487" i="3"/>
  <c r="P1473" i="3"/>
  <c r="Q1473" i="3"/>
  <c r="Q1459" i="3"/>
  <c r="P1459" i="3"/>
  <c r="P1457" i="3"/>
  <c r="Q1457" i="3"/>
  <c r="P1454" i="3"/>
  <c r="Q1454" i="3"/>
  <c r="P1453" i="3"/>
  <c r="Q1453" i="3"/>
  <c r="Q1445" i="3"/>
  <c r="P1445" i="3"/>
  <c r="Q1431" i="3"/>
  <c r="P1431" i="3"/>
  <c r="Q1403" i="3"/>
  <c r="P1403" i="3"/>
  <c r="P1347" i="3"/>
  <c r="Q1347" i="3"/>
  <c r="P1326" i="3"/>
  <c r="Q1326" i="3"/>
  <c r="Q1318" i="3"/>
  <c r="P1318" i="3"/>
  <c r="Q1311" i="3"/>
  <c r="P1311" i="3"/>
  <c r="Q1310" i="3"/>
  <c r="P1310" i="3"/>
  <c r="P1290" i="3"/>
  <c r="Q1290" i="3"/>
  <c r="Q1255" i="3"/>
  <c r="P1255" i="3"/>
  <c r="Q1240" i="3"/>
  <c r="P1240" i="3"/>
  <c r="P1235" i="3"/>
  <c r="Q1235" i="3"/>
  <c r="P1193" i="3"/>
  <c r="Q1193" i="3"/>
  <c r="Q1175" i="3"/>
  <c r="P1175" i="3"/>
  <c r="Q1158" i="3"/>
  <c r="P1158" i="3"/>
  <c r="Q1157" i="3"/>
  <c r="P1157" i="3"/>
  <c r="Q1156" i="3"/>
  <c r="P1156" i="3"/>
  <c r="P1151" i="3"/>
  <c r="Q1151" i="3"/>
  <c r="P1109" i="3"/>
  <c r="Q1109" i="3"/>
  <c r="Q1100" i="3"/>
  <c r="P1100" i="3"/>
  <c r="P1095" i="3"/>
  <c r="Q1095" i="3"/>
  <c r="Q1088" i="3"/>
  <c r="P1088" i="3"/>
  <c r="P1038" i="3"/>
  <c r="Q1038" i="3"/>
  <c r="P1030" i="3"/>
  <c r="Q1030" i="3"/>
  <c r="Q1018" i="3"/>
  <c r="P1018" i="3"/>
  <c r="P1011" i="3"/>
  <c r="Q1011" i="3"/>
  <c r="P969" i="3"/>
  <c r="Q969" i="3"/>
  <c r="Q926" i="3"/>
  <c r="P926" i="3"/>
  <c r="Q919" i="3"/>
  <c r="P919" i="3"/>
  <c r="Q913" i="3"/>
  <c r="P913" i="3"/>
  <c r="P899" i="3"/>
  <c r="Q899" i="3"/>
  <c r="Q871" i="3"/>
  <c r="P871" i="3"/>
  <c r="Q863" i="3"/>
  <c r="P863" i="3"/>
  <c r="Q848" i="3"/>
  <c r="P848" i="3"/>
  <c r="Q815" i="3"/>
  <c r="P815" i="3"/>
  <c r="P813" i="3"/>
  <c r="Q813" i="3"/>
  <c r="P801" i="3"/>
  <c r="Q801" i="3"/>
  <c r="Q787" i="3"/>
  <c r="P787" i="3"/>
  <c r="Q773" i="3"/>
  <c r="P773" i="3"/>
  <c r="Q746" i="3"/>
  <c r="P746" i="3"/>
  <c r="Q717" i="3"/>
  <c r="P717" i="3"/>
  <c r="Q675" i="3"/>
  <c r="P675" i="3"/>
  <c r="Q661" i="3"/>
  <c r="P661" i="3"/>
  <c r="Q624" i="3"/>
  <c r="P624" i="3"/>
  <c r="P591" i="3"/>
  <c r="Q591" i="3"/>
  <c r="Q577" i="3"/>
  <c r="P577" i="3"/>
  <c r="Q563" i="3"/>
  <c r="P563" i="3"/>
  <c r="P535" i="3"/>
  <c r="Q535" i="3"/>
  <c r="Q521" i="3"/>
  <c r="P521" i="3"/>
  <c r="Q508" i="3"/>
  <c r="P508" i="3"/>
  <c r="Q507" i="3"/>
  <c r="P507" i="3"/>
  <c r="P498" i="3"/>
  <c r="Q498" i="3"/>
  <c r="P479" i="3"/>
  <c r="Q479" i="3"/>
  <c r="Q437" i="3"/>
  <c r="P437" i="3"/>
  <c r="Q409" i="3"/>
  <c r="P409" i="3"/>
  <c r="Q377" i="3"/>
  <c r="P377" i="3"/>
  <c r="Q374" i="3"/>
  <c r="P374" i="3"/>
  <c r="Q372" i="3"/>
  <c r="P372" i="3"/>
  <c r="Q339" i="3"/>
  <c r="P339" i="3"/>
  <c r="P338" i="3"/>
  <c r="Q338" i="3"/>
  <c r="Q298" i="3"/>
  <c r="P298" i="3"/>
  <c r="Q297" i="3"/>
  <c r="P297" i="3"/>
  <c r="Q283" i="3"/>
  <c r="P283" i="3"/>
  <c r="Q241" i="3"/>
  <c r="P241" i="3"/>
  <c r="P235" i="3"/>
  <c r="Q235" i="3"/>
  <c r="Q227" i="3"/>
  <c r="P227" i="3"/>
  <c r="Q213" i="3"/>
  <c r="P213" i="3"/>
  <c r="Q185" i="3"/>
  <c r="P185" i="3"/>
  <c r="P177" i="3"/>
  <c r="Q177" i="3"/>
  <c r="Q171" i="3"/>
  <c r="P171" i="3"/>
  <c r="Q115" i="3"/>
  <c r="P115" i="3"/>
  <c r="Q73" i="3"/>
  <c r="P73" i="3"/>
  <c r="P67" i="3"/>
  <c r="Q67" i="3"/>
  <c r="Q31" i="3"/>
  <c r="P31" i="3"/>
  <c r="P9" i="3"/>
  <c r="Q9" i="3"/>
  <c r="P8" i="3"/>
  <c r="Q8" i="3"/>
  <c r="P5" i="3"/>
  <c r="V16" i="3"/>
  <c r="Q3" i="3"/>
  <c r="P3" i="3"/>
  <c r="W14" i="3"/>
  <c r="W16" i="3" s="1"/>
  <c r="V18" i="3" s="1"/>
  <c r="V14" i="3"/>
  <c r="V15" i="3"/>
  <c r="X18" i="3"/>
  <c r="X8" i="3"/>
  <c r="X21" i="3" s="1"/>
  <c r="V8" i="3"/>
  <c r="P478" i="3"/>
  <c r="P1332" i="3"/>
  <c r="P931" i="3"/>
  <c r="P702" i="3"/>
  <c r="P93" i="3"/>
  <c r="Q847" i="3"/>
  <c r="Q366" i="3"/>
  <c r="Q142" i="3"/>
  <c r="P1654" i="3"/>
  <c r="P1569" i="3"/>
  <c r="P1458" i="3"/>
  <c r="P1331" i="3"/>
  <c r="P1174" i="3"/>
  <c r="P927" i="3"/>
  <c r="P794" i="3"/>
  <c r="P688" i="3"/>
  <c r="P562" i="3"/>
  <c r="P394" i="3"/>
  <c r="P273" i="3"/>
  <c r="P87" i="3"/>
  <c r="Q1626" i="3"/>
  <c r="Q1291" i="3"/>
  <c r="Q1053" i="3"/>
  <c r="Q828" i="3"/>
  <c r="Q72" i="3"/>
  <c r="P1640" i="3"/>
  <c r="Q1598" i="3"/>
  <c r="Q1267" i="3"/>
  <c r="P1629" i="3"/>
  <c r="P373" i="3"/>
  <c r="Q534" i="3"/>
  <c r="P1628" i="3"/>
  <c r="P1542" i="3"/>
  <c r="P1429" i="3"/>
  <c r="P1292" i="3"/>
  <c r="P1135" i="3"/>
  <c r="P912" i="3"/>
  <c r="P772" i="3"/>
  <c r="P660" i="3"/>
  <c r="P506" i="3"/>
  <c r="P212" i="3"/>
  <c r="P30" i="3"/>
  <c r="Q1584" i="3"/>
  <c r="Q1438" i="3"/>
  <c r="Q1234" i="3"/>
  <c r="Q1003" i="3"/>
  <c r="Q731" i="3"/>
  <c r="Q520" i="3"/>
  <c r="Q268" i="3"/>
  <c r="Q7" i="3"/>
  <c r="P1556" i="3"/>
  <c r="P674" i="3"/>
  <c r="Q324" i="3"/>
  <c r="P1430" i="3"/>
  <c r="Q793" i="3"/>
  <c r="Q296" i="3"/>
  <c r="P1529" i="3"/>
  <c r="P1417" i="3"/>
  <c r="P1276" i="3"/>
  <c r="P1107" i="3"/>
  <c r="P898" i="3"/>
  <c r="P759" i="3"/>
  <c r="P638" i="3"/>
  <c r="P492" i="3"/>
  <c r="P367" i="3"/>
  <c r="P198" i="3"/>
  <c r="P17" i="3"/>
  <c r="Q1409" i="3"/>
  <c r="Q1206" i="3"/>
  <c r="Q1002" i="3"/>
  <c r="Q703" i="3"/>
  <c r="Q499" i="3"/>
  <c r="Q239" i="3"/>
  <c r="P77" i="3"/>
  <c r="P1528" i="3"/>
  <c r="P758" i="3"/>
  <c r="Q996" i="3"/>
  <c r="R1708" i="3"/>
  <c r="P1251" i="3"/>
  <c r="P623" i="3"/>
  <c r="Q233" i="3"/>
  <c r="P1689" i="3"/>
  <c r="P1611" i="3"/>
  <c r="P1501" i="3"/>
  <c r="P1389" i="3"/>
  <c r="P1250" i="3"/>
  <c r="P1087" i="3"/>
  <c r="P866" i="3"/>
  <c r="P740" i="3"/>
  <c r="P619" i="3"/>
  <c r="P465" i="3"/>
  <c r="P311" i="3"/>
  <c r="P170" i="3"/>
  <c r="Q1696" i="3"/>
  <c r="Q1402" i="3"/>
  <c r="Q1143" i="3"/>
  <c r="Q968" i="3"/>
  <c r="Q647" i="3"/>
  <c r="Q464" i="3"/>
  <c r="P791" i="3"/>
  <c r="P1416" i="3"/>
  <c r="P884" i="3"/>
  <c r="Q1570" i="3"/>
  <c r="P469" i="3"/>
  <c r="P1683" i="3"/>
  <c r="P1500" i="3"/>
  <c r="P1375" i="3"/>
  <c r="P1241" i="3"/>
  <c r="P1068" i="3"/>
  <c r="P864" i="3"/>
  <c r="P721" i="3"/>
  <c r="P618" i="3"/>
  <c r="P301" i="3"/>
  <c r="P129" i="3"/>
  <c r="Q1388" i="3"/>
  <c r="Q1136" i="3"/>
  <c r="Q941" i="3"/>
  <c r="Q436" i="3"/>
  <c r="Q183" i="3"/>
  <c r="Q1407" i="3"/>
  <c r="P1682" i="3"/>
  <c r="P1374" i="3"/>
  <c r="P604" i="3"/>
  <c r="Q1122" i="3"/>
  <c r="Q637" i="3"/>
  <c r="P1486" i="3"/>
  <c r="P1373" i="3"/>
  <c r="P1239" i="3"/>
  <c r="P995" i="3"/>
  <c r="P716" i="3"/>
  <c r="P114" i="3"/>
  <c r="Q1641" i="3"/>
  <c r="Q1346" i="3"/>
  <c r="Q621" i="3"/>
  <c r="Q401" i="3"/>
  <c r="Q175" i="3"/>
  <c r="P1668" i="3"/>
  <c r="P1479" i="3"/>
  <c r="P1352" i="3"/>
  <c r="P1177" i="3"/>
  <c r="P949" i="3"/>
  <c r="P829" i="3"/>
  <c r="P568" i="3"/>
  <c r="P422" i="3"/>
  <c r="P94" i="3"/>
  <c r="Q1345" i="3"/>
  <c r="Q1108" i="3"/>
  <c r="Q400" i="3"/>
  <c r="Q143" i="3"/>
  <c r="P1666" i="3"/>
  <c r="Q1666" i="3"/>
  <c r="Q1582" i="3"/>
  <c r="P1582" i="3"/>
  <c r="Q1498" i="3"/>
  <c r="P1498" i="3"/>
  <c r="Q1484" i="3"/>
  <c r="P1484" i="3"/>
  <c r="Q1372" i="3"/>
  <c r="P1372" i="3"/>
  <c r="P1316" i="3"/>
  <c r="Q1316" i="3"/>
  <c r="P1274" i="3"/>
  <c r="Q1274" i="3"/>
  <c r="Q1218" i="3"/>
  <c r="P1218" i="3"/>
  <c r="Q1190" i="3"/>
  <c r="P1190" i="3"/>
  <c r="P1162" i="3"/>
  <c r="Q1162" i="3"/>
  <c r="Q1008" i="3"/>
  <c r="P1008" i="3"/>
  <c r="P966" i="3"/>
  <c r="Q966" i="3"/>
  <c r="Q938" i="3"/>
  <c r="P938" i="3"/>
  <c r="P868" i="3"/>
  <c r="Q868" i="3"/>
  <c r="Q784" i="3"/>
  <c r="P784" i="3"/>
  <c r="P742" i="3"/>
  <c r="Q742" i="3"/>
  <c r="Q714" i="3"/>
  <c r="P714" i="3"/>
  <c r="Q658" i="3"/>
  <c r="P658" i="3"/>
  <c r="P532" i="3"/>
  <c r="Q532" i="3"/>
  <c r="Q504" i="3"/>
  <c r="P504" i="3"/>
  <c r="P476" i="3"/>
  <c r="Q476" i="3"/>
  <c r="Q448" i="3"/>
  <c r="P448" i="3"/>
  <c r="Q364" i="3"/>
  <c r="P364" i="3"/>
  <c r="Q322" i="3"/>
  <c r="P322" i="3"/>
  <c r="Q294" i="3"/>
  <c r="P294" i="3"/>
  <c r="P182" i="3"/>
  <c r="Q182" i="3"/>
  <c r="Q154" i="3"/>
  <c r="P154" i="3"/>
  <c r="Q126" i="3"/>
  <c r="P126" i="3"/>
  <c r="Q98" i="3"/>
  <c r="P98" i="3"/>
  <c r="P70" i="3"/>
  <c r="Q70" i="3"/>
  <c r="Q56" i="3"/>
  <c r="P56" i="3"/>
  <c r="P1694" i="3"/>
  <c r="Q1344" i="3"/>
  <c r="Q1637" i="3"/>
  <c r="P1637" i="3"/>
  <c r="Q1553" i="3"/>
  <c r="P1553" i="3"/>
  <c r="Q1315" i="3"/>
  <c r="P1315" i="3"/>
  <c r="Q1217" i="3"/>
  <c r="P1217" i="3"/>
  <c r="Q1119" i="3"/>
  <c r="P1119" i="3"/>
  <c r="Q993" i="3"/>
  <c r="P993" i="3"/>
  <c r="Q965" i="3"/>
  <c r="P965" i="3"/>
  <c r="Q769" i="3"/>
  <c r="P769" i="3"/>
  <c r="P741" i="3"/>
  <c r="Q741" i="3"/>
  <c r="Q699" i="3"/>
  <c r="P699" i="3"/>
  <c r="P671" i="3"/>
  <c r="Q671" i="3"/>
  <c r="Q657" i="3"/>
  <c r="P657" i="3"/>
  <c r="Q587" i="3"/>
  <c r="P587" i="3"/>
  <c r="Q391" i="3"/>
  <c r="P391" i="3"/>
  <c r="P363" i="3"/>
  <c r="Q363" i="3"/>
  <c r="P335" i="3"/>
  <c r="Q335" i="3"/>
  <c r="Q279" i="3"/>
  <c r="P279" i="3"/>
  <c r="P265" i="3"/>
  <c r="Q265" i="3"/>
  <c r="Q195" i="3"/>
  <c r="P195" i="3"/>
  <c r="P167" i="3"/>
  <c r="Q167" i="3"/>
  <c r="Q83" i="3"/>
  <c r="P83" i="3"/>
  <c r="Q27" i="3"/>
  <c r="P27" i="3"/>
  <c r="P1693" i="3"/>
  <c r="P1483" i="3"/>
  <c r="P1091" i="3"/>
  <c r="Q1329" i="3"/>
  <c r="Q28" i="3"/>
  <c r="P1664" i="3"/>
  <c r="Q1664" i="3"/>
  <c r="Q1412" i="3"/>
  <c r="P1412" i="3"/>
  <c r="Q1328" i="3"/>
  <c r="P1328" i="3"/>
  <c r="Q992" i="3"/>
  <c r="P992" i="3"/>
  <c r="P852" i="3"/>
  <c r="Q852" i="3"/>
  <c r="Q684" i="3"/>
  <c r="P684" i="3"/>
  <c r="Q656" i="3"/>
  <c r="P656" i="3"/>
  <c r="Q138" i="3"/>
  <c r="P138" i="3"/>
  <c r="Q82" i="3"/>
  <c r="P82" i="3"/>
  <c r="Q68" i="3"/>
  <c r="P68" i="3"/>
  <c r="P1638" i="3"/>
  <c r="P1357" i="3"/>
  <c r="P1090" i="3"/>
  <c r="P111" i="3"/>
  <c r="Q502" i="3"/>
  <c r="P1383" i="3"/>
  <c r="Q1383" i="3"/>
  <c r="Q1327" i="3"/>
  <c r="P1327" i="3"/>
  <c r="Q1243" i="3"/>
  <c r="P1243" i="3"/>
  <c r="P1075" i="3"/>
  <c r="Q1075" i="3"/>
  <c r="Q1005" i="3"/>
  <c r="P1005" i="3"/>
  <c r="Q963" i="3"/>
  <c r="P963" i="3"/>
  <c r="P837" i="3"/>
  <c r="Q837" i="3"/>
  <c r="P655" i="3"/>
  <c r="Q655" i="3"/>
  <c r="P165" i="3"/>
  <c r="Q165" i="3"/>
  <c r="P109" i="3"/>
  <c r="Q109" i="3"/>
  <c r="P39" i="3"/>
  <c r="Q39" i="3"/>
  <c r="P1426" i="3"/>
  <c r="P1301" i="3"/>
  <c r="P210" i="3"/>
  <c r="P1480" i="3"/>
  <c r="Q1480" i="3"/>
  <c r="P1410" i="3"/>
  <c r="Q1410" i="3"/>
  <c r="Q1270" i="3"/>
  <c r="P1270" i="3"/>
  <c r="Q990" i="3"/>
  <c r="P990" i="3"/>
  <c r="Q738" i="3"/>
  <c r="P738" i="3"/>
  <c r="Q584" i="3"/>
  <c r="P584" i="3"/>
  <c r="Q528" i="3"/>
  <c r="P528" i="3"/>
  <c r="Q472" i="3"/>
  <c r="P472" i="3"/>
  <c r="Q444" i="3"/>
  <c r="P444" i="3"/>
  <c r="Q388" i="3"/>
  <c r="P388" i="3"/>
  <c r="Q234" i="3"/>
  <c r="P234" i="3"/>
  <c r="Q150" i="3"/>
  <c r="P150" i="3"/>
  <c r="P994" i="3"/>
  <c r="P462" i="3"/>
  <c r="Q1703" i="3"/>
  <c r="P1703" i="3"/>
  <c r="Q1661" i="3"/>
  <c r="P1661" i="3"/>
  <c r="Q1619" i="3"/>
  <c r="P1619" i="3"/>
  <c r="Q1451" i="3"/>
  <c r="P1451" i="3"/>
  <c r="Q1381" i="3"/>
  <c r="P1381" i="3"/>
  <c r="Q1367" i="3"/>
  <c r="P1367" i="3"/>
  <c r="P1297" i="3"/>
  <c r="Q1297" i="3"/>
  <c r="Q1171" i="3"/>
  <c r="P1171" i="3"/>
  <c r="Q1129" i="3"/>
  <c r="P1129" i="3"/>
  <c r="Q1059" i="3"/>
  <c r="P1059" i="3"/>
  <c r="Q975" i="3"/>
  <c r="P975" i="3"/>
  <c r="Q947" i="3"/>
  <c r="P947" i="3"/>
  <c r="P905" i="3"/>
  <c r="Q905" i="3"/>
  <c r="Q807" i="3"/>
  <c r="P807" i="3"/>
  <c r="Q737" i="3"/>
  <c r="P737" i="3"/>
  <c r="P695" i="3"/>
  <c r="Q695" i="3"/>
  <c r="Q625" i="3"/>
  <c r="P625" i="3"/>
  <c r="P443" i="3"/>
  <c r="Q443" i="3"/>
  <c r="P1680" i="3"/>
  <c r="P1468" i="3"/>
  <c r="P1078" i="3"/>
  <c r="P359" i="3"/>
  <c r="Q765" i="3"/>
  <c r="P1492" i="3"/>
  <c r="Q1492" i="3"/>
  <c r="P1324" i="3"/>
  <c r="Q1324" i="3"/>
  <c r="Q1282" i="3"/>
  <c r="P1282" i="3"/>
  <c r="P1184" i="3"/>
  <c r="Q1184" i="3"/>
  <c r="Q1044" i="3"/>
  <c r="P1044" i="3"/>
  <c r="Q946" i="3"/>
  <c r="P946" i="3"/>
  <c r="Q834" i="3"/>
  <c r="P834" i="3"/>
  <c r="Q778" i="3"/>
  <c r="P778" i="3"/>
  <c r="Q736" i="3"/>
  <c r="P736" i="3"/>
  <c r="P666" i="3"/>
  <c r="Q666" i="3"/>
  <c r="Q554" i="3"/>
  <c r="P554" i="3"/>
  <c r="Q414" i="3"/>
  <c r="P414" i="3"/>
  <c r="Q358" i="3"/>
  <c r="P358" i="3"/>
  <c r="Q316" i="3"/>
  <c r="P316" i="3"/>
  <c r="P246" i="3"/>
  <c r="Q246" i="3"/>
  <c r="Q176" i="3"/>
  <c r="P176" i="3"/>
  <c r="Q92" i="3"/>
  <c r="P92" i="3"/>
  <c r="P1679" i="3"/>
  <c r="P1465" i="3"/>
  <c r="P1343" i="3"/>
  <c r="P1144" i="3"/>
  <c r="P1077" i="3"/>
  <c r="P839" i="3"/>
  <c r="P181" i="3"/>
  <c r="Q1506" i="3"/>
  <c r="Q1259" i="3"/>
  <c r="Q168" i="3"/>
  <c r="P1561" i="3"/>
  <c r="Q1561" i="3"/>
  <c r="Q1169" i="3"/>
  <c r="P1169" i="3"/>
  <c r="Q1127" i="3"/>
  <c r="P1127" i="3"/>
  <c r="Q735" i="3"/>
  <c r="P735" i="3"/>
  <c r="P679" i="3"/>
  <c r="Q679" i="3"/>
  <c r="Q567" i="3"/>
  <c r="P567" i="3"/>
  <c r="Q413" i="3"/>
  <c r="P413" i="3"/>
  <c r="Q371" i="3"/>
  <c r="P371" i="3"/>
  <c r="Q231" i="3"/>
  <c r="P231" i="3"/>
  <c r="P63" i="3"/>
  <c r="Q63" i="3"/>
  <c r="P1521" i="3"/>
  <c r="P1400" i="3"/>
  <c r="P1204" i="3"/>
  <c r="P835" i="3"/>
  <c r="P428" i="3"/>
  <c r="Q307" i="3"/>
  <c r="P1511" i="3"/>
  <c r="P1399" i="3"/>
  <c r="P1141" i="3"/>
  <c r="P976" i="3"/>
  <c r="P909" i="3"/>
  <c r="P700" i="3"/>
  <c r="P511" i="3"/>
  <c r="P427" i="3"/>
  <c r="P261" i="3"/>
  <c r="P55" i="3"/>
  <c r="Q1690" i="3"/>
  <c r="Q1105" i="3"/>
  <c r="Q713" i="3"/>
  <c r="Q303" i="3"/>
  <c r="R1711" i="3"/>
  <c r="P1610" i="3"/>
  <c r="P1563" i="3"/>
  <c r="P1510" i="3"/>
  <c r="P1395" i="3"/>
  <c r="P1201" i="3"/>
  <c r="P1043" i="3"/>
  <c r="P974" i="3"/>
  <c r="P321" i="3"/>
  <c r="P260" i="3"/>
  <c r="P54" i="3"/>
  <c r="Q1688" i="3"/>
  <c r="Q1370" i="3"/>
  <c r="Q1232" i="3"/>
  <c r="Q1099" i="3"/>
  <c r="Q712" i="3"/>
  <c r="Q139" i="3"/>
  <c r="Q998" i="3"/>
  <c r="P998" i="3"/>
  <c r="Q928" i="3"/>
  <c r="P928" i="3"/>
  <c r="P914" i="3"/>
  <c r="Q914" i="3"/>
  <c r="Q872" i="3"/>
  <c r="P872" i="3"/>
  <c r="Q718" i="3"/>
  <c r="P718" i="3"/>
  <c r="Q242" i="3"/>
  <c r="P242" i="3"/>
  <c r="Q214" i="3"/>
  <c r="P214" i="3"/>
  <c r="P200" i="3"/>
  <c r="Q200" i="3"/>
  <c r="P1608" i="3"/>
  <c r="P1507" i="3"/>
  <c r="P1442" i="3"/>
  <c r="P1330" i="3"/>
  <c r="P1268" i="3"/>
  <c r="P1198" i="3"/>
  <c r="P1132" i="3"/>
  <c r="P1034" i="3"/>
  <c r="P962" i="3"/>
  <c r="P892" i="3"/>
  <c r="P812" i="3"/>
  <c r="P582" i="3"/>
  <c r="P315" i="3"/>
  <c r="P259" i="3"/>
  <c r="P135" i="3"/>
  <c r="P52" i="3"/>
  <c r="Q1365" i="3"/>
  <c r="Q1231" i="3"/>
  <c r="Q711" i="3"/>
  <c r="Q278" i="3"/>
  <c r="Q133" i="3"/>
  <c r="Q1539" i="3"/>
  <c r="P1539" i="3"/>
  <c r="Q1273" i="3"/>
  <c r="P1273" i="3"/>
  <c r="Q1189" i="3"/>
  <c r="P1189" i="3"/>
  <c r="P209" i="3"/>
  <c r="Q209" i="3"/>
  <c r="Q1104" i="3"/>
  <c r="P1104" i="3"/>
  <c r="Q474" i="3"/>
  <c r="P474" i="3"/>
  <c r="Q292" i="3"/>
  <c r="P292" i="3"/>
  <c r="Q152" i="3"/>
  <c r="P152" i="3"/>
  <c r="P1427" i="3"/>
  <c r="P1061" i="3"/>
  <c r="Q1061" i="3"/>
  <c r="P445" i="3"/>
  <c r="Q445" i="3"/>
  <c r="Q1060" i="3"/>
  <c r="P1060" i="3"/>
  <c r="Q682" i="3"/>
  <c r="P682" i="3"/>
  <c r="Q402" i="3"/>
  <c r="P402" i="3"/>
  <c r="Q206" i="3"/>
  <c r="P206" i="3"/>
  <c r="Q1525" i="3"/>
  <c r="Q1577" i="3"/>
  <c r="P1577" i="3"/>
  <c r="Q1423" i="3"/>
  <c r="P1423" i="3"/>
  <c r="Q681" i="3"/>
  <c r="P681" i="3"/>
  <c r="Q415" i="3"/>
  <c r="P415" i="3"/>
  <c r="P1288" i="3"/>
  <c r="P840" i="3"/>
  <c r="Q1623" i="3"/>
  <c r="P1296" i="3"/>
  <c r="Q1296" i="3"/>
  <c r="Q1226" i="3"/>
  <c r="P1226" i="3"/>
  <c r="Q820" i="3"/>
  <c r="P820" i="3"/>
  <c r="Q526" i="3"/>
  <c r="P526" i="3"/>
  <c r="Q470" i="3"/>
  <c r="P470" i="3"/>
  <c r="Q344" i="3"/>
  <c r="P344" i="3"/>
  <c r="Q288" i="3"/>
  <c r="P288" i="3"/>
  <c r="Q218" i="3"/>
  <c r="P218" i="3"/>
  <c r="P1568" i="3"/>
  <c r="P1287" i="3"/>
  <c r="P980" i="3"/>
  <c r="P266" i="3"/>
  <c r="P1673" i="3"/>
  <c r="Q1673" i="3"/>
  <c r="Q1211" i="3"/>
  <c r="P1211" i="3"/>
  <c r="Q1155" i="3"/>
  <c r="P1155" i="3"/>
  <c r="Q1015" i="3"/>
  <c r="P1015" i="3"/>
  <c r="Q945" i="3"/>
  <c r="P945" i="3"/>
  <c r="P581" i="3"/>
  <c r="Q581" i="3"/>
  <c r="Q525" i="3"/>
  <c r="P525" i="3"/>
  <c r="Q357" i="3"/>
  <c r="P357" i="3"/>
  <c r="P1567" i="3"/>
  <c r="P1286" i="3"/>
  <c r="P910" i="3"/>
  <c r="P517" i="3"/>
  <c r="Q1692" i="3"/>
  <c r="Q1106" i="3"/>
  <c r="P1566" i="3"/>
  <c r="P1203" i="3"/>
  <c r="P768" i="3"/>
  <c r="P330" i="3"/>
  <c r="Q1589" i="3"/>
  <c r="Q903" i="3"/>
  <c r="Q1138" i="3"/>
  <c r="P1138" i="3"/>
  <c r="P1652" i="3"/>
  <c r="P1605" i="3"/>
  <c r="P1441" i="3"/>
  <c r="P1386" i="3"/>
  <c r="P1187" i="3"/>
  <c r="P1128" i="3"/>
  <c r="P1031" i="3"/>
  <c r="P960" i="3"/>
  <c r="P811" i="3"/>
  <c r="P252" i="3"/>
  <c r="P134" i="3"/>
  <c r="P51" i="3"/>
  <c r="Q895" i="3"/>
  <c r="Q1624" i="3"/>
  <c r="P1624" i="3"/>
  <c r="Q602" i="3"/>
  <c r="P602" i="3"/>
  <c r="Q1161" i="3"/>
  <c r="P1161" i="3"/>
  <c r="Q783" i="3"/>
  <c r="P783" i="3"/>
  <c r="Q545" i="3"/>
  <c r="P545" i="3"/>
  <c r="Q97" i="3"/>
  <c r="P97" i="3"/>
  <c r="Q1622" i="3"/>
  <c r="P1622" i="3"/>
  <c r="Q1552" i="3"/>
  <c r="P1552" i="3"/>
  <c r="Q1062" i="3"/>
  <c r="P1062" i="3"/>
  <c r="Q894" i="3"/>
  <c r="P894" i="3"/>
  <c r="Q348" i="3"/>
  <c r="P348" i="3"/>
  <c r="P1302" i="3"/>
  <c r="Q643" i="3"/>
  <c r="P1579" i="3"/>
  <c r="Q1579" i="3"/>
  <c r="P1425" i="3"/>
  <c r="Q1425" i="3"/>
  <c r="Q1285" i="3"/>
  <c r="P1285" i="3"/>
  <c r="Q1089" i="3"/>
  <c r="P1089" i="3"/>
  <c r="P333" i="3"/>
  <c r="Q333" i="3"/>
  <c r="P1355" i="3"/>
  <c r="P853" i="3"/>
  <c r="Q1526" i="3"/>
  <c r="Q1242" i="3"/>
  <c r="P1242" i="3"/>
  <c r="P1469" i="3"/>
  <c r="Q1675" i="3"/>
  <c r="P1675" i="3"/>
  <c r="Q1549" i="3"/>
  <c r="P1549" i="3"/>
  <c r="Q1493" i="3"/>
  <c r="P1493" i="3"/>
  <c r="Q1325" i="3"/>
  <c r="P1325" i="3"/>
  <c r="Q1269" i="3"/>
  <c r="P1269" i="3"/>
  <c r="Q653" i="3"/>
  <c r="P653" i="3"/>
  <c r="Q527" i="3"/>
  <c r="P527" i="3"/>
  <c r="Q471" i="3"/>
  <c r="P471" i="3"/>
  <c r="Q317" i="3"/>
  <c r="P317" i="3"/>
  <c r="P247" i="3"/>
  <c r="Q247" i="3"/>
  <c r="P1145" i="3"/>
  <c r="P709" i="3"/>
  <c r="Q630" i="3"/>
  <c r="P1533" i="3"/>
  <c r="Q1533" i="3"/>
  <c r="P1379" i="3"/>
  <c r="Q1379" i="3"/>
  <c r="Q1057" i="3"/>
  <c r="P1057" i="3"/>
  <c r="Q889" i="3"/>
  <c r="P889" i="3"/>
  <c r="P1142" i="3"/>
  <c r="Q611" i="3"/>
  <c r="P1063" i="3"/>
  <c r="P610" i="3"/>
  <c r="Q1371" i="3"/>
  <c r="P764" i="3"/>
  <c r="Q1530" i="3"/>
  <c r="P1530" i="3"/>
  <c r="P1460" i="3"/>
  <c r="Q1460" i="3"/>
  <c r="P1651" i="3"/>
  <c r="P1554" i="3"/>
  <c r="P1385" i="3"/>
  <c r="P1258" i="3"/>
  <c r="P959" i="3"/>
  <c r="P806" i="3"/>
  <c r="P756" i="3"/>
  <c r="P672" i="3"/>
  <c r="P574" i="3"/>
  <c r="P392" i="3"/>
  <c r="P308" i="3"/>
  <c r="P251" i="3"/>
  <c r="P50" i="3"/>
  <c r="Q1670" i="3"/>
  <c r="Q1456" i="3"/>
  <c r="Q406" i="3"/>
  <c r="Q110" i="3"/>
  <c r="Q1540" i="3"/>
  <c r="P1540" i="3"/>
  <c r="Q1512" i="3"/>
  <c r="P1512" i="3"/>
  <c r="Q1414" i="3"/>
  <c r="P1414" i="3"/>
  <c r="Q1358" i="3"/>
  <c r="P1358" i="3"/>
  <c r="Q1246" i="3"/>
  <c r="P1246" i="3"/>
  <c r="Q1120" i="3"/>
  <c r="P1120" i="3"/>
  <c r="Q1092" i="3"/>
  <c r="P1092" i="3"/>
  <c r="Q1050" i="3"/>
  <c r="P1050" i="3"/>
  <c r="P924" i="3"/>
  <c r="Q924" i="3"/>
  <c r="Q882" i="3"/>
  <c r="P882" i="3"/>
  <c r="Q854" i="3"/>
  <c r="P854" i="3"/>
  <c r="Q770" i="3"/>
  <c r="P770" i="3"/>
  <c r="Q588" i="3"/>
  <c r="P588" i="3"/>
  <c r="Q546" i="3"/>
  <c r="P546" i="3"/>
  <c r="Q490" i="3"/>
  <c r="P490" i="3"/>
  <c r="Q350" i="3"/>
  <c r="P350" i="3"/>
  <c r="Q280" i="3"/>
  <c r="P280" i="3"/>
  <c r="Q196" i="3"/>
  <c r="P196" i="3"/>
  <c r="Q112" i="3"/>
  <c r="P112" i="3"/>
  <c r="P84" i="3"/>
  <c r="Q84" i="3"/>
  <c r="Q14" i="3"/>
  <c r="P14" i="3"/>
  <c r="P1596" i="3"/>
  <c r="P1022" i="3"/>
  <c r="P798" i="3"/>
  <c r="P1665" i="3"/>
  <c r="Q1665" i="3"/>
  <c r="Q1609" i="3"/>
  <c r="P1609" i="3"/>
  <c r="Q1581" i="3"/>
  <c r="P1581" i="3"/>
  <c r="Q1497" i="3"/>
  <c r="P1497" i="3"/>
  <c r="Q1413" i="3"/>
  <c r="P1413" i="3"/>
  <c r="Q1007" i="3"/>
  <c r="P1007" i="3"/>
  <c r="Q601" i="3"/>
  <c r="P601" i="3"/>
  <c r="Q573" i="3"/>
  <c r="P573" i="3"/>
  <c r="P475" i="3"/>
  <c r="Q475" i="3"/>
  <c r="Q447" i="3"/>
  <c r="P447" i="3"/>
  <c r="Q349" i="3"/>
  <c r="P349" i="3"/>
  <c r="Q293" i="3"/>
  <c r="P293" i="3"/>
  <c r="Q223" i="3"/>
  <c r="P223" i="3"/>
  <c r="Q153" i="3"/>
  <c r="P153" i="3"/>
  <c r="Q125" i="3"/>
  <c r="P125" i="3"/>
  <c r="Q69" i="3"/>
  <c r="P69" i="3"/>
  <c r="Q13" i="3"/>
  <c r="P13" i="3"/>
  <c r="P1595" i="3"/>
  <c r="P1428" i="3"/>
  <c r="P1021" i="3"/>
  <c r="P797" i="3"/>
  <c r="P644" i="3"/>
  <c r="Q1148" i="3"/>
  <c r="Q503" i="3"/>
  <c r="R1706" i="3"/>
  <c r="P1356" i="3"/>
  <c r="Q1356" i="3"/>
  <c r="P1202" i="3"/>
  <c r="Q1202" i="3"/>
  <c r="Q964" i="3"/>
  <c r="P964" i="3"/>
  <c r="Q922" i="3"/>
  <c r="P922" i="3"/>
  <c r="Q824" i="3"/>
  <c r="P824" i="3"/>
  <c r="Q600" i="3"/>
  <c r="P600" i="3"/>
  <c r="Q558" i="3"/>
  <c r="P558" i="3"/>
  <c r="Q530" i="3"/>
  <c r="P530" i="3"/>
  <c r="Q446" i="3"/>
  <c r="P446" i="3"/>
  <c r="Q390" i="3"/>
  <c r="P390" i="3"/>
  <c r="P796" i="3"/>
  <c r="Q1636" i="3"/>
  <c r="Q378" i="3"/>
  <c r="Q1313" i="3"/>
  <c r="P1313" i="3"/>
  <c r="Q1173" i="3"/>
  <c r="P1173" i="3"/>
  <c r="P1047" i="3"/>
  <c r="Q1047" i="3"/>
  <c r="Q991" i="3"/>
  <c r="P991" i="3"/>
  <c r="P809" i="3"/>
  <c r="Q809" i="3"/>
  <c r="P669" i="3"/>
  <c r="Q669" i="3"/>
  <c r="P571" i="3"/>
  <c r="Q571" i="3"/>
  <c r="P515" i="3"/>
  <c r="Q515" i="3"/>
  <c r="P473" i="3"/>
  <c r="Q473" i="3"/>
  <c r="P1470" i="3"/>
  <c r="P560" i="3"/>
  <c r="Q501" i="3"/>
  <c r="Q1284" i="3"/>
  <c r="P1284" i="3"/>
  <c r="Q1172" i="3"/>
  <c r="P1172" i="3"/>
  <c r="Q948" i="3"/>
  <c r="P948" i="3"/>
  <c r="Q920" i="3"/>
  <c r="P920" i="3"/>
  <c r="Q654" i="3"/>
  <c r="P654" i="3"/>
  <c r="Q598" i="3"/>
  <c r="P598" i="3"/>
  <c r="Q178" i="3"/>
  <c r="P178" i="3"/>
  <c r="Q136" i="3"/>
  <c r="P136" i="3"/>
  <c r="P559" i="3"/>
  <c r="Q1591" i="3"/>
  <c r="P1591" i="3"/>
  <c r="Q1283" i="3"/>
  <c r="P1283" i="3"/>
  <c r="P1101" i="3"/>
  <c r="Q1101" i="3"/>
  <c r="P1045" i="3"/>
  <c r="Q1045" i="3"/>
  <c r="Q583" i="3"/>
  <c r="P583" i="3"/>
  <c r="P541" i="3"/>
  <c r="Q541" i="3"/>
  <c r="Q149" i="3"/>
  <c r="P149" i="3"/>
  <c r="P989" i="3"/>
  <c r="P1604" i="3"/>
  <c r="Q1604" i="3"/>
  <c r="P1478" i="3"/>
  <c r="Q1478" i="3"/>
  <c r="Q1254" i="3"/>
  <c r="P1254" i="3"/>
  <c r="Q1170" i="3"/>
  <c r="P1170" i="3"/>
  <c r="Q1058" i="3"/>
  <c r="P1058" i="3"/>
  <c r="Q680" i="3"/>
  <c r="P680" i="3"/>
  <c r="Q540" i="3"/>
  <c r="P540" i="3"/>
  <c r="P232" i="3"/>
  <c r="Q232" i="3"/>
  <c r="Q78" i="3"/>
  <c r="P78" i="3"/>
  <c r="P1524" i="3"/>
  <c r="P1214" i="3"/>
  <c r="P518" i="3"/>
  <c r="Q489" i="3"/>
  <c r="P1701" i="3"/>
  <c r="Q1701" i="3"/>
  <c r="P1603" i="3"/>
  <c r="Q1603" i="3"/>
  <c r="P1295" i="3"/>
  <c r="Q1295" i="3"/>
  <c r="Q1225" i="3"/>
  <c r="P1225" i="3"/>
  <c r="Q973" i="3"/>
  <c r="P973" i="3"/>
  <c r="Q833" i="3"/>
  <c r="P833" i="3"/>
  <c r="P763" i="3"/>
  <c r="Q763" i="3"/>
  <c r="Q595" i="3"/>
  <c r="P595" i="3"/>
  <c r="P343" i="3"/>
  <c r="Q343" i="3"/>
  <c r="P1341" i="3"/>
  <c r="P979" i="3"/>
  <c r="P616" i="3"/>
  <c r="P262" i="3"/>
  <c r="Q728" i="3"/>
  <c r="P1281" i="3"/>
  <c r="R1709" i="3"/>
  <c r="Q1432" i="3"/>
  <c r="P1432" i="3"/>
  <c r="Q697" i="3"/>
  <c r="P1650" i="3"/>
  <c r="P1312" i="3"/>
  <c r="P1257" i="3"/>
  <c r="P1176" i="3"/>
  <c r="P1103" i="3"/>
  <c r="P1029" i="3"/>
  <c r="P952" i="3"/>
  <c r="P867" i="3"/>
  <c r="P805" i="3"/>
  <c r="P755" i="3"/>
  <c r="P569" i="3"/>
  <c r="P484" i="3"/>
  <c r="P49" i="3"/>
  <c r="Q1455" i="3"/>
  <c r="Q1035" i="3"/>
  <c r="Q405" i="3"/>
  <c r="Q1433" i="3"/>
  <c r="P1433" i="3"/>
  <c r="P1531" i="3"/>
  <c r="P32" i="3"/>
  <c r="Q32" i="3"/>
  <c r="Q1612" i="3"/>
  <c r="P1612" i="3"/>
  <c r="P1444" i="3"/>
  <c r="Q1444" i="3"/>
  <c r="P1262" i="3"/>
  <c r="Q1262" i="3"/>
  <c r="P1164" i="3"/>
  <c r="Q1164" i="3"/>
  <c r="P940" i="3"/>
  <c r="Q940" i="3"/>
  <c r="Q814" i="3"/>
  <c r="P814" i="3"/>
  <c r="Q408" i="3"/>
  <c r="P408" i="3"/>
  <c r="Q282" i="3"/>
  <c r="P282" i="3"/>
  <c r="Q240" i="3"/>
  <c r="P240" i="3"/>
  <c r="Q16" i="3"/>
  <c r="P16" i="3"/>
  <c r="P1625" i="3"/>
  <c r="P1514" i="3"/>
  <c r="P1472" i="3"/>
  <c r="P870" i="3"/>
  <c r="P632" i="3"/>
  <c r="Q1415" i="3"/>
  <c r="Q744" i="3"/>
  <c r="Q1667" i="3"/>
  <c r="P1667" i="3"/>
  <c r="P1163" i="3"/>
  <c r="Q1163" i="3"/>
  <c r="P113" i="3"/>
  <c r="Q113" i="3"/>
  <c r="P1513" i="3"/>
  <c r="P1471" i="3"/>
  <c r="P1360" i="3"/>
  <c r="Q548" i="3"/>
  <c r="Q44" i="3"/>
  <c r="R1710" i="3"/>
  <c r="P1515" i="3"/>
  <c r="P605" i="3"/>
  <c r="P493" i="3"/>
  <c r="P885" i="3"/>
  <c r="P395" i="3"/>
  <c r="Q269" i="3"/>
  <c r="Q1700" i="3"/>
  <c r="P1700" i="3"/>
  <c r="Q1658" i="3"/>
  <c r="P1658" i="3"/>
  <c r="Q1630" i="3"/>
  <c r="P1630" i="3"/>
  <c r="Q1574" i="3"/>
  <c r="P1574" i="3"/>
  <c r="Q1532" i="3"/>
  <c r="P1532" i="3"/>
  <c r="Q1490" i="3"/>
  <c r="P1490" i="3"/>
  <c r="Q1448" i="3"/>
  <c r="P1448" i="3"/>
  <c r="Q1392" i="3"/>
  <c r="P1392" i="3"/>
  <c r="P1350" i="3"/>
  <c r="Q1350" i="3"/>
  <c r="Q1294" i="3"/>
  <c r="P1294" i="3"/>
  <c r="Q1238" i="3"/>
  <c r="P1238" i="3"/>
  <c r="P1098" i="3"/>
  <c r="Q1098" i="3"/>
  <c r="P636" i="3"/>
  <c r="Q636" i="3"/>
  <c r="P1686" i="3"/>
  <c r="Q1686" i="3"/>
  <c r="Q1644" i="3"/>
  <c r="P1644" i="3"/>
  <c r="Q1602" i="3"/>
  <c r="P1602" i="3"/>
  <c r="Q1588" i="3"/>
  <c r="P1588" i="3"/>
  <c r="Q1546" i="3"/>
  <c r="P1546" i="3"/>
  <c r="Q1504" i="3"/>
  <c r="P1504" i="3"/>
  <c r="P1476" i="3"/>
  <c r="Q1476" i="3"/>
  <c r="Q1434" i="3"/>
  <c r="P1434" i="3"/>
  <c r="Q1378" i="3"/>
  <c r="P1378" i="3"/>
  <c r="Q1336" i="3"/>
  <c r="P1336" i="3"/>
  <c r="P1308" i="3"/>
  <c r="Q1308" i="3"/>
  <c r="P1266" i="3"/>
  <c r="Q1266" i="3"/>
  <c r="Q1224" i="3"/>
  <c r="P1224" i="3"/>
  <c r="Q1196" i="3"/>
  <c r="P1196" i="3"/>
  <c r="Q1182" i="3"/>
  <c r="P1182" i="3"/>
  <c r="Q1154" i="3"/>
  <c r="P1154" i="3"/>
  <c r="Q1126" i="3"/>
  <c r="P1126" i="3"/>
  <c r="Q1112" i="3"/>
  <c r="P1112" i="3"/>
  <c r="Q1070" i="3"/>
  <c r="P1070" i="3"/>
  <c r="Q1056" i="3"/>
  <c r="P1056" i="3"/>
  <c r="P1042" i="3"/>
  <c r="Q1042" i="3"/>
  <c r="P1028" i="3"/>
  <c r="Q1028" i="3"/>
  <c r="Q1000" i="3"/>
  <c r="P1000" i="3"/>
  <c r="Q986" i="3"/>
  <c r="P986" i="3"/>
  <c r="P972" i="3"/>
  <c r="Q972" i="3"/>
  <c r="Q958" i="3"/>
  <c r="P958" i="3"/>
  <c r="Q944" i="3"/>
  <c r="P944" i="3"/>
  <c r="Q930" i="3"/>
  <c r="P930" i="3"/>
  <c r="Q916" i="3"/>
  <c r="P916" i="3"/>
  <c r="P888" i="3"/>
  <c r="Q888" i="3"/>
  <c r="Q874" i="3"/>
  <c r="P874" i="3"/>
  <c r="Q860" i="3"/>
  <c r="P860" i="3"/>
  <c r="P846" i="3"/>
  <c r="Q846" i="3"/>
  <c r="Q832" i="3"/>
  <c r="P832" i="3"/>
  <c r="Q818" i="3"/>
  <c r="P818" i="3"/>
  <c r="Q804" i="3"/>
  <c r="P804" i="3"/>
  <c r="Q790" i="3"/>
  <c r="P790" i="3"/>
  <c r="P776" i="3"/>
  <c r="Q776" i="3"/>
  <c r="P762" i="3"/>
  <c r="Q762" i="3"/>
  <c r="Q748" i="3"/>
  <c r="P748" i="3"/>
  <c r="Q734" i="3"/>
  <c r="P734" i="3"/>
  <c r="Q720" i="3"/>
  <c r="P720" i="3"/>
  <c r="Q692" i="3"/>
  <c r="P692" i="3"/>
  <c r="Q678" i="3"/>
  <c r="P678" i="3"/>
  <c r="Q664" i="3"/>
  <c r="P664" i="3"/>
  <c r="Q650" i="3"/>
  <c r="P650" i="3"/>
  <c r="Q622" i="3"/>
  <c r="P622" i="3"/>
  <c r="P608" i="3"/>
  <c r="Q608" i="3"/>
  <c r="Q594" i="3"/>
  <c r="P594" i="3"/>
  <c r="P580" i="3"/>
  <c r="Q580" i="3"/>
  <c r="P566" i="3"/>
  <c r="Q566" i="3"/>
  <c r="P552" i="3"/>
  <c r="Q552" i="3"/>
  <c r="Q538" i="3"/>
  <c r="P538" i="3"/>
  <c r="Q524" i="3"/>
  <c r="P524" i="3"/>
  <c r="Q510" i="3"/>
  <c r="P510" i="3"/>
  <c r="Q496" i="3"/>
  <c r="P496" i="3"/>
  <c r="Q482" i="3"/>
  <c r="P482" i="3"/>
  <c r="Q468" i="3"/>
  <c r="P468" i="3"/>
  <c r="Q454" i="3"/>
  <c r="P454" i="3"/>
  <c r="Q426" i="3"/>
  <c r="P426" i="3"/>
  <c r="P1709" i="3"/>
  <c r="Q1420" i="3"/>
  <c r="P1420" i="3"/>
  <c r="Q1672" i="3"/>
  <c r="P1672" i="3"/>
  <c r="Q1616" i="3"/>
  <c r="P1616" i="3"/>
  <c r="Q1560" i="3"/>
  <c r="P1560" i="3"/>
  <c r="P1518" i="3"/>
  <c r="Q1518" i="3"/>
  <c r="Q1462" i="3"/>
  <c r="P1462" i="3"/>
  <c r="P1406" i="3"/>
  <c r="Q1406" i="3"/>
  <c r="Q1364" i="3"/>
  <c r="P1364" i="3"/>
  <c r="Q1322" i="3"/>
  <c r="P1322" i="3"/>
  <c r="Q1280" i="3"/>
  <c r="P1280" i="3"/>
  <c r="Q1252" i="3"/>
  <c r="P1252" i="3"/>
  <c r="Q1210" i="3"/>
  <c r="P1210" i="3"/>
  <c r="Q1168" i="3"/>
  <c r="P1168" i="3"/>
  <c r="P1140" i="3"/>
  <c r="Q1140" i="3"/>
  <c r="Q1084" i="3"/>
  <c r="P1084" i="3"/>
  <c r="Q1014" i="3"/>
  <c r="P1014" i="3"/>
  <c r="Q902" i="3"/>
  <c r="P902" i="3"/>
  <c r="Q706" i="3"/>
  <c r="P706" i="3"/>
  <c r="Q398" i="3"/>
  <c r="P398" i="3"/>
  <c r="Q328" i="3"/>
  <c r="P328" i="3"/>
  <c r="Q202" i="3"/>
  <c r="P202" i="3"/>
  <c r="Q104" i="3"/>
  <c r="P104" i="3"/>
  <c r="P34" i="3"/>
  <c r="Q1293" i="3"/>
  <c r="P1293" i="3"/>
  <c r="Q915" i="3"/>
  <c r="P915" i="3"/>
  <c r="Q859" i="3"/>
  <c r="P859" i="3"/>
  <c r="Q187" i="3"/>
  <c r="P187" i="3"/>
  <c r="P1684" i="3"/>
  <c r="P1349" i="3"/>
  <c r="P1223" i="3"/>
  <c r="P816" i="3"/>
  <c r="P579" i="3"/>
  <c r="P425" i="3"/>
  <c r="P89" i="3"/>
  <c r="Q1488" i="3"/>
  <c r="Q1236" i="3"/>
  <c r="Q243" i="3"/>
  <c r="P1643" i="3"/>
  <c r="P116" i="3"/>
  <c r="Q802" i="3"/>
  <c r="Q1275" i="3"/>
  <c r="P1275" i="3"/>
  <c r="Q1051" i="3"/>
  <c r="P1051" i="3"/>
  <c r="Q967" i="3"/>
  <c r="P967" i="3"/>
  <c r="Q855" i="3"/>
  <c r="P855" i="3"/>
  <c r="Q715" i="3"/>
  <c r="P715" i="3"/>
  <c r="P687" i="3"/>
  <c r="Q687" i="3"/>
  <c r="Q645" i="3"/>
  <c r="P645" i="3"/>
  <c r="Q575" i="3"/>
  <c r="P575" i="3"/>
  <c r="P561" i="3"/>
  <c r="Q561" i="3"/>
  <c r="P519" i="3"/>
  <c r="Q519" i="3"/>
  <c r="Q505" i="3"/>
  <c r="P505" i="3"/>
  <c r="Q491" i="3"/>
  <c r="P491" i="3"/>
  <c r="Q463" i="3"/>
  <c r="P463" i="3"/>
  <c r="P449" i="3"/>
  <c r="Q449" i="3"/>
  <c r="Q421" i="3"/>
  <c r="P421" i="3"/>
  <c r="P393" i="3"/>
  <c r="Q393" i="3"/>
  <c r="Q365" i="3"/>
  <c r="P365" i="3"/>
  <c r="P337" i="3"/>
  <c r="Q337" i="3"/>
  <c r="P309" i="3"/>
  <c r="Q309" i="3"/>
  <c r="P281" i="3"/>
  <c r="Q281" i="3"/>
  <c r="P253" i="3"/>
  <c r="Q253" i="3"/>
  <c r="P225" i="3"/>
  <c r="Q225" i="3"/>
  <c r="P155" i="3"/>
  <c r="Q155" i="3"/>
  <c r="P85" i="3"/>
  <c r="Q85" i="3"/>
  <c r="Q15" i="3"/>
  <c r="P15" i="3"/>
  <c r="P1642" i="3"/>
  <c r="P1446" i="3"/>
  <c r="P1265" i="3"/>
  <c r="P1195" i="3"/>
  <c r="P1153" i="3"/>
  <c r="P1037" i="3"/>
  <c r="P788" i="3"/>
  <c r="P340" i="3"/>
  <c r="P174" i="3"/>
  <c r="Q743" i="3"/>
  <c r="P1601" i="3"/>
  <c r="P1194" i="3"/>
  <c r="P20" i="3"/>
  <c r="Q897" i="3"/>
  <c r="Q379" i="3"/>
  <c r="P1698" i="3"/>
  <c r="P230" i="3"/>
  <c r="Q1082" i="3"/>
  <c r="Q950" i="3"/>
  <c r="P950" i="3"/>
  <c r="Q838" i="3"/>
  <c r="P838" i="3"/>
  <c r="Q670" i="3"/>
  <c r="P670" i="3"/>
  <c r="Q628" i="3"/>
  <c r="P628" i="3"/>
  <c r="Q572" i="3"/>
  <c r="P572" i="3"/>
  <c r="P264" i="3"/>
  <c r="Q264" i="3"/>
  <c r="P124" i="3"/>
  <c r="Q124" i="3"/>
  <c r="Q26" i="3"/>
  <c r="P26" i="3"/>
  <c r="P1541" i="3"/>
  <c r="P1461" i="3"/>
  <c r="P1300" i="3"/>
  <c r="P886" i="3"/>
  <c r="P676" i="3"/>
  <c r="P440" i="3"/>
  <c r="P412" i="3"/>
  <c r="P334" i="3"/>
  <c r="P256" i="3"/>
  <c r="Q1320" i="3"/>
  <c r="Q1230" i="3"/>
  <c r="Q978" i="3"/>
  <c r="Q936" i="3"/>
  <c r="Q376" i="3"/>
  <c r="Q272" i="3"/>
  <c r="Q1691" i="3"/>
  <c r="P1691" i="3"/>
  <c r="Q1677" i="3"/>
  <c r="P1677" i="3"/>
  <c r="Q1663" i="3"/>
  <c r="P1663" i="3"/>
  <c r="Q1635" i="3"/>
  <c r="P1635" i="3"/>
  <c r="Q1593" i="3"/>
  <c r="P1593" i="3"/>
  <c r="Q1565" i="3"/>
  <c r="P1565" i="3"/>
  <c r="Q1523" i="3"/>
  <c r="P1523" i="3"/>
  <c r="Q1495" i="3"/>
  <c r="P1495" i="3"/>
  <c r="Q1481" i="3"/>
  <c r="P1481" i="3"/>
  <c r="Q1467" i="3"/>
  <c r="P1467" i="3"/>
  <c r="Q1439" i="3"/>
  <c r="P1439" i="3"/>
  <c r="Q1411" i="3"/>
  <c r="P1411" i="3"/>
  <c r="Q1397" i="3"/>
  <c r="P1397" i="3"/>
  <c r="Q1369" i="3"/>
  <c r="P1369" i="3"/>
  <c r="Q1229" i="3"/>
  <c r="P1229" i="3"/>
  <c r="Q1215" i="3"/>
  <c r="P1215" i="3"/>
  <c r="Q1131" i="3"/>
  <c r="P1131" i="3"/>
  <c r="Q1117" i="3"/>
  <c r="P1117" i="3"/>
  <c r="Q1033" i="3"/>
  <c r="P1033" i="3"/>
  <c r="Q1019" i="3"/>
  <c r="P1019" i="3"/>
  <c r="Q935" i="3"/>
  <c r="P935" i="3"/>
  <c r="P907" i="3"/>
  <c r="Q907" i="3"/>
  <c r="P893" i="3"/>
  <c r="Q893" i="3"/>
  <c r="P879" i="3"/>
  <c r="Q879" i="3"/>
  <c r="P865" i="3"/>
  <c r="Q865" i="3"/>
  <c r="P851" i="3"/>
  <c r="Q851" i="3"/>
  <c r="P823" i="3"/>
  <c r="Q823" i="3"/>
  <c r="Q795" i="3"/>
  <c r="P795" i="3"/>
  <c r="P781" i="3"/>
  <c r="Q781" i="3"/>
  <c r="P753" i="3"/>
  <c r="Q753" i="3"/>
  <c r="Q739" i="3"/>
  <c r="P739" i="3"/>
  <c r="P725" i="3"/>
  <c r="Q725" i="3"/>
  <c r="P683" i="3"/>
  <c r="Q683" i="3"/>
  <c r="P641" i="3"/>
  <c r="Q641" i="3"/>
  <c r="Q627" i="3"/>
  <c r="P627" i="3"/>
  <c r="P613" i="3"/>
  <c r="Q613" i="3"/>
  <c r="Q599" i="3"/>
  <c r="P599" i="3"/>
  <c r="P585" i="3"/>
  <c r="Q585" i="3"/>
  <c r="Q557" i="3"/>
  <c r="P557" i="3"/>
  <c r="Q543" i="3"/>
  <c r="P543" i="3"/>
  <c r="P529" i="3"/>
  <c r="Q529" i="3"/>
  <c r="Q487" i="3"/>
  <c r="P487" i="3"/>
  <c r="P459" i="3"/>
  <c r="Q459" i="3"/>
  <c r="P431" i="3"/>
  <c r="Q431" i="3"/>
  <c r="P417" i="3"/>
  <c r="Q417" i="3"/>
  <c r="Q403" i="3"/>
  <c r="P403" i="3"/>
  <c r="P389" i="3"/>
  <c r="Q389" i="3"/>
  <c r="P361" i="3"/>
  <c r="Q361" i="3"/>
  <c r="Q347" i="3"/>
  <c r="P347" i="3"/>
  <c r="P319" i="3"/>
  <c r="Q319" i="3"/>
  <c r="P305" i="3"/>
  <c r="Q305" i="3"/>
  <c r="P291" i="3"/>
  <c r="Q291" i="3"/>
  <c r="P277" i="3"/>
  <c r="Q277" i="3"/>
  <c r="P263" i="3"/>
  <c r="Q263" i="3"/>
  <c r="P249" i="3"/>
  <c r="Q249" i="3"/>
  <c r="P221" i="3"/>
  <c r="Q221" i="3"/>
  <c r="Q207" i="3"/>
  <c r="P207" i="3"/>
  <c r="P193" i="3"/>
  <c r="Q193" i="3"/>
  <c r="P179" i="3"/>
  <c r="Q179" i="3"/>
  <c r="Q151" i="3"/>
  <c r="P151" i="3"/>
  <c r="P137" i="3"/>
  <c r="Q137" i="3"/>
  <c r="P123" i="3"/>
  <c r="Q123" i="3"/>
  <c r="P95" i="3"/>
  <c r="Q95" i="3"/>
  <c r="P81" i="3"/>
  <c r="Q81" i="3"/>
  <c r="P53" i="3"/>
  <c r="Q53" i="3"/>
  <c r="P25" i="3"/>
  <c r="Q25" i="3"/>
  <c r="Q11" i="3"/>
  <c r="P11" i="3"/>
  <c r="P1678" i="3"/>
  <c r="P1656" i="3"/>
  <c r="P1580" i="3"/>
  <c r="P1558" i="3"/>
  <c r="P1482" i="3"/>
  <c r="P1384" i="3"/>
  <c r="P1362" i="3"/>
  <c r="P1342" i="3"/>
  <c r="P1299" i="3"/>
  <c r="P1256" i="3"/>
  <c r="P1237" i="3"/>
  <c r="P1121" i="3"/>
  <c r="P1097" i="3"/>
  <c r="P1055" i="3"/>
  <c r="P981" i="3"/>
  <c r="P961" i="3"/>
  <c r="P779" i="3"/>
  <c r="P754" i="3"/>
  <c r="P542" i="3"/>
  <c r="P411" i="3"/>
  <c r="P387" i="3"/>
  <c r="P332" i="3"/>
  <c r="P164" i="3"/>
  <c r="Q1621" i="3"/>
  <c r="Q1583" i="3"/>
  <c r="Q1551" i="3"/>
  <c r="Q1509" i="3"/>
  <c r="Q1436" i="3"/>
  <c r="Q1353" i="3"/>
  <c r="Q1317" i="3"/>
  <c r="Q1228" i="3"/>
  <c r="Q929" i="3"/>
  <c r="Q880" i="3"/>
  <c r="Q782" i="3"/>
  <c r="Q537" i="3"/>
  <c r="Q432" i="3"/>
  <c r="Q375" i="3"/>
  <c r="Q270" i="3"/>
  <c r="Q163" i="3"/>
  <c r="Q107" i="3"/>
  <c r="Q43" i="3"/>
  <c r="Q1289" i="3"/>
  <c r="P1289" i="3"/>
  <c r="Q1149" i="3"/>
  <c r="P1149" i="3"/>
  <c r="Q1065" i="3"/>
  <c r="P1065" i="3"/>
  <c r="Q953" i="3"/>
  <c r="P953" i="3"/>
  <c r="P911" i="3"/>
  <c r="Q911" i="3"/>
  <c r="P883" i="3"/>
  <c r="Q883" i="3"/>
  <c r="P827" i="3"/>
  <c r="Q827" i="3"/>
  <c r="Q799" i="3"/>
  <c r="P799" i="3"/>
  <c r="P785" i="3"/>
  <c r="Q785" i="3"/>
  <c r="P757" i="3"/>
  <c r="Q757" i="3"/>
  <c r="P729" i="3"/>
  <c r="Q729" i="3"/>
  <c r="P701" i="3"/>
  <c r="Q701" i="3"/>
  <c r="P673" i="3"/>
  <c r="Q673" i="3"/>
  <c r="Q659" i="3"/>
  <c r="P659" i="3"/>
  <c r="P617" i="3"/>
  <c r="Q617" i="3"/>
  <c r="Q603" i="3"/>
  <c r="P603" i="3"/>
  <c r="Q435" i="3"/>
  <c r="P435" i="3"/>
  <c r="Q407" i="3"/>
  <c r="P407" i="3"/>
  <c r="Q351" i="3"/>
  <c r="P351" i="3"/>
  <c r="P323" i="3"/>
  <c r="Q323" i="3"/>
  <c r="P295" i="3"/>
  <c r="Q295" i="3"/>
  <c r="Q267" i="3"/>
  <c r="P267" i="3"/>
  <c r="Q211" i="3"/>
  <c r="P211" i="3"/>
  <c r="P197" i="3"/>
  <c r="Q197" i="3"/>
  <c r="P169" i="3"/>
  <c r="Q169" i="3"/>
  <c r="P127" i="3"/>
  <c r="Q127" i="3"/>
  <c r="Q99" i="3"/>
  <c r="P99" i="3"/>
  <c r="Q71" i="3"/>
  <c r="P71" i="3"/>
  <c r="P57" i="3"/>
  <c r="Q57" i="3"/>
  <c r="Q29" i="3"/>
  <c r="P29" i="3"/>
  <c r="P1544" i="3"/>
  <c r="P1303" i="3"/>
  <c r="P1079" i="3"/>
  <c r="P1013" i="3"/>
  <c r="P201" i="3"/>
  <c r="P1405" i="3"/>
  <c r="P523" i="3"/>
  <c r="O1706" i="3"/>
  <c r="P677" i="3"/>
  <c r="Q4" i="3"/>
  <c r="Q1244" i="3"/>
  <c r="P1244" i="3"/>
  <c r="Q1048" i="3"/>
  <c r="P1048" i="3"/>
  <c r="Q810" i="3"/>
  <c r="P810" i="3"/>
  <c r="Q726" i="3"/>
  <c r="P726" i="3"/>
  <c r="Q614" i="3"/>
  <c r="P614" i="3"/>
  <c r="P831" i="3"/>
  <c r="P752" i="3"/>
  <c r="P724" i="3"/>
  <c r="P620" i="3"/>
  <c r="P592" i="3"/>
  <c r="P410" i="3"/>
  <c r="P382" i="3"/>
  <c r="P331" i="3"/>
  <c r="P219" i="3"/>
  <c r="P194" i="3"/>
  <c r="P160" i="3"/>
  <c r="P132" i="3"/>
  <c r="P102" i="3"/>
  <c r="P76" i="3"/>
  <c r="P48" i="3"/>
  <c r="Q1649" i="3"/>
  <c r="Q1620" i="3"/>
  <c r="Q1550" i="3"/>
  <c r="Q1508" i="3"/>
  <c r="Q1474" i="3"/>
  <c r="Q1435" i="3"/>
  <c r="Q1398" i="3"/>
  <c r="Q1351" i="3"/>
  <c r="Q1216" i="3"/>
  <c r="Q1076" i="3"/>
  <c r="Q925" i="3"/>
  <c r="Q876" i="3"/>
  <c r="Q777" i="3"/>
  <c r="Q635" i="3"/>
  <c r="Q586" i="3"/>
  <c r="Q429" i="3"/>
  <c r="Q370" i="3"/>
  <c r="Q145" i="3"/>
  <c r="Q40" i="3"/>
  <c r="Q1321" i="3"/>
  <c r="P1321" i="3"/>
  <c r="P761" i="3"/>
  <c r="Q761" i="3"/>
  <c r="Q663" i="3"/>
  <c r="P663" i="3"/>
  <c r="Q1264" i="3"/>
  <c r="P1264" i="3"/>
  <c r="Q1152" i="3"/>
  <c r="P1152" i="3"/>
  <c r="Q1054" i="3"/>
  <c r="P1054" i="3"/>
  <c r="Q900" i="3"/>
  <c r="P900" i="3"/>
  <c r="P858" i="3"/>
  <c r="Q858" i="3"/>
  <c r="P760" i="3"/>
  <c r="Q760" i="3"/>
  <c r="Q494" i="3"/>
  <c r="P494" i="3"/>
  <c r="P466" i="3"/>
  <c r="Q466" i="3"/>
  <c r="Q424" i="3"/>
  <c r="P424" i="3"/>
  <c r="P172" i="3"/>
  <c r="Q172" i="3"/>
  <c r="Q144" i="3"/>
  <c r="P144" i="3"/>
  <c r="P118" i="3"/>
  <c r="P1586" i="3"/>
  <c r="P1390" i="3"/>
  <c r="Q607" i="3"/>
  <c r="P1219" i="3"/>
  <c r="P550" i="3"/>
  <c r="P314" i="3"/>
  <c r="Q397" i="3"/>
  <c r="Q6" i="3"/>
  <c r="P1681" i="3"/>
  <c r="Q1485" i="3"/>
  <c r="Q841" i="3"/>
  <c r="Q5" i="3"/>
  <c r="Q547" i="3"/>
  <c r="P384" i="3"/>
  <c r="Q384" i="3"/>
  <c r="Q342" i="3"/>
  <c r="P342" i="3"/>
  <c r="Q286" i="3"/>
  <c r="P286" i="3"/>
  <c r="Q188" i="3"/>
  <c r="P188" i="3"/>
  <c r="Q146" i="3"/>
  <c r="P146" i="3"/>
  <c r="Q90" i="3"/>
  <c r="P90" i="3"/>
  <c r="Q1083" i="3"/>
  <c r="P1083" i="3"/>
  <c r="Q1069" i="3"/>
  <c r="P1069" i="3"/>
  <c r="Q985" i="3"/>
  <c r="P985" i="3"/>
  <c r="Q803" i="3"/>
  <c r="P803" i="3"/>
  <c r="Q747" i="3"/>
  <c r="P747" i="3"/>
  <c r="Q649" i="3"/>
  <c r="P649" i="3"/>
  <c r="Q593" i="3"/>
  <c r="P593" i="3"/>
  <c r="P495" i="3"/>
  <c r="Q495" i="3"/>
  <c r="Q467" i="3"/>
  <c r="P467" i="3"/>
  <c r="Q439" i="3"/>
  <c r="P439" i="3"/>
  <c r="Q383" i="3"/>
  <c r="P383" i="3"/>
  <c r="Q327" i="3"/>
  <c r="P327" i="3"/>
  <c r="Q285" i="3"/>
  <c r="P285" i="3"/>
  <c r="Q271" i="3"/>
  <c r="P271" i="3"/>
  <c r="P257" i="3"/>
  <c r="Q257" i="3"/>
  <c r="P229" i="3"/>
  <c r="Q229" i="3"/>
  <c r="P173" i="3"/>
  <c r="Q173" i="3"/>
  <c r="Q103" i="3"/>
  <c r="P103" i="3"/>
  <c r="Q75" i="3"/>
  <c r="P75" i="3"/>
  <c r="P61" i="3"/>
  <c r="Q61" i="3"/>
  <c r="Q47" i="3"/>
  <c r="P47" i="3"/>
  <c r="Q19" i="3"/>
  <c r="P19" i="3"/>
  <c r="P1111" i="3"/>
  <c r="P901" i="3"/>
  <c r="P691" i="3"/>
  <c r="P481" i="3"/>
  <c r="P453" i="3"/>
  <c r="P33" i="3"/>
  <c r="Q956" i="3"/>
  <c r="P956" i="3"/>
  <c r="Q844" i="3"/>
  <c r="P844" i="3"/>
  <c r="Q704" i="3"/>
  <c r="P704" i="3"/>
  <c r="Q662" i="3"/>
  <c r="P662" i="3"/>
  <c r="Q480" i="3"/>
  <c r="P480" i="3"/>
  <c r="Q438" i="3"/>
  <c r="P438" i="3"/>
  <c r="Q284" i="3"/>
  <c r="P284" i="3"/>
  <c r="P74" i="3"/>
  <c r="Q74" i="3"/>
  <c r="Q60" i="3"/>
  <c r="P60" i="3"/>
  <c r="Q46" i="3"/>
  <c r="P46" i="3"/>
  <c r="Q18" i="3"/>
  <c r="P18" i="3"/>
  <c r="P1685" i="3"/>
  <c r="P1587" i="3"/>
  <c r="P1489" i="3"/>
  <c r="P1110" i="3"/>
  <c r="P817" i="3"/>
  <c r="P452" i="3"/>
  <c r="P396" i="3"/>
  <c r="Q244" i="3"/>
  <c r="P117" i="3"/>
  <c r="Q565" i="3"/>
  <c r="Q341" i="3"/>
  <c r="P1545" i="3"/>
  <c r="P1348" i="3"/>
  <c r="P1307" i="3"/>
  <c r="P1222" i="3"/>
  <c r="P1040" i="3"/>
  <c r="P789" i="3"/>
  <c r="P551" i="3"/>
  <c r="P88" i="3"/>
  <c r="Q942" i="3"/>
  <c r="Q705" i="3"/>
  <c r="Q606" i="3"/>
  <c r="P1699" i="3"/>
  <c r="P1503" i="3"/>
  <c r="P1387" i="3"/>
  <c r="P1261" i="3"/>
  <c r="P1012" i="3"/>
  <c r="P313" i="3"/>
  <c r="Q1555" i="3"/>
  <c r="Q1279" i="3"/>
  <c r="P1600" i="3"/>
  <c r="P1404" i="3"/>
  <c r="P1191" i="3"/>
  <c r="P1125" i="3"/>
  <c r="P1009" i="3"/>
  <c r="P943" i="3"/>
  <c r="P887" i="3"/>
  <c r="P733" i="3"/>
  <c r="P522" i="3"/>
  <c r="P312" i="3"/>
  <c r="P258" i="3"/>
  <c r="Q1181" i="3"/>
  <c r="Q939" i="3"/>
  <c r="Q1146" i="3"/>
  <c r="P1146" i="3"/>
  <c r="Q1118" i="3"/>
  <c r="P1118" i="3"/>
  <c r="P516" i="3"/>
  <c r="Q516" i="3"/>
  <c r="Q404" i="3"/>
  <c r="P404" i="3"/>
  <c r="Q362" i="3"/>
  <c r="P362" i="3"/>
  <c r="P320" i="3"/>
  <c r="Q320" i="3"/>
  <c r="Q236" i="3"/>
  <c r="P236" i="3"/>
  <c r="Q166" i="3"/>
  <c r="P166" i="3"/>
  <c r="P1639" i="3"/>
  <c r="P1559" i="3"/>
  <c r="P1443" i="3"/>
  <c r="P1363" i="3"/>
  <c r="P1124" i="3"/>
  <c r="P732" i="3"/>
  <c r="P544" i="3"/>
  <c r="Q1676" i="3"/>
  <c r="P1676" i="3"/>
  <c r="Q1634" i="3"/>
  <c r="P1634" i="3"/>
  <c r="Q1578" i="3"/>
  <c r="P1578" i="3"/>
  <c r="Q1564" i="3"/>
  <c r="P1564" i="3"/>
  <c r="Q1536" i="3"/>
  <c r="P1536" i="3"/>
  <c r="Q1466" i="3"/>
  <c r="P1466" i="3"/>
  <c r="Q1382" i="3"/>
  <c r="P1382" i="3"/>
  <c r="P1368" i="3"/>
  <c r="Q1368" i="3"/>
  <c r="Q1354" i="3"/>
  <c r="P1354" i="3"/>
  <c r="Q906" i="3"/>
  <c r="P906" i="3"/>
  <c r="Q836" i="3"/>
  <c r="P836" i="3"/>
  <c r="Q822" i="3"/>
  <c r="P822" i="3"/>
  <c r="Q780" i="3"/>
  <c r="P780" i="3"/>
  <c r="Q766" i="3"/>
  <c r="P766" i="3"/>
  <c r="Q710" i="3"/>
  <c r="P710" i="3"/>
  <c r="Q626" i="3"/>
  <c r="P626" i="3"/>
  <c r="Q612" i="3"/>
  <c r="P612" i="3"/>
  <c r="Q570" i="3"/>
  <c r="P570" i="3"/>
  <c r="Q556" i="3"/>
  <c r="P556" i="3"/>
  <c r="Q514" i="3"/>
  <c r="P514" i="3"/>
  <c r="Q500" i="3"/>
  <c r="P500" i="3"/>
  <c r="Q416" i="3"/>
  <c r="P416" i="3"/>
  <c r="Q360" i="3"/>
  <c r="P360" i="3"/>
  <c r="Q346" i="3"/>
  <c r="P346" i="3"/>
  <c r="Q318" i="3"/>
  <c r="P318" i="3"/>
  <c r="Q304" i="3"/>
  <c r="P304" i="3"/>
  <c r="Q290" i="3"/>
  <c r="P290" i="3"/>
  <c r="Q248" i="3"/>
  <c r="P248" i="3"/>
  <c r="Q220" i="3"/>
  <c r="P220" i="3"/>
  <c r="Q122" i="3"/>
  <c r="P122" i="3"/>
  <c r="Q108" i="3"/>
  <c r="P108" i="3"/>
  <c r="Q80" i="3"/>
  <c r="P80" i="3"/>
  <c r="Q66" i="3"/>
  <c r="P66" i="3"/>
  <c r="Q38" i="3"/>
  <c r="P38" i="3"/>
  <c r="Q24" i="3"/>
  <c r="P24" i="3"/>
  <c r="P1695" i="3"/>
  <c r="P1615" i="3"/>
  <c r="P1597" i="3"/>
  <c r="P1517" i="3"/>
  <c r="P1499" i="3"/>
  <c r="P1419" i="3"/>
  <c r="P1401" i="3"/>
  <c r="P1298" i="3"/>
  <c r="P1188" i="3"/>
  <c r="P1166" i="3"/>
  <c r="P1096" i="3"/>
  <c r="P1074" i="3"/>
  <c r="P1006" i="3"/>
  <c r="P934" i="3"/>
  <c r="Q1339" i="3"/>
  <c r="P1339" i="3"/>
  <c r="Q1213" i="3"/>
  <c r="P1213" i="3"/>
  <c r="Q1199" i="3"/>
  <c r="P1199" i="3"/>
  <c r="Q1115" i="3"/>
  <c r="P1115" i="3"/>
  <c r="Q1017" i="3"/>
  <c r="P1017" i="3"/>
  <c r="Q933" i="3"/>
  <c r="P933" i="3"/>
  <c r="Q891" i="3"/>
  <c r="P891" i="3"/>
  <c r="Q877" i="3"/>
  <c r="P877" i="3"/>
  <c r="Q821" i="3"/>
  <c r="P821" i="3"/>
  <c r="Q723" i="3"/>
  <c r="P723" i="3"/>
  <c r="Q667" i="3"/>
  <c r="P667" i="3"/>
  <c r="Q597" i="3"/>
  <c r="P597" i="3"/>
  <c r="Q555" i="3"/>
  <c r="P555" i="3"/>
  <c r="Q513" i="3"/>
  <c r="P513" i="3"/>
  <c r="P457" i="3"/>
  <c r="Q457" i="3"/>
  <c r="Q345" i="3"/>
  <c r="P345" i="3"/>
  <c r="Q289" i="3"/>
  <c r="P289" i="3"/>
  <c r="Q275" i="3"/>
  <c r="P275" i="3"/>
  <c r="Q205" i="3"/>
  <c r="P205" i="3"/>
  <c r="P121" i="3"/>
  <c r="Q121" i="3"/>
  <c r="Q79" i="3"/>
  <c r="P79" i="3"/>
  <c r="Q65" i="3"/>
  <c r="P65" i="3"/>
  <c r="Q37" i="3"/>
  <c r="P37" i="3"/>
  <c r="Q23" i="3"/>
  <c r="P23" i="3"/>
  <c r="P1614" i="3"/>
  <c r="P1538" i="3"/>
  <c r="P1516" i="3"/>
  <c r="P1440" i="3"/>
  <c r="P1418" i="3"/>
  <c r="P1359" i="3"/>
  <c r="P1340" i="3"/>
  <c r="P1233" i="3"/>
  <c r="P1209" i="3"/>
  <c r="P1093" i="3"/>
  <c r="P1073" i="3"/>
  <c r="P1027" i="3"/>
  <c r="P830" i="3"/>
  <c r="P775" i="3"/>
  <c r="P751" i="3"/>
  <c r="P698" i="3"/>
  <c r="P642" i="3"/>
  <c r="P488" i="3"/>
  <c r="P356" i="3"/>
  <c r="P250" i="3"/>
  <c r="P192" i="3"/>
  <c r="P159" i="3"/>
  <c r="P131" i="3"/>
  <c r="P12" i="3"/>
  <c r="Q1648" i="3"/>
  <c r="Q1167" i="3"/>
  <c r="Q1020" i="3"/>
  <c r="Q971" i="3"/>
  <c r="Q774" i="3"/>
  <c r="Q634" i="3"/>
  <c r="Q477" i="3"/>
  <c r="Q369" i="3"/>
  <c r="Q96" i="3"/>
  <c r="P1702" i="3"/>
  <c r="Q1702" i="3"/>
  <c r="P1660" i="3"/>
  <c r="Q1660" i="3"/>
  <c r="Q1646" i="3"/>
  <c r="P1646" i="3"/>
  <c r="Q1632" i="3"/>
  <c r="P1632" i="3"/>
  <c r="P1618" i="3"/>
  <c r="Q1618" i="3"/>
  <c r="P1590" i="3"/>
  <c r="Q1590" i="3"/>
  <c r="Q1576" i="3"/>
  <c r="P1576" i="3"/>
  <c r="Q1562" i="3"/>
  <c r="P1562" i="3"/>
  <c r="Q1548" i="3"/>
  <c r="P1548" i="3"/>
  <c r="Q1520" i="3"/>
  <c r="P1520" i="3"/>
  <c r="Q1450" i="3"/>
  <c r="P1450" i="3"/>
  <c r="Q1422" i="3"/>
  <c r="P1422" i="3"/>
  <c r="Q1408" i="3"/>
  <c r="P1408" i="3"/>
  <c r="Q1394" i="3"/>
  <c r="P1394" i="3"/>
  <c r="Q1380" i="3"/>
  <c r="P1380" i="3"/>
  <c r="Q1366" i="3"/>
  <c r="P1366" i="3"/>
  <c r="Q1338" i="3"/>
  <c r="P1338" i="3"/>
  <c r="Q1212" i="3"/>
  <c r="P1212" i="3"/>
  <c r="Q1114" i="3"/>
  <c r="P1114" i="3"/>
  <c r="Q1086" i="3"/>
  <c r="P1086" i="3"/>
  <c r="Q1016" i="3"/>
  <c r="P1016" i="3"/>
  <c r="Q988" i="3"/>
  <c r="P988" i="3"/>
  <c r="Q932" i="3"/>
  <c r="P932" i="3"/>
  <c r="Q918" i="3"/>
  <c r="P918" i="3"/>
  <c r="P890" i="3"/>
  <c r="Q890" i="3"/>
  <c r="P862" i="3"/>
  <c r="Q862" i="3"/>
  <c r="P792" i="3"/>
  <c r="Q792" i="3"/>
  <c r="P722" i="3"/>
  <c r="Q722" i="3"/>
  <c r="Q708" i="3"/>
  <c r="P708" i="3"/>
  <c r="P694" i="3"/>
  <c r="Q694" i="3"/>
  <c r="Q652" i="3"/>
  <c r="P652" i="3"/>
  <c r="Q596" i="3"/>
  <c r="P596" i="3"/>
  <c r="Q512" i="3"/>
  <c r="P512" i="3"/>
  <c r="Q456" i="3"/>
  <c r="P456" i="3"/>
  <c r="Q442" i="3"/>
  <c r="P442" i="3"/>
  <c r="Q386" i="3"/>
  <c r="P386" i="3"/>
  <c r="P302" i="3"/>
  <c r="Q302" i="3"/>
  <c r="Q204" i="3"/>
  <c r="P204" i="3"/>
  <c r="P190" i="3"/>
  <c r="Q190" i="3"/>
  <c r="P162" i="3"/>
  <c r="Q162" i="3"/>
  <c r="Q148" i="3"/>
  <c r="P148" i="3"/>
  <c r="Q120" i="3"/>
  <c r="P120" i="3"/>
  <c r="P106" i="3"/>
  <c r="Q106" i="3"/>
  <c r="Q64" i="3"/>
  <c r="P64" i="3"/>
  <c r="Q22" i="3"/>
  <c r="P22" i="3"/>
  <c r="P1671" i="3"/>
  <c r="P1653" i="3"/>
  <c r="P1633" i="3"/>
  <c r="P1573" i="3"/>
  <c r="P1535" i="3"/>
  <c r="P1475" i="3"/>
  <c r="P1437" i="3"/>
  <c r="P1377" i="3"/>
  <c r="P1337" i="3"/>
  <c r="P1272" i="3"/>
  <c r="P1253" i="3"/>
  <c r="P1208" i="3"/>
  <c r="P1186" i="3"/>
  <c r="P1160" i="3"/>
  <c r="P1116" i="3"/>
  <c r="P1072" i="3"/>
  <c r="P1046" i="3"/>
  <c r="P1026" i="3"/>
  <c r="P904" i="3"/>
  <c r="P878" i="3"/>
  <c r="P850" i="3"/>
  <c r="P750" i="3"/>
  <c r="P696" i="3"/>
  <c r="P668" i="3"/>
  <c r="P640" i="3"/>
  <c r="P539" i="3"/>
  <c r="P486" i="3"/>
  <c r="P458" i="3"/>
  <c r="P430" i="3"/>
  <c r="P355" i="3"/>
  <c r="P329" i="3"/>
  <c r="P300" i="3"/>
  <c r="P276" i="3"/>
  <c r="P216" i="3"/>
  <c r="P191" i="3"/>
  <c r="P158" i="3"/>
  <c r="P130" i="3"/>
  <c r="P36" i="3"/>
  <c r="P10" i="3"/>
  <c r="Q1607" i="3"/>
  <c r="Q1575" i="3"/>
  <c r="Q1537" i="3"/>
  <c r="Q1505" i="3"/>
  <c r="Q970" i="3"/>
  <c r="Q921" i="3"/>
  <c r="Q771" i="3"/>
  <c r="Q631" i="3"/>
  <c r="Q533" i="3"/>
  <c r="Q208" i="3"/>
  <c r="Q35" i="3"/>
  <c r="Q1306" i="3"/>
  <c r="P1306" i="3"/>
  <c r="Q1278" i="3"/>
  <c r="P1278" i="3"/>
  <c r="Q1180" i="3"/>
  <c r="P1180" i="3"/>
  <c r="Q984" i="3"/>
  <c r="P984" i="3"/>
  <c r="Q690" i="3"/>
  <c r="P690" i="3"/>
  <c r="Q648" i="3"/>
  <c r="P648" i="3"/>
  <c r="P564" i="3"/>
  <c r="Q564" i="3"/>
  <c r="Q368" i="3"/>
  <c r="P368" i="3"/>
  <c r="Q228" i="3"/>
  <c r="P228" i="3"/>
  <c r="Q186" i="3"/>
  <c r="P186" i="3"/>
  <c r="P1391" i="3"/>
  <c r="P62" i="3"/>
  <c r="Q1335" i="3"/>
  <c r="P1041" i="3"/>
  <c r="P845" i="3"/>
  <c r="Q299" i="3"/>
  <c r="P1447" i="3"/>
  <c r="P578" i="3"/>
  <c r="Q1247" i="3"/>
  <c r="P1247" i="3"/>
  <c r="P589" i="3"/>
  <c r="Q589" i="3"/>
  <c r="P1502" i="3"/>
  <c r="Q908" i="3"/>
  <c r="P908" i="3"/>
  <c r="P460" i="3"/>
  <c r="Q460" i="3"/>
  <c r="Q418" i="3"/>
  <c r="P418" i="3"/>
  <c r="Q306" i="3"/>
  <c r="P306" i="3"/>
  <c r="Q222" i="3"/>
  <c r="P222" i="3"/>
  <c r="P180" i="3"/>
  <c r="Q180" i="3"/>
  <c r="P1657" i="3"/>
  <c r="P2" i="3"/>
  <c r="Q2" i="3"/>
  <c r="Q1662" i="3"/>
  <c r="P1662" i="3"/>
  <c r="Q1592" i="3"/>
  <c r="P1592" i="3"/>
  <c r="Q1522" i="3"/>
  <c r="P1522" i="3"/>
  <c r="Q1494" i="3"/>
  <c r="P1494" i="3"/>
  <c r="P1452" i="3"/>
  <c r="Q1452" i="3"/>
  <c r="P1424" i="3"/>
  <c r="Q1424" i="3"/>
  <c r="Q1396" i="3"/>
  <c r="P1396" i="3"/>
  <c r="Q1200" i="3"/>
  <c r="P1200" i="3"/>
  <c r="Q1130" i="3"/>
  <c r="P1130" i="3"/>
  <c r="Q1102" i="3"/>
  <c r="P1102" i="3"/>
  <c r="Q1032" i="3"/>
  <c r="P1032" i="3"/>
  <c r="Q1004" i="3"/>
  <c r="P1004" i="3"/>
  <c r="Q808" i="3"/>
  <c r="P808" i="3"/>
  <c r="Q1687" i="3"/>
  <c r="P1687" i="3"/>
  <c r="P1659" i="3"/>
  <c r="Q1659" i="3"/>
  <c r="Q1645" i="3"/>
  <c r="P1645" i="3"/>
  <c r="Q1631" i="3"/>
  <c r="P1631" i="3"/>
  <c r="P1617" i="3"/>
  <c r="Q1617" i="3"/>
  <c r="Q1547" i="3"/>
  <c r="P1547" i="3"/>
  <c r="P1519" i="3"/>
  <c r="Q1519" i="3"/>
  <c r="P1491" i="3"/>
  <c r="Q1491" i="3"/>
  <c r="Q1477" i="3"/>
  <c r="P1477" i="3"/>
  <c r="Q1463" i="3"/>
  <c r="P1463" i="3"/>
  <c r="Q1449" i="3"/>
  <c r="P1449" i="3"/>
  <c r="Q1421" i="3"/>
  <c r="P1421" i="3"/>
  <c r="P1393" i="3"/>
  <c r="Q1393" i="3"/>
  <c r="Q1323" i="3"/>
  <c r="P1323" i="3"/>
  <c r="Q1309" i="3"/>
  <c r="P1309" i="3"/>
  <c r="Q1197" i="3"/>
  <c r="P1197" i="3"/>
  <c r="Q1183" i="3"/>
  <c r="P1183" i="3"/>
  <c r="Q1085" i="3"/>
  <c r="P1085" i="3"/>
  <c r="Q1001" i="3"/>
  <c r="P1001" i="3"/>
  <c r="Q987" i="3"/>
  <c r="P987" i="3"/>
  <c r="Q917" i="3"/>
  <c r="P917" i="3"/>
  <c r="Q875" i="3"/>
  <c r="P875" i="3"/>
  <c r="Q861" i="3"/>
  <c r="P861" i="3"/>
  <c r="Q819" i="3"/>
  <c r="P819" i="3"/>
  <c r="Q707" i="3"/>
  <c r="P707" i="3"/>
  <c r="Q651" i="3"/>
  <c r="P651" i="3"/>
  <c r="Q609" i="3"/>
  <c r="P609" i="3"/>
  <c r="Q553" i="3"/>
  <c r="P553" i="3"/>
  <c r="Q497" i="3"/>
  <c r="P497" i="3"/>
  <c r="Q483" i="3"/>
  <c r="P483" i="3"/>
  <c r="Q441" i="3"/>
  <c r="P441" i="3"/>
  <c r="Q399" i="3"/>
  <c r="P399" i="3"/>
  <c r="Q385" i="3"/>
  <c r="P385" i="3"/>
  <c r="P287" i="3"/>
  <c r="Q287" i="3"/>
  <c r="Q245" i="3"/>
  <c r="P245" i="3"/>
  <c r="P217" i="3"/>
  <c r="Q217" i="3"/>
  <c r="Q203" i="3"/>
  <c r="P203" i="3"/>
  <c r="P189" i="3"/>
  <c r="Q189" i="3"/>
  <c r="Q161" i="3"/>
  <c r="P161" i="3"/>
  <c r="Q147" i="3"/>
  <c r="P147" i="3"/>
  <c r="Q119" i="3"/>
  <c r="P119" i="3"/>
  <c r="Q105" i="3"/>
  <c r="P105" i="3"/>
  <c r="P91" i="3"/>
  <c r="Q91" i="3"/>
  <c r="Q21" i="3"/>
  <c r="P21" i="3"/>
  <c r="P1594" i="3"/>
  <c r="P1572" i="3"/>
  <c r="P1496" i="3"/>
  <c r="P1376" i="3"/>
  <c r="P1334" i="3"/>
  <c r="P1314" i="3"/>
  <c r="P1271" i="3"/>
  <c r="P1227" i="3"/>
  <c r="P1205" i="3"/>
  <c r="P1185" i="3"/>
  <c r="P1159" i="3"/>
  <c r="P1139" i="3"/>
  <c r="P1113" i="3"/>
  <c r="P1071" i="3"/>
  <c r="P1023" i="3"/>
  <c r="P999" i="3"/>
  <c r="P977" i="3"/>
  <c r="P957" i="3"/>
  <c r="P873" i="3"/>
  <c r="P849" i="3"/>
  <c r="P749" i="3"/>
  <c r="P719" i="3"/>
  <c r="P693" i="3"/>
  <c r="P665" i="3"/>
  <c r="P639" i="3"/>
  <c r="P536" i="3"/>
  <c r="P509" i="3"/>
  <c r="P485" i="3"/>
  <c r="P455" i="3"/>
  <c r="P354" i="3"/>
  <c r="P326" i="3"/>
  <c r="P274" i="3"/>
  <c r="P215" i="3"/>
  <c r="Q1674" i="3"/>
  <c r="Q1606" i="3"/>
  <c r="Q1534" i="3"/>
  <c r="Q1464" i="3"/>
  <c r="Q869" i="3"/>
  <c r="Q767" i="3"/>
  <c r="Q141" i="3"/>
  <c r="Q1333" i="3"/>
  <c r="P1333" i="3"/>
  <c r="Q1319" i="3"/>
  <c r="P1319" i="3"/>
  <c r="Q1277" i="3"/>
  <c r="P1277" i="3"/>
  <c r="Q1263" i="3"/>
  <c r="P1263" i="3"/>
  <c r="Q1221" i="3"/>
  <c r="P1221" i="3"/>
  <c r="Q1207" i="3"/>
  <c r="P1207" i="3"/>
  <c r="Q1179" i="3"/>
  <c r="P1179" i="3"/>
  <c r="P1165" i="3"/>
  <c r="Q1165" i="3"/>
  <c r="Q1137" i="3"/>
  <c r="P1137" i="3"/>
  <c r="Q1081" i="3"/>
  <c r="P1081" i="3"/>
  <c r="Q1067" i="3"/>
  <c r="P1067" i="3"/>
  <c r="P1039" i="3"/>
  <c r="Q1039" i="3"/>
  <c r="Q1025" i="3"/>
  <c r="P1025" i="3"/>
  <c r="Q997" i="3"/>
  <c r="P997" i="3"/>
  <c r="P983" i="3"/>
  <c r="Q983" i="3"/>
  <c r="Q955" i="3"/>
  <c r="P955" i="3"/>
  <c r="Q843" i="3"/>
  <c r="P843" i="3"/>
  <c r="P745" i="3"/>
  <c r="Q745" i="3"/>
  <c r="Q451" i="3"/>
  <c r="P451" i="3"/>
  <c r="P255" i="3"/>
  <c r="Q255" i="3"/>
  <c r="Q199" i="3"/>
  <c r="P199" i="3"/>
  <c r="Q157" i="3"/>
  <c r="P157" i="3"/>
  <c r="Q59" i="3"/>
  <c r="P59" i="3"/>
  <c r="P1248" i="3"/>
  <c r="P1134" i="3"/>
  <c r="P1036" i="3"/>
  <c r="P937" i="3"/>
  <c r="P881" i="3"/>
  <c r="P786" i="3"/>
  <c r="P730" i="3"/>
  <c r="P615" i="3"/>
  <c r="P576" i="3"/>
  <c r="P461" i="3"/>
  <c r="P310" i="3"/>
  <c r="P128" i="3"/>
  <c r="P86" i="3"/>
  <c r="P45" i="3"/>
  <c r="Q923" i="3"/>
  <c r="Q590" i="3"/>
  <c r="Q1220" i="3"/>
  <c r="P1220" i="3"/>
  <c r="Q1192" i="3"/>
  <c r="P1192" i="3"/>
  <c r="Q1178" i="3"/>
  <c r="P1178" i="3"/>
  <c r="P1094" i="3"/>
  <c r="Q1094" i="3"/>
  <c r="Q1066" i="3"/>
  <c r="P1066" i="3"/>
  <c r="Q1010" i="3"/>
  <c r="P1010" i="3"/>
  <c r="Q954" i="3"/>
  <c r="P954" i="3"/>
  <c r="Q842" i="3"/>
  <c r="P842" i="3"/>
  <c r="Q646" i="3"/>
  <c r="P646" i="3"/>
  <c r="P352" i="3"/>
  <c r="Q352" i="3"/>
  <c r="P254" i="3"/>
  <c r="Q254" i="3"/>
  <c r="Q58" i="3"/>
  <c r="P58" i="3"/>
  <c r="P1133" i="3"/>
  <c r="P689" i="3"/>
  <c r="P633" i="3"/>
  <c r="P423" i="3"/>
  <c r="Q1123" i="3"/>
  <c r="Q1024" i="3"/>
  <c r="Q826" i="3"/>
  <c r="P826" i="3"/>
  <c r="Q434" i="3"/>
  <c r="P434" i="3"/>
  <c r="P336" i="3"/>
  <c r="Q336" i="3"/>
  <c r="Q238" i="3"/>
  <c r="P238" i="3"/>
  <c r="Q140" i="3"/>
  <c r="P140" i="3"/>
  <c r="P42" i="3"/>
  <c r="Q42" i="3"/>
  <c r="P1260" i="3"/>
  <c r="P1245" i="3"/>
  <c r="P1147" i="3"/>
  <c r="P1049" i="3"/>
  <c r="P951" i="3"/>
  <c r="P896" i="3"/>
  <c r="P857" i="3"/>
  <c r="P686" i="3"/>
  <c r="P420" i="3"/>
  <c r="P381" i="3"/>
  <c r="P325" i="3"/>
  <c r="P226" i="3"/>
  <c r="P184" i="3"/>
  <c r="P101" i="3"/>
  <c r="Q1249" i="3"/>
  <c r="Q1150" i="3"/>
  <c r="Q1080" i="3"/>
  <c r="Q1052" i="3"/>
  <c r="Q450" i="3"/>
  <c r="Q353" i="3"/>
  <c r="Q156" i="3"/>
  <c r="Q825" i="3"/>
  <c r="P825" i="3"/>
  <c r="P727" i="3"/>
  <c r="Q727" i="3"/>
  <c r="Q629" i="3"/>
  <c r="P629" i="3"/>
  <c r="P531" i="3"/>
  <c r="Q531" i="3"/>
  <c r="Q433" i="3"/>
  <c r="P433" i="3"/>
  <c r="Q237" i="3"/>
  <c r="P237" i="3"/>
  <c r="Q41" i="3"/>
  <c r="P41" i="3"/>
  <c r="P1304" i="3"/>
  <c r="P1064" i="3"/>
  <c r="P856" i="3"/>
  <c r="P800" i="3"/>
  <c r="P685" i="3"/>
  <c r="P419" i="3"/>
  <c r="P380" i="3"/>
  <c r="P224" i="3"/>
  <c r="P100" i="3"/>
  <c r="Q1361" i="3"/>
  <c r="Q1305" i="3"/>
  <c r="Q982" i="3"/>
  <c r="Q549" i="3"/>
  <c r="H77" i="1"/>
  <c r="H104" i="1" s="1"/>
  <c r="C84" i="1"/>
  <c r="H83" i="1"/>
  <c r="C95" i="1"/>
  <c r="H94" i="1"/>
  <c r="U1708" i="3" l="1"/>
  <c r="W1708" i="3" s="1"/>
  <c r="U1709" i="3"/>
  <c r="W1709" i="3" s="1"/>
  <c r="U1711" i="3"/>
  <c r="W1711" i="3" s="1"/>
  <c r="P1706" i="3"/>
  <c r="U1710" i="3"/>
  <c r="W1710" i="3" s="1"/>
  <c r="Q1706" i="3"/>
  <c r="P1716" i="3" s="1"/>
  <c r="C96" i="1"/>
  <c r="H96" i="1" s="1"/>
  <c r="H95" i="1"/>
  <c r="C85" i="1"/>
  <c r="H84" i="1"/>
  <c r="C86" i="1" l="1"/>
  <c r="H85" i="1"/>
  <c r="H86" i="1" l="1"/>
  <c r="C104" i="1"/>
  <c r="H106" i="1" s="1"/>
</calcChain>
</file>

<file path=xl/sharedStrings.xml><?xml version="1.0" encoding="utf-8"?>
<sst xmlns="http://schemas.openxmlformats.org/spreadsheetml/2006/main" count="3720" uniqueCount="233">
  <si>
    <t>Rutgers University</t>
  </si>
  <si>
    <t>Introduction to Managerial Accounting</t>
  </si>
  <si>
    <t>Data Analysis Project</t>
  </si>
  <si>
    <t>Data Seed #1778</t>
  </si>
  <si>
    <t>Spring 2023</t>
  </si>
  <si>
    <t>Instructions and Background</t>
  </si>
  <si>
    <t>Class Section:</t>
  </si>
  <si>
    <t>Student Name(s):</t>
  </si>
  <si>
    <t>Background:</t>
  </si>
  <si>
    <t xml:space="preserve">The Fashionable Leather Company manufactures two product lines (shoes and jackets) and operates in four regions (North, South, East, and West). The company buys direct materials and supplies only after receiving orders from customers, and therefore does not hold a material amount of inventory. The CFO asked you to analyze the company's performance for the year across a number of dimensions including by region, by product line, and by manufacturing cost. The raw job costing data was exported into Excel from the company's accounting system (the data is saved in the Data worksheet).
</t>
  </si>
  <si>
    <t>Instructions:</t>
  </si>
  <si>
    <t>This workbook contains 3 worksheets: Cover Sheet, Additional Instructions, and Data. It is recommended that you add additional worksheets to perform your calculations, as necessary. However, only answers entered in the Cover Sheet will be graded.
The Cover Sheet worksheet contains all of the questions as well as spaces for your answers. The cells on this worksheet are locked. You can only edit the gold colored cells. Column B lists the chapter that each question is most related to. However, there is overlap in many of the chapters. Column C lists the point value for each question. Many questions include either a hint or a check number. Make sure that your calculations match the check numbers. The gold colored answer cells are restricted to accept only certain number formats. For example, the answer for question 4 will only accept a whole number. If you try to enter 54.5 you will receive an error message.
The Additional Instructions worksheet contains 1) a description of the dataset, 2) links to basic Excel video tutorials, and 3) additional instructions and hints on how to calculate and answer each of the questions. The majority of this project relies on using formulas to calculate new columns in a table of data and then using PivotTables to analyze the data.
The Data worksheet contains the raw job costing data from the company's accounting system. Each row of the data table corresponds to one job. Each job can include orders for multiple quantities of a given product. A more detailed description of the data is included in the Additional Instructions tab. It is recommended that you calculate additional columns in the Data worksheet, as needed, before creating your pivot tables.</t>
  </si>
  <si>
    <t>Chapter</t>
  </si>
  <si>
    <t>Points</t>
  </si>
  <si>
    <t>Questions</t>
  </si>
  <si>
    <t>Question 1:</t>
  </si>
  <si>
    <t>What is the total direct material used (in dollars) for shoes?</t>
  </si>
  <si>
    <t>Answer:</t>
  </si>
  <si>
    <t>Question 2:</t>
  </si>
  <si>
    <t>What is the total direct labor used (in dollars) in the South region?</t>
  </si>
  <si>
    <t>Question 3:</t>
  </si>
  <si>
    <t>The budgeted manufacturing overhead rate is 25% of direct material dollars. 
(Hint: A job that incurs $100 of direct materials will be allocated $25 of manufacturing overhead.)</t>
  </si>
  <si>
    <t>What is the total manufacturing OH applied (in dollars)?</t>
  </si>
  <si>
    <t>Check:</t>
  </si>
  <si>
    <t>The total manufacturing OH applied in the North region was $324,840.</t>
  </si>
  <si>
    <t>Question 4:</t>
  </si>
  <si>
    <t>How many jackets were sold in the East region?</t>
  </si>
  <si>
    <t>Question 5:</t>
  </si>
  <si>
    <t>Which product line generated the most revenue?</t>
  </si>
  <si>
    <t>Jacket</t>
  </si>
  <si>
    <t>Question 6:</t>
  </si>
  <si>
    <t>What is the total gross margin in each of the 4 regions?</t>
  </si>
  <si>
    <t>North</t>
  </si>
  <si>
    <t>South</t>
  </si>
  <si>
    <t>East</t>
  </si>
  <si>
    <t>West</t>
  </si>
  <si>
    <t>Question 7:</t>
  </si>
  <si>
    <t>Which Job ID generated the smallest gross margin?</t>
  </si>
  <si>
    <t>Question 8:</t>
  </si>
  <si>
    <t>Assume the actual indirect manufactuing OH rate for the year was 25.51%. Manufacturing overhead is allocated using direct material dollars.</t>
  </si>
  <si>
    <t>8a.</t>
  </si>
  <si>
    <t>What was the actual total overhead incurred during the year?</t>
  </si>
  <si>
    <t>8b.</t>
  </si>
  <si>
    <t>What is the difference between actual total manufacturing overhead and the applied manufacturing overhead?
(Hint: Actual total manufacturing overhead - total applied manufacturing overhead.)</t>
  </si>
  <si>
    <t>8c.</t>
  </si>
  <si>
    <t>Was the manufacturing overhead over or underapplied?</t>
  </si>
  <si>
    <t>Under Applied</t>
  </si>
  <si>
    <t>Question 9:</t>
  </si>
  <si>
    <t>The budgeted period fixed costs for the year are $593,023, and the fixed portion of the budgeted total manufacturing overhead is $656,735.</t>
  </si>
  <si>
    <t>What are the total variable costs for the year? (Hint: The total variable costs is the total direct material costs + total direct labor costs + total manufacturing overhead applied - fixed portion of the budgeted manufacturing overhead.)</t>
  </si>
  <si>
    <t>Question 10:</t>
  </si>
  <si>
    <t>What is the average contribution margin per unit for shoes?
    Assume the fixed overhead costs are 60.00% of the applied overhead and there are no period variable costs.
    (Hint: Divide the total contribution margin for shoes by the total number of shoes sold.)</t>
  </si>
  <si>
    <t>The average contribution margin per jacket is $84.55.</t>
  </si>
  <si>
    <t>Question 11:</t>
  </si>
  <si>
    <t>Assume the contribution margin per unit for shoes is $8.25 and the contribution margin per unit for jackets is $79.50. What is the break-even point in units? Assume a 3 shoes to 1 jacket sales mix. (Hint: Be sure to round your break-even number of bundles up to the nearest whole number.)</t>
  </si>
  <si>
    <t># of Bundles</t>
  </si>
  <si>
    <t># of Shoes</t>
  </si>
  <si>
    <t># of Jackets</t>
  </si>
  <si>
    <t>Question 12:</t>
  </si>
  <si>
    <t>The company has separate material and quantity standards for the shoes and jackets product lines.
Assume the following standard price and quantities:
    For shoes, assume the budgeted cost per foot of leather (standard price) is $14.85 and the budgeted feet of leather per pair of shoes produced is 2.87.
    For jackets, assume the budgeted cost per foot of leather (standard price) is $19.60 and the budgeted feet of leather per jacket produced is 11.04.
    That is, the budgeted cost of direct materials to produce 1 jacket is $216.38 ($19.60 per ft * 11.04 ft per jacket).
    (Hint: Calculate the direct material price and efficiency variances for each job and sum all of the variances together.)</t>
  </si>
  <si>
    <t>12a:</t>
  </si>
  <si>
    <t>What is the direct material price variance? Make sure you enter the number with the correct sign.</t>
  </si>
  <si>
    <t>DM Price Variance ($)</t>
  </si>
  <si>
    <t>Favorable/Unfavorable</t>
  </si>
  <si>
    <t>Favorable</t>
  </si>
  <si>
    <t>12b:</t>
  </si>
  <si>
    <t>What is the direct material efficiency variance?  Make sure you enter the number with the correct sign.</t>
  </si>
  <si>
    <t>DM Efficiency Variance ($)</t>
  </si>
  <si>
    <t>Unfavorable</t>
  </si>
  <si>
    <t>Total Points</t>
  </si>
  <si>
    <t>Solutions and Grading</t>
  </si>
  <si>
    <t>Code Key:</t>
  </si>
  <si>
    <t>Solution</t>
  </si>
  <si>
    <t>Decrypt Solution</t>
  </si>
  <si>
    <t>Student Answer</t>
  </si>
  <si>
    <t>Tolerance</t>
  </si>
  <si>
    <t>Points Earned</t>
  </si>
  <si>
    <t>ABCDEFGHIJKLMNOPQRSTUVWXYZabcdefghijklmnopqrstuvwxyz1234567890 ,-.!</t>
  </si>
  <si>
    <t>CXittu.TT</t>
  </si>
  <si>
    <t>Relative</t>
  </si>
  <si>
    <t>Relative Tolerance for Grading:</t>
  </si>
  <si>
    <t>.Xeqsy.RU</t>
  </si>
  <si>
    <t>Points are deducted based on how far (in percent) the student's answer is from the solution. If the student's answer is 5% away from solution, the student will lose 5% of the allowed points.
The grading scheme ignores the sign of the number entered. 7,900 is treated the same as (7,900). Sub-questions help to identify over vs. under allocated and so forth.</t>
  </si>
  <si>
    <t>-ampvt8aTf</t>
  </si>
  <si>
    <t>.Xls5y</t>
  </si>
  <si>
    <t>Vgv, I</t>
  </si>
  <si>
    <t>Exact</t>
  </si>
  <si>
    <t>.Zjqtx.PQ</t>
  </si>
  <si>
    <t xml:space="preserve">South </t>
  </si>
  <si>
    <t>.Wktyp.SP</t>
  </si>
  <si>
    <t>-Wjrwp.TS</t>
  </si>
  <si>
    <t>.Wlmxr.SV</t>
  </si>
  <si>
    <t>-Tfm</t>
  </si>
  <si>
    <t>Question 8a:</t>
  </si>
  <si>
    <t>-Reryw7aQj</t>
  </si>
  <si>
    <t>Question 8b:</t>
  </si>
  <si>
    <t>.Sgny37Q</t>
  </si>
  <si>
    <t>Question 8c:</t>
  </si>
  <si>
    <t>gEHQizACCPUYP</t>
  </si>
  <si>
    <t>BXirxw9aVi</t>
  </si>
  <si>
    <t>-Sruy</t>
  </si>
  <si>
    <t>-Rmtz30</t>
  </si>
  <si>
    <t>!Vmrx30</t>
  </si>
  <si>
    <t>Question 12a</t>
  </si>
  <si>
    <t>DM Price Var ($)</t>
  </si>
  <si>
    <t>JRforq.S</t>
  </si>
  <si>
    <t>Fav/Unfav?</t>
  </si>
  <si>
    <t>R7ZaiPb.7</t>
  </si>
  <si>
    <t>Question 12b</t>
  </si>
  <si>
    <t>DM Eff Var ($)</t>
  </si>
  <si>
    <t>-Uln5t5</t>
  </si>
  <si>
    <t>gEJMmdr34PQ</t>
  </si>
  <si>
    <t>Total</t>
  </si>
  <si>
    <t>Percent Correct</t>
  </si>
  <si>
    <t>Answer Lists</t>
  </si>
  <si>
    <t>Product Lines</t>
  </si>
  <si>
    <t>Over/Under Applied</t>
  </si>
  <si>
    <t>Shoes</t>
  </si>
  <si>
    <t>Over Applied</t>
  </si>
  <si>
    <t>Description of Data</t>
  </si>
  <si>
    <t>Column Name</t>
  </si>
  <si>
    <t>Description</t>
  </si>
  <si>
    <t>Job ID</t>
  </si>
  <si>
    <t>A unique identification number for each job. This ID number cannot be repeated.</t>
  </si>
  <si>
    <t>Customer ID</t>
  </si>
  <si>
    <t>A unique identification number for each customer. A customer can be associated with multiple jobs.</t>
  </si>
  <si>
    <t>Region</t>
  </si>
  <si>
    <t>Identifies the region of the corresponding job. Possible values are North, South, East, and West.</t>
  </si>
  <si>
    <t>Product</t>
  </si>
  <si>
    <t xml:space="preserve">The product produced and sold for the job. Possible values are shoes or jackets. </t>
  </si>
  <si>
    <t>Units Produced and Sold</t>
  </si>
  <si>
    <t>The number of shoes or jackets produced and sold for the job. Note: An order for 2 shoes is for 2 pairs of shoes.</t>
  </si>
  <si>
    <t>Cost per Foot of Leather</t>
  </si>
  <si>
    <t>The direct material cost per foot of leather. (e.g., the price of 1 foot of leather.)</t>
  </si>
  <si>
    <t>Feet of Leather per Unit Produced</t>
  </si>
  <si>
    <t>The number of feet of leather used per unit of output. (e.g. 12 feet of leather to produce 1 jacket).</t>
  </si>
  <si>
    <t>Direct Labor Cost per Hour</t>
  </si>
  <si>
    <t>The hourly wage rate for manufacturing employees. (e.g., Employee is paid $31 /hour).</t>
  </si>
  <si>
    <t>Direct Labor Hours Per Unit Produced</t>
  </si>
  <si>
    <t>The number of direct labor hours used to produce 1 unit of output. (e.g., The employee uses 1.05 hours to produce 1 jacket.)</t>
  </si>
  <si>
    <t>Sales Price per Unit</t>
  </si>
  <si>
    <t>The sales price per unit. (e.g., Each jacket is sold for $383.)</t>
  </si>
  <si>
    <t>Excel References</t>
  </si>
  <si>
    <t>Excel Basics</t>
  </si>
  <si>
    <t>Video Link</t>
  </si>
  <si>
    <t>Excel enter a basic formula.</t>
  </si>
  <si>
    <t>https://www.youtube.com/watch?v=xKiUl2gQEwo</t>
  </si>
  <si>
    <t>How to create a pivot table.</t>
  </si>
  <si>
    <t>https://www.youtube.com/watch?v=gpTVQxv9vi0</t>
  </si>
  <si>
    <t>How to sort a pivot table.</t>
  </si>
  <si>
    <t>https://www.youtube.com/watch?v=iQmsuCxTjKs</t>
  </si>
  <si>
    <t>How to filter a pivot table.</t>
  </si>
  <si>
    <t>https://www.youtube.com/watch?v=2U-pJtkQK8Y</t>
  </si>
  <si>
    <t>Excel XLOOKUP function.</t>
  </si>
  <si>
    <t>https://www.youtube.com/watch?v=-10hVtmTmG4</t>
  </si>
  <si>
    <t>Additional Instructions</t>
  </si>
  <si>
    <t>Question #</t>
  </si>
  <si>
    <t>Additional Information</t>
  </si>
  <si>
    <t>General</t>
  </si>
  <si>
    <t>Remember that expenses are subtracted from revenue when calculating gross margin, contribution margin, etc. Therefore, it may be easier to represent the columns which contain expenses as negative numbers.</t>
  </si>
  <si>
    <t>The majority of this project relies on using basic Excel formulas and PivotTables. The links included above will be helpful if you are unfamiliar with Excel.</t>
  </si>
  <si>
    <t>Question 8b</t>
  </si>
  <si>
    <t>Remember the applied manufacturing overhead was calculated as part of Question 3.</t>
  </si>
  <si>
    <t>Question 10</t>
  </si>
  <si>
    <t>Remember the contribution margin equals revenue - variable costs.</t>
  </si>
  <si>
    <t>Question 11</t>
  </si>
  <si>
    <t>The total fixed costs are reported in Question 9. There are no variable period costs.</t>
  </si>
  <si>
    <t>Question 12</t>
  </si>
  <si>
    <t>The total direct material price variance and the total direct material efficiency variance is the sum of each job's variances.
A simple way to calculate the answer is to calculate the direct material price variance and the direct material efficiency variance for each job. Then, use a PivotTable to sum all of the variances calculated for each job.
This approach requires that you include the direct material standard price and standard quantities for each job within the Data worksheet. You can do this by creating a lookup table (use the table at the right). Fill the gold cells of the lookup table with the standard price and quantities listed in the Cover Sheet worksheet and use the XLOOKUP function in the Data worksheet to create the two new columns.</t>
  </si>
  <si>
    <t>Standard Price and Quantity Lookup Table</t>
  </si>
  <si>
    <t>Standard Price</t>
  </si>
  <si>
    <t>Standard Quantity</t>
  </si>
  <si>
    <t>JACKET</t>
  </si>
  <si>
    <t>SHOES</t>
  </si>
  <si>
    <t>Total Revenues</t>
  </si>
  <si>
    <t>Shoe Revenue</t>
  </si>
  <si>
    <t>Direct Materials Shoes</t>
  </si>
  <si>
    <t>Applied OH Shoes</t>
  </si>
  <si>
    <t>Direct Materials Cost</t>
  </si>
  <si>
    <t>Manf. OH Applied</t>
  </si>
  <si>
    <t>Actual Overhead Incurred</t>
  </si>
  <si>
    <t>Direct Labor Costs</t>
  </si>
  <si>
    <t>Revenues</t>
  </si>
  <si>
    <t>DM Jackets</t>
  </si>
  <si>
    <t>Actual</t>
  </si>
  <si>
    <t>Middle</t>
  </si>
  <si>
    <t>Flex</t>
  </si>
  <si>
    <t>Static</t>
  </si>
  <si>
    <t>output</t>
  </si>
  <si>
    <t>input/output</t>
  </si>
  <si>
    <t>input</t>
  </si>
  <si>
    <t>rate</t>
  </si>
  <si>
    <t>TC</t>
  </si>
  <si>
    <t>Price Var (F)</t>
  </si>
  <si>
    <t>Efficency Var (U)</t>
  </si>
  <si>
    <t>DM Shoes</t>
  </si>
  <si>
    <t>Efficency Var (F)</t>
  </si>
  <si>
    <t>total efficency Var (U)</t>
  </si>
  <si>
    <t>Problem 4</t>
  </si>
  <si>
    <t># of Jackets Sold in East Region</t>
  </si>
  <si>
    <t>Problem 10 Workspace</t>
  </si>
  <si>
    <t>Total Direct Materials Cost</t>
  </si>
  <si>
    <t>Manf. OH applied sum</t>
  </si>
  <si>
    <t>Actual total OH incurred</t>
  </si>
  <si>
    <t>Total direct labor costs</t>
  </si>
  <si>
    <t>Total Shoe Revenues</t>
  </si>
  <si>
    <t>jacket total</t>
  </si>
  <si>
    <t>Total DM Shoes</t>
  </si>
  <si>
    <t>shoes total</t>
  </si>
  <si>
    <t>Total Variable Costs</t>
  </si>
  <si>
    <t>Total DM cost - Shoes</t>
  </si>
  <si>
    <t>Revenues North</t>
  </si>
  <si>
    <t>TMC North</t>
  </si>
  <si>
    <t>GM North</t>
  </si>
  <si>
    <t>VOH=100%-60%(FOH)</t>
  </si>
  <si>
    <t>Variable OH Shoes</t>
  </si>
  <si>
    <t>Revenues East</t>
  </si>
  <si>
    <t>TMC East</t>
  </si>
  <si>
    <t>GM East</t>
  </si>
  <si>
    <t>Total CM</t>
  </si>
  <si>
    <t>Revenues South</t>
  </si>
  <si>
    <t>TMC South</t>
  </si>
  <si>
    <t>GM South</t>
  </si>
  <si>
    <t>Shoes sold</t>
  </si>
  <si>
    <t>Revenues West</t>
  </si>
  <si>
    <t>TMC West</t>
  </si>
  <si>
    <t>GM West</t>
  </si>
  <si>
    <t>Average CM Shoes</t>
  </si>
  <si>
    <t xml:space="preserve">Rounded answer </t>
  </si>
  <si>
    <t>Shoes standard</t>
  </si>
  <si>
    <t>Jackets Standard</t>
  </si>
  <si>
    <t>Overhead difference</t>
  </si>
  <si>
    <t>Hailey Gomez, and team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</si>
</sst>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43" formatCode="_(* #,##0.00_);_(* \(#,##0.00\);_(* &quot;-&quot;??_);_(@_)"/>
  </numFmts>
  <fonts count="7" x14ac:knownFonts="1">
    <font>
      <sz val="11"/>
      <color theme="1"/>
      <name val="Calibri"/>
      <family val="2"/>
      <scheme val="minor"/>
    </font>
    <font>
      <b/>
      <sz val="11"/>
      <color theme="1"/>
      <name val="Calibri"/>
      <family val="2"/>
      <scheme val="minor"/>
    </font>
    <font>
      <u/>
      <sz val="11"/>
      <color theme="10"/>
      <name val="Calibri"/>
      <family val="2"/>
      <scheme val="minor"/>
    </font>
    <font>
      <sz val="11"/>
      <color theme="1"/>
      <name val="Calibri"/>
      <family val="2"/>
      <scheme val="minor"/>
    </font>
    <font>
      <b/>
      <sz val="11"/>
      <name val="Calibri"/>
      <family val="2"/>
    </font>
    <font>
      <b/>
      <sz val="11"/>
      <color rgb="FF000000"/>
      <name val="Calibri"/>
      <family val="2"/>
      <scheme val="minor"/>
    </font>
    <font>
      <b/>
      <sz val="11"/>
      <color rgb="FF000000"/>
      <name val="Calibri"/>
      <family val="2"/>
      <scheme val="minor"/>
    </font>
  </fonts>
  <fills count="5">
    <fill>
      <patternFill patternType="none"/>
    </fill>
    <fill>
      <patternFill patternType="gray125"/>
    </fill>
    <fill>
      <patternFill patternType="solid">
        <fgColor theme="7" tint="0.79998168889431442"/>
        <bgColor indexed="64"/>
      </patternFill>
    </fill>
    <fill>
      <patternFill patternType="solid">
        <fgColor theme="0" tint="-0.14999847407452621"/>
        <bgColor indexed="64"/>
      </patternFill>
    </fill>
    <fill>
      <patternFill patternType="solid">
        <fgColor rgb="FFFFFF00"/>
        <bgColor indexed="64"/>
      </patternFill>
    </fill>
  </fills>
  <borders count="24">
    <border>
      <left/>
      <right/>
      <top/>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auto="1"/>
      </left>
      <right style="thin">
        <color auto="1"/>
      </right>
      <top style="thin">
        <color auto="1"/>
      </top>
      <bottom style="thin">
        <color auto="1"/>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5">
    <xf numFmtId="0" fontId="0" fillId="0" borderId="0"/>
    <xf numFmtId="0" fontId="2" fillId="0" borderId="0"/>
    <xf numFmtId="43" fontId="3" fillId="0" borderId="0"/>
    <xf numFmtId="9" fontId="3" fillId="0" borderId="0"/>
    <xf numFmtId="44" fontId="3" fillId="0" borderId="0" applyFont="0" applyFill="0" applyBorder="0" applyAlignment="0" applyProtection="0"/>
  </cellStyleXfs>
  <cellXfs count="107">
    <xf numFmtId="0" fontId="0" fillId="0" borderId="0" xfId="0"/>
    <xf numFmtId="0" fontId="0" fillId="0" borderId="1" xfId="0" applyBorder="1"/>
    <xf numFmtId="0" fontId="0" fillId="0" borderId="0" xfId="0" applyAlignment="1">
      <alignment horizontal="right"/>
    </xf>
    <xf numFmtId="0" fontId="2" fillId="0" borderId="0" xfId="1"/>
    <xf numFmtId="0" fontId="1" fillId="0" borderId="0" xfId="0" applyFont="1"/>
    <xf numFmtId="0" fontId="1" fillId="0" borderId="1" xfId="0" applyFont="1" applyBorder="1"/>
    <xf numFmtId="0" fontId="0" fillId="0" borderId="9" xfId="0" applyBorder="1" applyAlignment="1">
      <alignment horizontal="left" vertical="top"/>
    </xf>
    <xf numFmtId="0" fontId="0" fillId="0" borderId="0" xfId="0" applyAlignment="1">
      <alignment horizontal="left" vertical="top"/>
    </xf>
    <xf numFmtId="0" fontId="1" fillId="0" borderId="5" xfId="0" applyFont="1" applyBorder="1" applyAlignment="1">
      <alignment horizontal="right" vertical="top"/>
    </xf>
    <xf numFmtId="20" fontId="1" fillId="0" borderId="8" xfId="0" applyNumberFormat="1" applyFont="1" applyBorder="1" applyAlignment="1">
      <alignment horizontal="right" vertical="top"/>
    </xf>
    <xf numFmtId="0" fontId="0" fillId="0" borderId="0" xfId="0" applyAlignment="1">
      <alignment vertical="top"/>
    </xf>
    <xf numFmtId="0" fontId="0" fillId="0" borderId="9" xfId="0" applyBorder="1" applyAlignment="1">
      <alignment vertical="top"/>
    </xf>
    <xf numFmtId="0" fontId="1" fillId="0" borderId="8" xfId="0" applyFont="1" applyBorder="1" applyAlignment="1">
      <alignment horizontal="right" vertical="top"/>
    </xf>
    <xf numFmtId="0" fontId="0" fillId="0" borderId="8" xfId="0" applyBorder="1"/>
    <xf numFmtId="0" fontId="0" fillId="0" borderId="0" xfId="0" applyAlignment="1">
      <alignment horizontal="center" vertical="top"/>
    </xf>
    <xf numFmtId="0" fontId="1" fillId="0" borderId="8" xfId="0" applyFont="1" applyBorder="1" applyAlignment="1">
      <alignment horizontal="right"/>
    </xf>
    <xf numFmtId="0" fontId="0" fillId="0" borderId="9" xfId="0" applyBorder="1"/>
    <xf numFmtId="0" fontId="0" fillId="0" borderId="10" xfId="0" applyBorder="1"/>
    <xf numFmtId="0" fontId="0" fillId="0" borderId="11" xfId="0" applyBorder="1"/>
    <xf numFmtId="0" fontId="1" fillId="0" borderId="10" xfId="0" applyFont="1" applyBorder="1" applyAlignment="1">
      <alignment horizontal="right" vertical="top"/>
    </xf>
    <xf numFmtId="0" fontId="0" fillId="0" borderId="1" xfId="0" applyBorder="1" applyAlignment="1">
      <alignment vertical="top"/>
    </xf>
    <xf numFmtId="0" fontId="0" fillId="0" borderId="11" xfId="0" applyBorder="1" applyAlignment="1">
      <alignment vertical="top"/>
    </xf>
    <xf numFmtId="0" fontId="0" fillId="0" borderId="9" xfId="0" applyBorder="1" applyAlignment="1">
      <alignment horizontal="center" vertical="top"/>
    </xf>
    <xf numFmtId="0" fontId="0" fillId="0" borderId="9" xfId="0" applyBorder="1" applyAlignment="1">
      <alignment horizontal="center"/>
    </xf>
    <xf numFmtId="0" fontId="0" fillId="0" borderId="11" xfId="0" applyBorder="1" applyAlignment="1">
      <alignment horizontal="center" vertical="top"/>
    </xf>
    <xf numFmtId="0" fontId="0" fillId="0" borderId="13" xfId="0" applyBorder="1" applyAlignment="1">
      <alignment horizontal="center" vertical="center"/>
    </xf>
    <xf numFmtId="0" fontId="0" fillId="0" borderId="12" xfId="0" applyBorder="1" applyAlignment="1">
      <alignment horizontal="center" vertical="center"/>
    </xf>
    <xf numFmtId="0" fontId="1" fillId="0" borderId="11" xfId="0" applyFont="1" applyBorder="1" applyAlignment="1">
      <alignment horizontal="center"/>
    </xf>
    <xf numFmtId="0" fontId="1" fillId="0" borderId="10" xfId="0" applyFont="1" applyBorder="1" applyAlignment="1">
      <alignment horizontal="center"/>
    </xf>
    <xf numFmtId="0" fontId="1" fillId="0" borderId="0" xfId="0" applyFont="1" applyAlignment="1">
      <alignment horizontal="left"/>
    </xf>
    <xf numFmtId="9" fontId="0" fillId="0" borderId="0" xfId="3" applyFont="1" applyAlignment="1">
      <alignment horizontal="center"/>
    </xf>
    <xf numFmtId="0" fontId="1" fillId="0" borderId="0" xfId="0" applyFont="1" applyAlignment="1">
      <alignment horizontal="left" vertical="top"/>
    </xf>
    <xf numFmtId="0" fontId="0" fillId="0" borderId="8" xfId="0" applyBorder="1" applyAlignment="1">
      <alignment horizontal="left"/>
    </xf>
    <xf numFmtId="0" fontId="0" fillId="2" borderId="5" xfId="0" applyFill="1" applyBorder="1" applyProtection="1">
      <protection locked="0"/>
    </xf>
    <xf numFmtId="0" fontId="0" fillId="2" borderId="6" xfId="0" applyFill="1" applyBorder="1" applyProtection="1">
      <protection locked="0"/>
    </xf>
    <xf numFmtId="0" fontId="0" fillId="2" borderId="7" xfId="0" applyFill="1" applyBorder="1" applyProtection="1">
      <protection locked="0"/>
    </xf>
    <xf numFmtId="0" fontId="0" fillId="2" borderId="2" xfId="0" applyFill="1" applyBorder="1" applyProtection="1">
      <protection locked="0"/>
    </xf>
    <xf numFmtId="0" fontId="0" fillId="2" borderId="3" xfId="0" applyFill="1" applyBorder="1" applyProtection="1">
      <protection locked="0"/>
    </xf>
    <xf numFmtId="0" fontId="0" fillId="2" borderId="4" xfId="0" applyFill="1" applyBorder="1" applyProtection="1">
      <protection locked="0"/>
    </xf>
    <xf numFmtId="0" fontId="4" fillId="0" borderId="14" xfId="0" applyFont="1" applyBorder="1" applyAlignment="1">
      <alignment horizontal="center" wrapText="1"/>
    </xf>
    <xf numFmtId="0" fontId="5" fillId="0" borderId="0" xfId="0" applyFont="1"/>
    <xf numFmtId="0" fontId="1" fillId="3" borderId="14" xfId="0" applyFont="1" applyFill="1" applyBorder="1" applyAlignment="1">
      <alignment horizontal="center"/>
    </xf>
    <xf numFmtId="0" fontId="0" fillId="0" borderId="14" xfId="0" applyBorder="1" applyAlignment="1">
      <alignment horizontal="left" vertical="top" wrapText="1"/>
    </xf>
    <xf numFmtId="4" fontId="0" fillId="2" borderId="14" xfId="0" applyNumberFormat="1" applyFill="1" applyBorder="1" applyAlignment="1" applyProtection="1">
      <alignment vertical="top"/>
      <protection locked="0"/>
    </xf>
    <xf numFmtId="3" fontId="0" fillId="2" borderId="14" xfId="0" applyNumberFormat="1" applyFill="1" applyBorder="1" applyAlignment="1" applyProtection="1">
      <alignment vertical="top"/>
      <protection locked="0"/>
    </xf>
    <xf numFmtId="0" fontId="0" fillId="2" borderId="14" xfId="0" applyFill="1" applyBorder="1" applyAlignment="1" applyProtection="1">
      <alignment horizontal="right" vertical="top"/>
      <protection locked="0"/>
    </xf>
    <xf numFmtId="4" fontId="0" fillId="2" borderId="14" xfId="0" applyNumberFormat="1" applyFill="1" applyBorder="1" applyProtection="1">
      <protection locked="0"/>
    </xf>
    <xf numFmtId="0" fontId="0" fillId="2" borderId="14" xfId="0" applyFill="1" applyBorder="1" applyAlignment="1" applyProtection="1">
      <alignment horizontal="right"/>
      <protection locked="0"/>
    </xf>
    <xf numFmtId="0" fontId="0" fillId="0" borderId="14" xfId="0" applyBorder="1"/>
    <xf numFmtId="0" fontId="1" fillId="0" borderId="14" xfId="0" applyFont="1" applyBorder="1" applyAlignment="1">
      <alignment horizontal="center"/>
    </xf>
    <xf numFmtId="0" fontId="1" fillId="3" borderId="14" xfId="0" applyFont="1" applyFill="1" applyBorder="1"/>
    <xf numFmtId="0" fontId="0" fillId="3" borderId="14" xfId="0" applyFill="1" applyBorder="1"/>
    <xf numFmtId="43" fontId="0" fillId="3" borderId="14" xfId="2" applyFont="1" applyFill="1" applyBorder="1" applyAlignment="1">
      <alignment horizontal="center"/>
    </xf>
    <xf numFmtId="9" fontId="0" fillId="3" borderId="14" xfId="0" applyNumberFormat="1" applyFill="1" applyBorder="1" applyAlignment="1">
      <alignment horizontal="center"/>
    </xf>
    <xf numFmtId="0" fontId="0" fillId="3" borderId="14" xfId="0" applyFill="1" applyBorder="1" applyAlignment="1">
      <alignment horizontal="center"/>
    </xf>
    <xf numFmtId="0" fontId="1" fillId="0" borderId="14" xfId="0" applyFont="1" applyBorder="1"/>
    <xf numFmtId="43" fontId="0" fillId="0" borderId="14" xfId="2" applyFont="1" applyBorder="1" applyAlignment="1">
      <alignment horizontal="center"/>
    </xf>
    <xf numFmtId="9" fontId="0" fillId="0" borderId="14" xfId="0" applyNumberFormat="1" applyBorder="1" applyAlignment="1">
      <alignment horizontal="center"/>
    </xf>
    <xf numFmtId="0" fontId="0" fillId="0" borderId="14" xfId="0" applyBorder="1" applyAlignment="1">
      <alignment horizontal="center"/>
    </xf>
    <xf numFmtId="0" fontId="0" fillId="0" borderId="14" xfId="0" applyBorder="1" applyAlignment="1">
      <alignment horizontal="left" indent="1"/>
    </xf>
    <xf numFmtId="0" fontId="0" fillId="3" borderId="14" xfId="0" applyFill="1" applyBorder="1" applyAlignment="1">
      <alignment horizontal="left" indent="1"/>
    </xf>
    <xf numFmtId="0" fontId="0" fillId="0" borderId="14" xfId="0" applyBorder="1" applyAlignment="1">
      <alignment horizontal="left" vertical="top"/>
    </xf>
    <xf numFmtId="0" fontId="1" fillId="3" borderId="14" xfId="0" applyFont="1" applyFill="1" applyBorder="1" applyAlignment="1">
      <alignment horizontal="left" vertical="top"/>
    </xf>
    <xf numFmtId="0" fontId="1" fillId="3" borderId="14" xfId="0" applyFont="1" applyFill="1" applyBorder="1" applyAlignment="1">
      <alignment horizontal="left" vertical="top" wrapText="1"/>
    </xf>
    <xf numFmtId="0" fontId="2" fillId="0" borderId="14" xfId="1" applyBorder="1"/>
    <xf numFmtId="0" fontId="0" fillId="2" borderId="14" xfId="0" applyFill="1" applyBorder="1" applyProtection="1">
      <protection locked="0"/>
    </xf>
    <xf numFmtId="4" fontId="0" fillId="0" borderId="0" xfId="0" applyNumberFormat="1"/>
    <xf numFmtId="44" fontId="0" fillId="0" borderId="0" xfId="4" applyFont="1"/>
    <xf numFmtId="44" fontId="0" fillId="0" borderId="0" xfId="0" applyNumberFormat="1"/>
    <xf numFmtId="0" fontId="6" fillId="0" borderId="0" xfId="0" applyFont="1"/>
    <xf numFmtId="0" fontId="0" fillId="0" borderId="15" xfId="0" applyBorder="1"/>
    <xf numFmtId="0" fontId="0" fillId="0" borderId="16" xfId="0" applyBorder="1"/>
    <xf numFmtId="0" fontId="0" fillId="0" borderId="17" xfId="0" applyBorder="1"/>
    <xf numFmtId="0" fontId="0" fillId="0" borderId="18" xfId="0" applyBorder="1"/>
    <xf numFmtId="0" fontId="0" fillId="0" borderId="19" xfId="0" applyBorder="1"/>
    <xf numFmtId="0" fontId="0" fillId="0" borderId="20" xfId="0" applyBorder="1"/>
    <xf numFmtId="0" fontId="0" fillId="0" borderId="21" xfId="0" applyBorder="1"/>
    <xf numFmtId="0" fontId="0" fillId="0" borderId="22" xfId="0" applyBorder="1"/>
    <xf numFmtId="0" fontId="0" fillId="0" borderId="23" xfId="0" applyBorder="1"/>
    <xf numFmtId="43" fontId="3" fillId="0" borderId="0" xfId="2"/>
    <xf numFmtId="0" fontId="0" fillId="4" borderId="0" xfId="0" applyFill="1"/>
    <xf numFmtId="0" fontId="1" fillId="4" borderId="0" xfId="0" applyFont="1" applyFill="1"/>
    <xf numFmtId="0" fontId="0" fillId="0" borderId="14" xfId="0" applyBorder="1" applyAlignment="1">
      <alignment horizontal="center" vertical="center"/>
    </xf>
    <xf numFmtId="0" fontId="0" fillId="0" borderId="13" xfId="0" applyBorder="1"/>
    <xf numFmtId="0" fontId="0" fillId="0" borderId="12" xfId="0" applyBorder="1"/>
    <xf numFmtId="0" fontId="0" fillId="0" borderId="6" xfId="0" applyBorder="1" applyAlignment="1">
      <alignment horizontal="left" vertical="top" wrapText="1"/>
    </xf>
    <xf numFmtId="0" fontId="0" fillId="0" borderId="6" xfId="0" applyBorder="1"/>
    <xf numFmtId="0" fontId="0" fillId="0" borderId="0" xfId="0"/>
    <xf numFmtId="0" fontId="1" fillId="3" borderId="14" xfId="0" applyFont="1" applyFill="1" applyBorder="1" applyAlignment="1">
      <alignment horizontal="center"/>
    </xf>
    <xf numFmtId="0" fontId="0" fillId="0" borderId="3" xfId="0" applyBorder="1"/>
    <xf numFmtId="0" fontId="0" fillId="0" borderId="4" xfId="0" applyBorder="1"/>
    <xf numFmtId="0" fontId="0" fillId="0" borderId="9" xfId="0" applyBorder="1" applyAlignment="1">
      <alignment horizontal="left" vertical="top" wrapText="1"/>
    </xf>
    <xf numFmtId="0" fontId="0" fillId="0" borderId="9" xfId="0" applyBorder="1"/>
    <xf numFmtId="0" fontId="0" fillId="0" borderId="9" xfId="0" applyBorder="1" applyAlignment="1">
      <alignment horizontal="left" vertical="top"/>
    </xf>
    <xf numFmtId="0" fontId="0" fillId="0" borderId="7" xfId="0" applyBorder="1" applyAlignment="1">
      <alignment horizontal="left" vertical="top"/>
    </xf>
    <xf numFmtId="0" fontId="0" fillId="0" borderId="7" xfId="0" applyBorder="1"/>
    <xf numFmtId="0" fontId="0" fillId="0" borderId="0" xfId="0" applyAlignment="1">
      <alignment horizontal="left" vertical="top"/>
    </xf>
    <xf numFmtId="0" fontId="1" fillId="0" borderId="14" xfId="0" applyFont="1" applyBorder="1" applyAlignment="1">
      <alignment horizontal="right" vertical="top"/>
    </xf>
    <xf numFmtId="0" fontId="0" fillId="0" borderId="12" xfId="0" applyBorder="1" applyAlignment="1">
      <alignment horizontal="left" vertical="top" wrapText="1"/>
    </xf>
    <xf numFmtId="0" fontId="0" fillId="0" borderId="1" xfId="0" applyBorder="1"/>
    <xf numFmtId="0" fontId="0" fillId="0" borderId="11" xfId="0" applyBorder="1"/>
    <xf numFmtId="0" fontId="0" fillId="0" borderId="14" xfId="0" applyBorder="1" applyAlignment="1">
      <alignment horizontal="left" vertical="top" wrapText="1"/>
    </xf>
    <xf numFmtId="0" fontId="0" fillId="0" borderId="8" xfId="0" applyBorder="1"/>
    <xf numFmtId="0" fontId="0" fillId="0" borderId="10" xfId="0" applyBorder="1"/>
    <xf numFmtId="0" fontId="1" fillId="0" borderId="0" xfId="0" applyFont="1" applyAlignment="1">
      <alignment horizontal="center"/>
    </xf>
    <xf numFmtId="0" fontId="0" fillId="0" borderId="14" xfId="0" applyBorder="1" applyAlignment="1">
      <alignment horizontal="left" vertical="top"/>
    </xf>
    <xf numFmtId="0" fontId="1" fillId="0" borderId="0" xfId="0" applyFont="1" applyAlignment="1">
      <alignment horizontal="left"/>
    </xf>
  </cellXfs>
  <cellStyles count="5">
    <cellStyle name="Comma" xfId="2" builtinId="3"/>
    <cellStyle name="Currency" xfId="4" builtinId="4"/>
    <cellStyle name="Hyperlink" xfId="1" builtinId="8"/>
    <cellStyle name="Normal" xfId="0" builtinId="0"/>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calcChain" Target="calcChain.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wen Griffin" refreshedDate="46132.02903622685" createdVersion="8" refreshedVersion="8" minRefreshableVersion="3" recordCount="1702" xr:uid="{256B92AC-AC62-4D31-B233-86A575589131}">
  <cacheSource type="worksheet">
    <worksheetSource ref="A1:J1703" sheet="Data"/>
  </cacheSource>
  <cacheFields count="10">
    <cacheField name="Job ID" numFmtId="0">
      <sharedItems containsSemiMixedTypes="0" containsString="0" containsNumber="1" containsInteger="1" minValue="132" maxValue="1833" count="1702">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19"/>
        <n v="1120"/>
        <n v="1121"/>
        <n v="1122"/>
        <n v="1123"/>
        <n v="1124"/>
        <n v="1125"/>
        <n v="1126"/>
        <n v="1127"/>
        <n v="1128"/>
        <n v="1129"/>
        <n v="1130"/>
        <n v="1131"/>
        <n v="1132"/>
        <n v="1133"/>
        <n v="1134"/>
        <n v="1135"/>
        <n v="1136"/>
        <n v="1137"/>
        <n v="1138"/>
        <n v="1139"/>
        <n v="1140"/>
        <n v="1141"/>
        <n v="1142"/>
        <n v="1143"/>
        <n v="1144"/>
        <n v="1145"/>
        <n v="1146"/>
        <n v="1147"/>
        <n v="1148"/>
        <n v="1149"/>
        <n v="1150"/>
        <n v="1151"/>
        <n v="1152"/>
        <n v="1153"/>
        <n v="1154"/>
        <n v="1155"/>
        <n v="1156"/>
        <n v="1157"/>
        <n v="1158"/>
        <n v="1159"/>
        <n v="1160"/>
        <n v="1161"/>
        <n v="1162"/>
        <n v="1163"/>
        <n v="1164"/>
        <n v="1165"/>
        <n v="1166"/>
        <n v="1167"/>
        <n v="1168"/>
        <n v="1169"/>
        <n v="1170"/>
        <n v="1171"/>
        <n v="1172"/>
        <n v="1173"/>
        <n v="1174"/>
        <n v="1175"/>
        <n v="1176"/>
        <n v="1177"/>
        <n v="1178"/>
        <n v="1179"/>
        <n v="1180"/>
        <n v="1181"/>
        <n v="1182"/>
        <n v="1183"/>
        <n v="1184"/>
        <n v="1185"/>
        <n v="1186"/>
        <n v="1187"/>
        <n v="1188"/>
        <n v="1189"/>
        <n v="1190"/>
        <n v="1191"/>
        <n v="1192"/>
        <n v="1193"/>
        <n v="1194"/>
        <n v="1195"/>
        <n v="1196"/>
        <n v="1197"/>
        <n v="1198"/>
        <n v="1199"/>
        <n v="1200"/>
        <n v="1201"/>
        <n v="1202"/>
        <n v="1203"/>
        <n v="1204"/>
        <n v="1205"/>
        <n v="1206"/>
        <n v="1207"/>
        <n v="1208"/>
        <n v="1209"/>
        <n v="1210"/>
        <n v="1211"/>
        <n v="1212"/>
        <n v="1213"/>
        <n v="1214"/>
        <n v="1215"/>
        <n v="1216"/>
        <n v="1217"/>
        <n v="1218"/>
        <n v="1219"/>
        <n v="1220"/>
        <n v="1221"/>
        <n v="1222"/>
        <n v="1223"/>
        <n v="1224"/>
        <n v="1225"/>
        <n v="1226"/>
        <n v="1227"/>
        <n v="1228"/>
        <n v="1229"/>
        <n v="1230"/>
        <n v="1231"/>
        <n v="1232"/>
        <n v="1233"/>
        <n v="1234"/>
        <n v="1235"/>
        <n v="1236"/>
        <n v="1237"/>
        <n v="1238"/>
        <n v="1239"/>
        <n v="1240"/>
        <n v="1241"/>
        <n v="1242"/>
        <n v="1243"/>
        <n v="1244"/>
        <n v="1245"/>
        <n v="1246"/>
        <n v="1247"/>
        <n v="1248"/>
        <n v="1249"/>
        <n v="1250"/>
        <n v="1251"/>
        <n v="1252"/>
        <n v="1253"/>
        <n v="1254"/>
        <n v="1255"/>
        <n v="1256"/>
        <n v="1257"/>
        <n v="1258"/>
        <n v="1259"/>
        <n v="1260"/>
        <n v="1261"/>
        <n v="1262"/>
        <n v="1263"/>
        <n v="1264"/>
        <n v="1265"/>
        <n v="1266"/>
        <n v="1267"/>
        <n v="1268"/>
        <n v="1269"/>
        <n v="1270"/>
        <n v="1271"/>
        <n v="1272"/>
        <n v="1273"/>
        <n v="1274"/>
        <n v="1275"/>
        <n v="1276"/>
        <n v="1277"/>
        <n v="1278"/>
        <n v="1279"/>
        <n v="1280"/>
        <n v="1281"/>
        <n v="1282"/>
        <n v="1283"/>
        <n v="1284"/>
        <n v="1285"/>
        <n v="1286"/>
        <n v="1287"/>
        <n v="1288"/>
        <n v="1289"/>
        <n v="1290"/>
        <n v="1291"/>
        <n v="1292"/>
        <n v="1293"/>
        <n v="1294"/>
        <n v="1295"/>
        <n v="1296"/>
        <n v="1297"/>
        <n v="1298"/>
        <n v="1299"/>
        <n v="1300"/>
        <n v="1301"/>
        <n v="1302"/>
        <n v="1303"/>
        <n v="1304"/>
        <n v="1305"/>
        <n v="1306"/>
        <n v="1307"/>
        <n v="1308"/>
        <n v="1309"/>
        <n v="1310"/>
        <n v="1311"/>
        <n v="1312"/>
        <n v="1313"/>
        <n v="1314"/>
        <n v="1315"/>
        <n v="1316"/>
        <n v="1317"/>
        <n v="1318"/>
        <n v="1319"/>
        <n v="1320"/>
        <n v="1321"/>
        <n v="1322"/>
        <n v="1323"/>
        <n v="1324"/>
        <n v="1325"/>
        <n v="1326"/>
        <n v="1327"/>
        <n v="1328"/>
        <n v="1329"/>
        <n v="1330"/>
        <n v="1331"/>
        <n v="1332"/>
        <n v="1333"/>
        <n v="1334"/>
        <n v="1335"/>
        <n v="1336"/>
        <n v="1337"/>
        <n v="1338"/>
        <n v="1339"/>
        <n v="1340"/>
        <n v="1341"/>
        <n v="1342"/>
        <n v="1343"/>
        <n v="1344"/>
        <n v="1345"/>
        <n v="1346"/>
        <n v="1347"/>
        <n v="1348"/>
        <n v="1349"/>
        <n v="1350"/>
        <n v="1351"/>
        <n v="1352"/>
        <n v="1353"/>
        <n v="1354"/>
        <n v="1355"/>
        <n v="1356"/>
        <n v="1357"/>
        <n v="1358"/>
        <n v="1359"/>
        <n v="1360"/>
        <n v="1361"/>
        <n v="1362"/>
        <n v="1363"/>
        <n v="1364"/>
        <n v="1365"/>
        <n v="1366"/>
        <n v="1367"/>
        <n v="1368"/>
        <n v="1369"/>
        <n v="1370"/>
        <n v="1371"/>
        <n v="1372"/>
        <n v="1373"/>
        <n v="1374"/>
        <n v="1375"/>
        <n v="1376"/>
        <n v="1377"/>
        <n v="1378"/>
        <n v="1379"/>
        <n v="1380"/>
        <n v="1381"/>
        <n v="1382"/>
        <n v="1383"/>
        <n v="1384"/>
        <n v="1385"/>
        <n v="1386"/>
        <n v="1387"/>
        <n v="1388"/>
        <n v="1389"/>
        <n v="1390"/>
        <n v="1391"/>
        <n v="1392"/>
        <n v="1393"/>
        <n v="1394"/>
        <n v="1395"/>
        <n v="1396"/>
        <n v="1397"/>
        <n v="1398"/>
        <n v="1399"/>
        <n v="1400"/>
        <n v="1401"/>
        <n v="1402"/>
        <n v="1403"/>
        <n v="1404"/>
        <n v="1405"/>
        <n v="1406"/>
        <n v="1407"/>
        <n v="1408"/>
        <n v="1409"/>
        <n v="1410"/>
        <n v="1411"/>
        <n v="1412"/>
        <n v="1413"/>
        <n v="1414"/>
        <n v="1415"/>
        <n v="1416"/>
        <n v="1417"/>
        <n v="1418"/>
        <n v="1419"/>
        <n v="1420"/>
        <n v="1421"/>
        <n v="1422"/>
        <n v="1423"/>
        <n v="1424"/>
        <n v="1425"/>
        <n v="1426"/>
        <n v="1427"/>
        <n v="1428"/>
        <n v="1429"/>
        <n v="1430"/>
        <n v="1431"/>
        <n v="1432"/>
        <n v="1433"/>
        <n v="1434"/>
        <n v="1435"/>
        <n v="1436"/>
        <n v="1437"/>
        <n v="1438"/>
        <n v="1439"/>
        <n v="1440"/>
        <n v="1441"/>
        <n v="1442"/>
        <n v="1443"/>
        <n v="1444"/>
        <n v="1445"/>
        <n v="1446"/>
        <n v="1447"/>
        <n v="1448"/>
        <n v="1449"/>
        <n v="1450"/>
        <n v="1451"/>
        <n v="1452"/>
        <n v="1453"/>
        <n v="1454"/>
        <n v="1455"/>
        <n v="1456"/>
        <n v="1457"/>
        <n v="1458"/>
        <n v="1459"/>
        <n v="1460"/>
        <n v="1461"/>
        <n v="1462"/>
        <n v="1463"/>
        <n v="1464"/>
        <n v="1465"/>
        <n v="1466"/>
        <n v="1467"/>
        <n v="1468"/>
        <n v="1469"/>
        <n v="1470"/>
        <n v="1471"/>
        <n v="1472"/>
        <n v="1473"/>
        <n v="1474"/>
        <n v="1475"/>
        <n v="1476"/>
        <n v="1477"/>
        <n v="1478"/>
        <n v="1479"/>
        <n v="1480"/>
        <n v="1481"/>
        <n v="1482"/>
        <n v="1483"/>
        <n v="1484"/>
        <n v="1485"/>
        <n v="1486"/>
        <n v="1487"/>
        <n v="1488"/>
        <n v="1489"/>
        <n v="1490"/>
        <n v="1491"/>
        <n v="1492"/>
        <n v="1493"/>
        <n v="1494"/>
        <n v="1495"/>
        <n v="1496"/>
        <n v="1497"/>
        <n v="1498"/>
        <n v="1499"/>
        <n v="1500"/>
        <n v="1501"/>
        <n v="1502"/>
        <n v="1503"/>
        <n v="1504"/>
        <n v="1505"/>
        <n v="1506"/>
        <n v="1507"/>
        <n v="1508"/>
        <n v="1509"/>
        <n v="1510"/>
        <n v="1511"/>
        <n v="1512"/>
        <n v="1513"/>
        <n v="1514"/>
        <n v="1515"/>
        <n v="1516"/>
        <n v="1517"/>
        <n v="1518"/>
        <n v="1519"/>
        <n v="1520"/>
        <n v="1521"/>
        <n v="1522"/>
        <n v="1523"/>
        <n v="1524"/>
        <n v="1525"/>
        <n v="1526"/>
        <n v="1527"/>
        <n v="1528"/>
        <n v="1529"/>
        <n v="1530"/>
        <n v="1531"/>
        <n v="1532"/>
        <n v="1533"/>
        <n v="1534"/>
        <n v="1535"/>
        <n v="1536"/>
        <n v="1537"/>
        <n v="1538"/>
        <n v="1539"/>
        <n v="1540"/>
        <n v="1541"/>
        <n v="1542"/>
        <n v="1543"/>
        <n v="1544"/>
        <n v="1545"/>
        <n v="1546"/>
        <n v="1547"/>
        <n v="1548"/>
        <n v="1549"/>
        <n v="1550"/>
        <n v="1551"/>
        <n v="1552"/>
        <n v="1553"/>
        <n v="1554"/>
        <n v="1555"/>
        <n v="1556"/>
        <n v="1557"/>
        <n v="1558"/>
        <n v="1559"/>
        <n v="1560"/>
        <n v="1561"/>
        <n v="1562"/>
        <n v="1563"/>
        <n v="1564"/>
        <n v="1565"/>
        <n v="1566"/>
        <n v="1567"/>
        <n v="1568"/>
        <n v="1569"/>
        <n v="1570"/>
        <n v="1571"/>
        <n v="1572"/>
        <n v="1573"/>
        <n v="1574"/>
        <n v="1575"/>
        <n v="1576"/>
        <n v="1577"/>
        <n v="1578"/>
        <n v="1579"/>
        <n v="1580"/>
        <n v="1581"/>
        <n v="1582"/>
        <n v="1583"/>
        <n v="1584"/>
        <n v="1585"/>
        <n v="1586"/>
        <n v="1587"/>
        <n v="1588"/>
        <n v="1589"/>
        <n v="1590"/>
        <n v="1591"/>
        <n v="1592"/>
        <n v="1593"/>
        <n v="1594"/>
        <n v="1595"/>
        <n v="1596"/>
        <n v="1597"/>
        <n v="1598"/>
        <n v="1599"/>
        <n v="1600"/>
        <n v="1601"/>
        <n v="1602"/>
        <n v="1603"/>
        <n v="1604"/>
        <n v="1605"/>
        <n v="1606"/>
        <n v="1607"/>
        <n v="1608"/>
        <n v="1609"/>
        <n v="1610"/>
        <n v="1611"/>
        <n v="1612"/>
        <n v="1613"/>
        <n v="1614"/>
        <n v="1615"/>
        <n v="1616"/>
        <n v="1617"/>
        <n v="1618"/>
        <n v="1619"/>
        <n v="1620"/>
        <n v="1621"/>
        <n v="1622"/>
        <n v="1623"/>
        <n v="1624"/>
        <n v="1625"/>
        <n v="1626"/>
        <n v="1627"/>
        <n v="1628"/>
        <n v="1629"/>
        <n v="1630"/>
        <n v="1631"/>
        <n v="1632"/>
        <n v="1633"/>
        <n v="1634"/>
        <n v="1635"/>
        <n v="1636"/>
        <n v="1637"/>
        <n v="1638"/>
        <n v="1639"/>
        <n v="1640"/>
        <n v="1641"/>
        <n v="1642"/>
        <n v="1643"/>
        <n v="1644"/>
        <n v="1645"/>
        <n v="1646"/>
        <n v="1647"/>
        <n v="1648"/>
        <n v="1649"/>
        <n v="1650"/>
        <n v="1651"/>
        <n v="1652"/>
        <n v="1653"/>
        <n v="1654"/>
        <n v="1655"/>
        <n v="1656"/>
        <n v="1657"/>
        <n v="1658"/>
        <n v="1659"/>
        <n v="1660"/>
        <n v="1661"/>
        <n v="1662"/>
        <n v="1663"/>
        <n v="1664"/>
        <n v="1665"/>
        <n v="1666"/>
        <n v="1667"/>
        <n v="1668"/>
        <n v="1669"/>
        <n v="1670"/>
        <n v="1671"/>
        <n v="1672"/>
        <n v="1673"/>
        <n v="1674"/>
        <n v="1675"/>
        <n v="1676"/>
        <n v="1677"/>
        <n v="1678"/>
        <n v="1679"/>
        <n v="1680"/>
        <n v="1681"/>
        <n v="1682"/>
        <n v="1683"/>
        <n v="1684"/>
        <n v="1685"/>
        <n v="1686"/>
        <n v="1687"/>
        <n v="1688"/>
        <n v="1689"/>
        <n v="1690"/>
        <n v="1691"/>
        <n v="1692"/>
        <n v="1693"/>
        <n v="1694"/>
        <n v="1695"/>
        <n v="1696"/>
        <n v="1697"/>
        <n v="1698"/>
        <n v="1699"/>
        <n v="1700"/>
        <n v="1701"/>
        <n v="1702"/>
        <n v="1703"/>
        <n v="1704"/>
        <n v="1705"/>
        <n v="1706"/>
        <n v="1707"/>
        <n v="1708"/>
        <n v="1709"/>
        <n v="1710"/>
        <n v="1711"/>
        <n v="1712"/>
        <n v="1713"/>
        <n v="1714"/>
        <n v="1715"/>
        <n v="1716"/>
        <n v="1717"/>
        <n v="1718"/>
        <n v="1719"/>
        <n v="1720"/>
        <n v="1721"/>
        <n v="1722"/>
        <n v="1723"/>
        <n v="1724"/>
        <n v="1725"/>
        <n v="1726"/>
        <n v="1727"/>
        <n v="1728"/>
        <n v="1729"/>
        <n v="1730"/>
        <n v="1731"/>
        <n v="1732"/>
        <n v="1733"/>
        <n v="1734"/>
        <n v="1735"/>
        <n v="1736"/>
        <n v="1737"/>
        <n v="1738"/>
        <n v="1739"/>
        <n v="1740"/>
        <n v="1741"/>
        <n v="1742"/>
        <n v="1743"/>
        <n v="1744"/>
        <n v="1745"/>
        <n v="1746"/>
        <n v="1747"/>
        <n v="1748"/>
        <n v="1749"/>
        <n v="1750"/>
        <n v="1751"/>
        <n v="1752"/>
        <n v="1753"/>
        <n v="1754"/>
        <n v="1755"/>
        <n v="1756"/>
        <n v="1757"/>
        <n v="1758"/>
        <n v="1759"/>
        <n v="1760"/>
        <n v="1761"/>
        <n v="1762"/>
        <n v="1763"/>
        <n v="1764"/>
        <n v="1765"/>
        <n v="1766"/>
        <n v="1767"/>
        <n v="1768"/>
        <n v="1769"/>
        <n v="1770"/>
        <n v="1771"/>
        <n v="1772"/>
        <n v="1773"/>
        <n v="1774"/>
        <n v="1775"/>
        <n v="1776"/>
        <n v="1777"/>
        <n v="1778"/>
        <n v="1779"/>
        <n v="1780"/>
        <n v="1781"/>
        <n v="1782"/>
        <n v="1783"/>
        <n v="1784"/>
        <n v="1785"/>
        <n v="1786"/>
        <n v="1787"/>
        <n v="1788"/>
        <n v="1789"/>
        <n v="1790"/>
        <n v="1791"/>
        <n v="1792"/>
        <n v="1793"/>
        <n v="1794"/>
        <n v="1795"/>
        <n v="1796"/>
        <n v="1797"/>
        <n v="1798"/>
        <n v="1799"/>
        <n v="1800"/>
        <n v="1801"/>
        <n v="1802"/>
        <n v="1803"/>
        <n v="1804"/>
        <n v="1805"/>
        <n v="1806"/>
        <n v="1807"/>
        <n v="1808"/>
        <n v="1809"/>
        <n v="1810"/>
        <n v="1811"/>
        <n v="1812"/>
        <n v="1813"/>
        <n v="1814"/>
        <n v="1815"/>
        <n v="1816"/>
        <n v="1817"/>
        <n v="1818"/>
        <n v="1819"/>
        <n v="1820"/>
        <n v="1821"/>
        <n v="1822"/>
        <n v="1823"/>
        <n v="1824"/>
        <n v="1825"/>
        <n v="1826"/>
        <n v="1827"/>
        <n v="1828"/>
        <n v="1829"/>
        <n v="1830"/>
        <n v="1831"/>
        <n v="1832"/>
        <n v="1833"/>
      </sharedItems>
    </cacheField>
    <cacheField name="Customer ID" numFmtId="0">
      <sharedItems containsSemiMixedTypes="0" containsString="0" containsNumber="1" containsInteger="1" minValue="1247" maxValue="1391"/>
    </cacheField>
    <cacheField name="Region" numFmtId="0">
      <sharedItems count="4">
        <s v="South"/>
        <s v="West"/>
        <s v="East"/>
        <s v="North"/>
      </sharedItems>
    </cacheField>
    <cacheField name="Product" numFmtId="0">
      <sharedItems count="2">
        <s v="JACKET"/>
        <s v="SHOES"/>
      </sharedItems>
    </cacheField>
    <cacheField name="Units Produced and Sold" numFmtId="0">
      <sharedItems containsSemiMixedTypes="0" containsString="0" containsNumber="1" containsInteger="1" minValue="3" maxValue="655"/>
    </cacheField>
    <cacheField name="Cost per Foot of Leather" numFmtId="0">
      <sharedItems containsSemiMixedTypes="0" containsString="0" containsNumber="1" minValue="11.52" maxValue="22.33" count="677">
        <n v="19.43"/>
        <n v="18.670000000000002"/>
        <n v="19.38"/>
        <n v="14.68"/>
        <n v="15.87"/>
        <n v="20.170000000000002"/>
        <n v="15.54"/>
        <n v="22.01"/>
        <n v="20"/>
        <n v="15.57"/>
        <n v="15.25"/>
        <n v="17.420000000000002"/>
        <n v="18.850000000000001"/>
        <n v="16.64"/>
        <n v="19.45"/>
        <n v="19.2"/>
        <n v="20.010000000000002"/>
        <n v="20.85"/>
        <n v="14.91"/>
        <n v="15.52"/>
        <n v="18.95"/>
        <n v="19.559999999999999"/>
        <n v="15.71"/>
        <n v="19.86"/>
        <n v="17.2"/>
        <n v="14.24"/>
        <n v="19.39"/>
        <n v="19.22"/>
        <n v="13.45"/>
        <n v="18.690000000000001"/>
        <n v="15.4"/>
        <n v="19.54"/>
        <n v="13.65"/>
        <n v="20.100000000000001"/>
        <n v="14.21"/>
        <n v="21"/>
        <n v="15.3"/>
        <n v="15.21"/>
        <n v="18.940000000000001"/>
        <n v="19.8"/>
        <n v="13.49"/>
        <n v="13.93"/>
        <n v="19.170000000000002"/>
        <n v="15.42"/>
        <n v="16.95"/>
        <n v="13.85"/>
        <n v="16.89"/>
        <n v="14.15"/>
        <n v="21.8"/>
        <n v="13.02"/>
        <n v="13.9"/>
        <n v="13.95"/>
        <n v="19.190000000000001"/>
        <n v="18.87"/>
        <n v="14.7"/>
        <n v="19.02"/>
        <n v="20.98"/>
        <n v="15.46"/>
        <n v="18.63"/>
        <n v="20.84"/>
        <n v="14.77"/>
        <n v="13.77"/>
        <n v="16.05"/>
        <n v="14.86"/>
        <n v="13.17"/>
        <n v="20.36"/>
        <n v="18.23"/>
        <n v="15.53"/>
        <n v="15.47"/>
        <n v="19.350000000000001"/>
        <n v="18.27"/>
        <n v="18.62"/>
        <n v="14.25"/>
        <n v="19.850000000000001"/>
        <n v="16.87"/>
        <n v="14.62"/>
        <n v="19.79"/>
        <n v="14.75"/>
        <n v="18.73"/>
        <n v="14.42"/>
        <n v="19.93"/>
        <n v="15.27"/>
        <n v="20.32"/>
        <n v="20.61"/>
        <n v="20.329999999999998"/>
        <n v="21.93"/>
        <n v="14.76"/>
        <n v="17.91"/>
        <n v="15.56"/>
        <n v="14.28"/>
        <n v="20.97"/>
        <n v="18.38"/>
        <n v="15.19"/>
        <n v="20.13"/>
        <n v="19.87"/>
        <n v="14.94"/>
        <n v="12.97"/>
        <n v="14"/>
        <n v="19.47"/>
        <n v="13.78"/>
        <n v="19.88"/>
        <n v="15.48"/>
        <n v="18.8"/>
        <n v="18.02"/>
        <n v="15.04"/>
        <n v="16.55"/>
        <n v="19.059999999999999"/>
        <n v="18.93"/>
        <n v="15.44"/>
        <n v="14.1"/>
        <n v="19.920000000000002"/>
        <n v="21.36"/>
        <n v="14.88"/>
        <n v="21.28"/>
        <n v="20.420000000000002"/>
        <n v="15.13"/>
        <n v="18.489999999999998"/>
        <n v="20.260000000000002"/>
        <n v="19.989999999999998"/>
        <n v="19.36"/>
        <n v="16.43"/>
        <n v="17.84"/>
        <n v="12.43"/>
        <n v="16.39"/>
        <n v="21.22"/>
        <n v="15.26"/>
        <n v="19.52"/>
        <n v="16.079999999999998"/>
        <n v="19.239999999999998"/>
        <n v="18.739999999999998"/>
        <n v="14.2"/>
        <n v="21.32"/>
        <n v="19.07"/>
        <n v="13.91"/>
        <n v="15.11"/>
        <n v="14.55"/>
        <n v="14.07"/>
        <n v="15.18"/>
        <n v="21.59"/>
        <n v="19.04"/>
        <n v="14.82"/>
        <n v="18.39"/>
        <n v="19.37"/>
        <n v="15.82"/>
        <n v="19.05"/>
        <n v="18.920000000000002"/>
        <n v="14.8"/>
        <n v="20.66"/>
        <n v="19.489999999999998"/>
        <n v="14.37"/>
        <n v="15.85"/>
        <n v="19.55"/>
        <n v="20.02"/>
        <n v="16.38"/>
        <n v="14.74"/>
        <n v="18.07"/>
        <n v="19.46"/>
        <n v="20.95"/>
        <n v="19.32"/>
        <n v="18.579999999999998"/>
        <n v="15.8"/>
        <n v="18.53"/>
        <n v="19.29"/>
        <n v="19.61"/>
        <n v="13.34"/>
        <n v="14.52"/>
        <n v="20.399999999999999"/>
        <n v="18.47"/>
        <n v="18.399999999999999"/>
        <n v="22.33"/>
        <n v="20.73"/>
        <n v="21.88"/>
        <n v="16.04"/>
        <n v="17.850000000000001"/>
        <n v="14.6"/>
        <n v="17.22"/>
        <n v="19.57"/>
        <n v="20.23"/>
        <n v="14.11"/>
        <n v="18.89"/>
        <n v="14.49"/>
        <n v="18.600000000000001"/>
        <n v="21.43"/>
        <n v="18.48"/>
        <n v="13.68"/>
        <n v="19.97"/>
        <n v="14.26"/>
        <n v="14.09"/>
        <n v="15.38"/>
        <n v="17.25"/>
        <n v="19.3"/>
        <n v="21.2"/>
        <n v="13.04"/>
        <n v="20.55"/>
        <n v="15.08"/>
        <n v="21.33"/>
        <n v="20.96"/>
        <n v="14.99"/>
        <n v="13.84"/>
        <n v="20.9"/>
        <n v="20.14"/>
        <n v="13.46"/>
        <n v="20.37"/>
        <n v="14.41"/>
        <n v="20.53"/>
        <n v="12.94"/>
        <n v="19.690000000000001"/>
        <n v="14.47"/>
        <n v="15.15"/>
        <n v="14.35"/>
        <n v="14.48"/>
        <n v="19.89"/>
        <n v="16.559999999999999"/>
        <n v="18.12"/>
        <n v="14.56"/>
        <n v="20.05"/>
        <n v="14.36"/>
        <n v="14.67"/>
        <n v="15.24"/>
        <n v="21.18"/>
        <n v="14.54"/>
        <n v="12.92"/>
        <n v="14.3"/>
        <n v="12.61"/>
        <n v="13.2"/>
        <n v="16.34"/>
        <n v="15.55"/>
        <n v="16.78"/>
        <n v="18.96"/>
        <n v="13.89"/>
        <n v="19.21"/>
        <n v="18.149999999999999"/>
        <n v="21.58"/>
        <n v="20.149999999999999"/>
        <n v="14.19"/>
        <n v="19.899999999999999"/>
        <n v="20.92"/>
        <n v="20.65"/>
        <n v="20.11"/>
        <n v="20.41"/>
        <n v="19.440000000000001"/>
        <n v="14.5"/>
        <n v="21.46"/>
        <n v="13.36"/>
        <n v="12.55"/>
        <n v="14.96"/>
        <n v="16.45"/>
        <n v="20.39"/>
        <n v="13.64"/>
        <n v="15.23"/>
        <n v="15.66"/>
        <n v="15.99"/>
        <n v="20.81"/>
        <n v="15.28"/>
        <n v="19.53"/>
        <n v="20.38"/>
        <n v="20.56"/>
        <n v="22.1"/>
        <n v="19.420000000000002"/>
        <n v="14.61"/>
        <n v="19.809999999999999"/>
        <n v="13.86"/>
        <n v="15.07"/>
        <n v="15.61"/>
        <n v="14.69"/>
        <n v="14.53"/>
        <n v="20.04"/>
        <n v="16.399999999999999"/>
        <n v="19.68"/>
        <n v="19.84"/>
        <n v="19.41"/>
        <n v="14.17"/>
        <n v="13.14"/>
        <n v="15.83"/>
        <n v="20.88"/>
        <n v="19.66"/>
        <n v="17.899999999999999"/>
        <n v="14.59"/>
        <n v="14.45"/>
        <n v="14.81"/>
        <n v="18.899999999999999"/>
        <n v="13.5"/>
        <n v="21.75"/>
        <n v="14.72"/>
        <n v="18.98"/>
        <n v="14.87"/>
        <n v="15.51"/>
        <n v="20.16"/>
        <n v="20.09"/>
        <n v="15.59"/>
        <n v="15.35"/>
        <n v="13.39"/>
        <n v="19.73"/>
        <n v="20.82"/>
        <n v="13.59"/>
        <n v="19.72"/>
        <n v="14.9"/>
        <n v="15.03"/>
        <n v="13.42"/>
        <n v="16.510000000000002"/>
        <n v="14.02"/>
        <n v="14.92"/>
        <n v="14.04"/>
        <n v="13.81"/>
        <n v="15.16"/>
        <n v="14.58"/>
        <n v="18.66"/>
        <n v="21.86"/>
        <n v="19.23"/>
        <n v="20.079999999999998"/>
        <n v="19.64"/>
        <n v="14.73"/>
        <n v="20.89"/>
        <n v="20.62"/>
        <n v="13.55"/>
        <n v="14.31"/>
        <n v="18.37"/>
        <n v="20.76"/>
        <n v="19.829999999999998"/>
        <n v="18.079999999999998"/>
        <n v="18.41"/>
        <n v="15.69"/>
        <n v="19.96"/>
        <n v="20.69"/>
        <n v="15.05"/>
        <n v="15.45"/>
        <n v="21.01"/>
        <n v="15.89"/>
        <n v="19.71"/>
        <n v="19.63"/>
        <n v="19.28"/>
        <n v="20.48"/>
        <n v="19.649999999999999"/>
        <n v="19.12"/>
        <n v="15.6"/>
        <n v="14.4"/>
        <n v="15.78"/>
        <n v="19.5"/>
        <n v="18.46"/>
        <n v="20.25"/>
        <n v="18.25"/>
        <n v="19.260000000000002"/>
        <n v="12.95"/>
        <n v="20.67"/>
        <n v="14.66"/>
        <n v="15.7"/>
        <n v="19.309999999999999"/>
        <n v="14.46"/>
        <n v="13.74"/>
        <n v="13.98"/>
        <n v="20.43"/>
        <n v="15.14"/>
        <n v="19.13"/>
        <n v="17.02"/>
        <n v="15.1"/>
        <n v="15.72"/>
        <n v="14.85"/>
        <n v="14.34"/>
        <n v="18.54"/>
        <n v="16.3"/>
        <n v="21.39"/>
        <n v="19.670000000000002"/>
        <n v="20.21"/>
        <n v="18.28"/>
        <n v="18.32"/>
        <n v="13.97"/>
        <n v="20.99"/>
        <n v="19.11"/>
        <n v="14.89"/>
        <n v="16.350000000000001"/>
        <n v="20.059999999999999"/>
        <n v="20.29"/>
        <n v="17.05"/>
        <n v="12.8"/>
        <n v="16.7"/>
        <n v="18.989999999999998"/>
        <n v="18.010000000000002"/>
        <n v="19.16"/>
        <n v="12.98"/>
        <n v="14.39"/>
        <n v="13.71"/>
        <n v="20.34"/>
        <n v="18.420000000000002"/>
        <n v="20.75"/>
        <n v="19.91"/>
        <n v="18.440000000000001"/>
        <n v="14.93"/>
        <n v="16.27"/>
        <n v="13.83"/>
        <n v="14.65"/>
        <n v="21.31"/>
        <n v="19.75"/>
        <n v="19.27"/>
        <n v="14.13"/>
        <n v="15.36"/>
        <n v="20.12"/>
        <n v="15.58"/>
        <n v="13.28"/>
        <n v="21.37"/>
        <n v="16.53"/>
        <n v="20.59"/>
        <n v="14.05"/>
        <n v="16.440000000000001"/>
        <n v="18.760000000000002"/>
        <n v="18.52"/>
        <n v="16.48"/>
        <n v="12.65"/>
        <n v="20.77"/>
        <n v="15.29"/>
        <n v="14.71"/>
        <n v="16.79"/>
        <n v="19.14"/>
        <n v="18.239999999999998"/>
        <n v="15.01"/>
        <n v="17.93"/>
        <n v="18.45"/>
        <n v="17.54"/>
        <n v="19.18"/>
        <n v="17.88"/>
        <n v="13.66"/>
        <n v="21.04"/>
        <n v="14.79"/>
        <n v="12.89"/>
        <n v="19.77"/>
        <n v="19.510000000000002"/>
        <n v="16.18"/>
        <n v="15.73"/>
        <n v="20.8"/>
        <n v="20.350000000000001"/>
        <n v="15.2"/>
        <n v="19.149999999999999"/>
        <n v="15.74"/>
        <n v="15.02"/>
        <n v="21.03"/>
        <n v="17.829999999999998"/>
        <n v="18.72"/>
        <n v="17.11"/>
        <n v="18.510000000000002"/>
        <n v="13.58"/>
        <n v="13.41"/>
        <n v="16.52"/>
        <n v="15.68"/>
        <n v="21.47"/>
        <n v="15.92"/>
        <n v="20.74"/>
        <n v="16.329999999999998"/>
        <n v="19.7"/>
        <n v="18.22"/>
        <n v="20.45"/>
        <n v="18.86"/>
        <n v="16.100000000000001"/>
        <n v="20.190000000000001"/>
        <n v="14.84"/>
        <n v="17.78"/>
        <n v="13.79"/>
        <n v="16.190000000000001"/>
        <n v="20.46"/>
        <n v="18.84"/>
        <n v="16.670000000000002"/>
        <n v="18.88"/>
        <n v="11.89"/>
        <n v="19.62"/>
        <n v="17.27"/>
        <n v="21.16"/>
        <n v="17.77"/>
        <n v="13.31"/>
        <n v="12.96"/>
        <n v="16.760000000000002"/>
        <n v="15.39"/>
        <n v="14.06"/>
        <n v="20.239999999999998"/>
        <n v="15.63"/>
        <n v="16.03"/>
        <n v="18.55"/>
        <n v="15.32"/>
        <n v="13.23"/>
        <n v="17.39"/>
        <n v="13.57"/>
        <n v="13.22"/>
        <n v="17.97"/>
        <n v="20.64"/>
        <n v="13.3"/>
        <n v="21.85"/>
        <n v="18.57"/>
        <n v="20.7"/>
        <n v="14.78"/>
        <n v="16.489999999999998"/>
        <n v="20.78"/>
        <n v="20.68"/>
        <n v="20.52"/>
        <n v="21.78"/>
        <n v="16.8"/>
        <n v="14.23"/>
        <n v="15.88"/>
        <n v="19.600000000000001"/>
        <n v="15.81"/>
        <n v="16.649999999999999"/>
        <n v="14.08"/>
        <n v="15"/>
        <n v="19.079999999999998"/>
        <n v="16.12"/>
        <n v="18.809999999999999"/>
        <n v="18.829999999999998"/>
        <n v="21.17"/>
        <n v="20.47"/>
        <n v="16.5"/>
        <n v="14.18"/>
        <n v="14.57"/>
        <n v="21.23"/>
        <n v="12.64"/>
        <n v="15.91"/>
        <n v="21.25"/>
        <n v="13.33"/>
        <n v="22.15"/>
        <n v="19.78"/>
        <n v="16.62"/>
        <n v="20.87"/>
        <n v="15.12"/>
        <n v="14.22"/>
        <n v="19.82"/>
        <n v="14.38"/>
        <n v="14.43"/>
        <n v="18.64"/>
        <n v="20.07"/>
        <n v="15.09"/>
        <n v="20.5"/>
        <n v="18.04"/>
        <n v="20.71"/>
        <n v="16.91"/>
        <n v="15.93"/>
        <n v="22.29"/>
        <n v="18.100000000000001"/>
        <n v="13.96"/>
        <n v="17.600000000000001"/>
        <n v="13.19"/>
        <n v="20.3"/>
        <n v="14.27"/>
        <n v="16.14"/>
        <n v="19.100000000000001"/>
        <n v="16.25"/>
        <n v="13.43"/>
        <n v="14.63"/>
        <n v="17.07"/>
        <n v="15.37"/>
        <n v="13.48"/>
        <n v="13.27"/>
        <n v="18.82"/>
        <n v="13.94"/>
        <n v="15.86"/>
        <n v="14.51"/>
        <n v="19.579999999999998"/>
        <n v="17.48"/>
        <n v="18.649999999999999"/>
        <n v="18.71"/>
        <n v="18.5"/>
        <n v="14.03"/>
        <n v="19.399999999999999"/>
        <n v="14.29"/>
        <n v="13.76"/>
        <n v="13.52"/>
        <n v="15.22"/>
        <n v="18.78"/>
        <n v="16.309999999999999"/>
        <n v="15.17"/>
        <n v="18.559999999999999"/>
        <n v="21.62"/>
        <n v="16.010000000000002"/>
        <n v="15.96"/>
        <n v="19.03"/>
        <n v="17.739999999999998"/>
        <n v="19.940000000000001"/>
        <n v="19.98"/>
        <n v="20.63"/>
        <n v="13.88"/>
        <n v="19.09"/>
        <n v="15.43"/>
        <n v="15.31"/>
        <n v="13.99"/>
        <n v="15.67"/>
        <n v="12.13"/>
        <n v="14.64"/>
        <n v="19.739999999999998"/>
        <n v="20.94"/>
        <n v="15.94"/>
        <n v="17.59"/>
        <n v="18.059999999999999"/>
        <n v="16.98"/>
        <n v="16.29"/>
        <n v="19.95"/>
        <n v="21.49"/>
        <n v="16.36"/>
        <n v="16.57"/>
        <n v="12.79"/>
        <n v="18.97"/>
        <n v="21.12"/>
        <n v="16.850000000000001"/>
        <n v="18.11"/>
        <n v="16.75"/>
        <n v="16.600000000000001"/>
        <n v="17.68"/>
        <n v="13.09"/>
        <n v="21.89"/>
        <n v="14.16"/>
        <n v="13.69"/>
        <n v="15.97"/>
        <n v="15.06"/>
        <n v="14.14"/>
        <n v="20.28"/>
        <n v="19"/>
        <n v="20.49"/>
        <n v="13.13"/>
        <n v="13.35"/>
        <n v="14.12"/>
        <n v="14.32"/>
        <n v="18.79"/>
        <n v="12.93"/>
        <n v="17.86"/>
        <n v="16.77"/>
        <n v="13.56"/>
        <n v="18.59"/>
        <n v="17.63"/>
        <n v="12.99"/>
        <n v="17.98"/>
        <n v="20.86"/>
        <n v="18.7"/>
        <n v="20.93"/>
        <n v="20.440000000000001"/>
        <n v="21.4"/>
        <n v="21.06"/>
        <n v="18.75"/>
        <n v="13.75"/>
        <n v="19.59"/>
        <n v="17.21"/>
        <n v="16.02"/>
        <n v="18.43"/>
        <n v="21.67"/>
        <n v="13.32"/>
        <n v="14.83"/>
        <n v="21.56"/>
        <n v="16.28"/>
        <n v="20.57"/>
        <n v="17.46"/>
        <n v="17.75"/>
        <n v="11.52"/>
        <n v="22"/>
        <n v="18.34"/>
        <n v="19.760000000000002"/>
        <n v="13.63"/>
        <n v="18.77"/>
        <n v="14.95"/>
        <n v="15.62"/>
        <n v="18.09"/>
        <n v="19.25"/>
        <n v="14.33"/>
        <n v="13.26"/>
        <n v="13.6"/>
        <n v="18.21"/>
        <n v="18.68"/>
        <n v="18.13"/>
        <n v="13.06"/>
        <n v="16.2"/>
        <n v="13.87"/>
        <n v="15.33"/>
        <n v="20.27"/>
        <n v="20.22"/>
        <n v="13.01"/>
        <n v="18.29"/>
        <n v="19.34"/>
        <n v="12.56"/>
        <n v="17.12"/>
        <n v="21.87"/>
        <n v="14.44"/>
        <n v="16.37"/>
        <n v="15.84"/>
        <n v="13.73"/>
        <n v="15.77"/>
        <n v="16.420000000000002"/>
      </sharedItems>
    </cacheField>
    <cacheField name="Feet of Leather per Unit Produced" numFmtId="0">
      <sharedItems containsSemiMixedTypes="0" containsString="0" containsNumber="1" minValue="2.2799999999999998" maxValue="13.05"/>
    </cacheField>
    <cacheField name="Direct Labor Cost per Hour" numFmtId="0">
      <sharedItems containsSemiMixedTypes="0" containsString="0" containsNumber="1" minValue="22.11" maxValue="41.5"/>
    </cacheField>
    <cacheField name="Direct Labor Hours Per Unit Produced" numFmtId="0">
      <sharedItems containsSemiMixedTypes="0" containsString="0" containsNumber="1" minValue="0.73" maxValue="1.23"/>
    </cacheField>
    <cacheField name="Sales Price per Unit" numFmtId="0">
      <sharedItems containsSemiMixedTypes="0" containsString="0" containsNumber="1" minValue="66.62" maxValue="442.08"/>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02">
  <r>
    <x v="0"/>
    <n v="1247"/>
    <x v="0"/>
    <x v="0"/>
    <n v="14"/>
    <x v="0"/>
    <n v="11.24"/>
    <n v="30.9"/>
    <n v="1.05"/>
    <n v="363.47"/>
  </r>
  <r>
    <x v="1"/>
    <n v="1247"/>
    <x v="0"/>
    <x v="0"/>
    <n v="13"/>
    <x v="1"/>
    <n v="10.83"/>
    <n v="31.65"/>
    <n v="0.95"/>
    <n v="336.55"/>
  </r>
  <r>
    <x v="2"/>
    <n v="1247"/>
    <x v="0"/>
    <x v="0"/>
    <n v="17"/>
    <x v="2"/>
    <n v="9.9499999999999993"/>
    <n v="32.42"/>
    <n v="1.03"/>
    <n v="326.57"/>
  </r>
  <r>
    <x v="3"/>
    <n v="1247"/>
    <x v="0"/>
    <x v="1"/>
    <n v="27"/>
    <x v="3"/>
    <n v="2.8"/>
    <n v="32.17"/>
    <n v="0.79"/>
    <n v="84.47"/>
  </r>
  <r>
    <x v="4"/>
    <n v="1247"/>
    <x v="0"/>
    <x v="1"/>
    <n v="9"/>
    <x v="4"/>
    <n v="2.62"/>
    <n v="31.82"/>
    <n v="0.79"/>
    <n v="84.82"/>
  </r>
  <r>
    <x v="5"/>
    <n v="1247"/>
    <x v="0"/>
    <x v="0"/>
    <n v="13"/>
    <x v="5"/>
    <n v="9.99"/>
    <n v="23.94"/>
    <n v="0.97"/>
    <n v="327.36"/>
  </r>
  <r>
    <x v="6"/>
    <n v="1247"/>
    <x v="0"/>
    <x v="1"/>
    <n v="24"/>
    <x v="6"/>
    <n v="2.99"/>
    <n v="24.72"/>
    <n v="0.79"/>
    <n v="85.37"/>
  </r>
  <r>
    <x v="7"/>
    <n v="1247"/>
    <x v="0"/>
    <x v="0"/>
    <n v="13"/>
    <x v="7"/>
    <n v="11.09"/>
    <n v="26.18"/>
    <n v="0.92"/>
    <n v="391.75"/>
  </r>
  <r>
    <x v="8"/>
    <n v="1248"/>
    <x v="0"/>
    <x v="0"/>
    <n v="19"/>
    <x v="8"/>
    <n v="10.26"/>
    <n v="29.36"/>
    <n v="1.02"/>
    <n v="340.87"/>
  </r>
  <r>
    <x v="9"/>
    <n v="1248"/>
    <x v="0"/>
    <x v="1"/>
    <n v="16"/>
    <x v="9"/>
    <n v="2.98"/>
    <n v="30.63"/>
    <n v="0.78"/>
    <n v="90.08"/>
  </r>
  <r>
    <x v="10"/>
    <n v="1248"/>
    <x v="0"/>
    <x v="1"/>
    <n v="16"/>
    <x v="10"/>
    <n v="2.86"/>
    <n v="36.630000000000003"/>
    <n v="0.81"/>
    <n v="92.61"/>
  </r>
  <r>
    <x v="11"/>
    <n v="1248"/>
    <x v="0"/>
    <x v="0"/>
    <n v="17"/>
    <x v="11"/>
    <n v="12.34"/>
    <n v="31.39"/>
    <n v="1.01"/>
    <n v="357.49"/>
  </r>
  <r>
    <x v="12"/>
    <n v="1248"/>
    <x v="0"/>
    <x v="0"/>
    <n v="13"/>
    <x v="12"/>
    <n v="11.52"/>
    <n v="31.37"/>
    <n v="0.98"/>
    <n v="359.6"/>
  </r>
  <r>
    <x v="13"/>
    <n v="1248"/>
    <x v="0"/>
    <x v="1"/>
    <n v="12"/>
    <x v="13"/>
    <n v="2.9"/>
    <n v="30.23"/>
    <n v="0.78"/>
    <n v="92.29"/>
  </r>
  <r>
    <x v="14"/>
    <n v="1248"/>
    <x v="0"/>
    <x v="0"/>
    <n v="11"/>
    <x v="14"/>
    <n v="12"/>
    <n v="32.090000000000003"/>
    <n v="1.07"/>
    <n v="388.04"/>
  </r>
  <r>
    <x v="15"/>
    <n v="1248"/>
    <x v="0"/>
    <x v="0"/>
    <n v="18"/>
    <x v="15"/>
    <n v="11.07"/>
    <n v="29.03"/>
    <n v="0.91"/>
    <n v="347.6"/>
  </r>
  <r>
    <x v="16"/>
    <n v="1248"/>
    <x v="0"/>
    <x v="0"/>
    <n v="13"/>
    <x v="16"/>
    <n v="11.07"/>
    <n v="23.57"/>
    <n v="1.06"/>
    <n v="359.23"/>
  </r>
  <r>
    <x v="17"/>
    <n v="1249"/>
    <x v="1"/>
    <x v="0"/>
    <n v="13"/>
    <x v="17"/>
    <n v="11.75"/>
    <n v="31.02"/>
    <n v="1.02"/>
    <n v="402.07"/>
  </r>
  <r>
    <x v="18"/>
    <n v="1249"/>
    <x v="1"/>
    <x v="1"/>
    <n v="20"/>
    <x v="18"/>
    <n v="3.01"/>
    <n v="28.11"/>
    <n v="0.8"/>
    <n v="77.02"/>
  </r>
  <r>
    <x v="19"/>
    <n v="1249"/>
    <x v="1"/>
    <x v="1"/>
    <n v="19"/>
    <x v="19"/>
    <n v="2.98"/>
    <n v="27.87"/>
    <n v="0.8"/>
    <n v="88.12"/>
  </r>
  <r>
    <x v="20"/>
    <n v="1249"/>
    <x v="1"/>
    <x v="0"/>
    <n v="9"/>
    <x v="20"/>
    <n v="11.13"/>
    <n v="26.59"/>
    <n v="0.93"/>
    <n v="343.16"/>
  </r>
  <r>
    <x v="21"/>
    <n v="1249"/>
    <x v="1"/>
    <x v="0"/>
    <n v="18"/>
    <x v="21"/>
    <n v="11.54"/>
    <n v="28.55"/>
    <n v="0.98"/>
    <n v="369.06"/>
  </r>
  <r>
    <x v="22"/>
    <n v="1249"/>
    <x v="1"/>
    <x v="1"/>
    <n v="9"/>
    <x v="22"/>
    <n v="2.87"/>
    <n v="34.54"/>
    <n v="0.79"/>
    <n v="92.01"/>
  </r>
  <r>
    <x v="23"/>
    <n v="1249"/>
    <x v="1"/>
    <x v="0"/>
    <n v="56"/>
    <x v="23"/>
    <n v="10.96"/>
    <n v="31.65"/>
    <n v="1.1000000000000001"/>
    <n v="365.21"/>
  </r>
  <r>
    <x v="24"/>
    <n v="1249"/>
    <x v="1"/>
    <x v="1"/>
    <n v="22"/>
    <x v="24"/>
    <n v="2.84"/>
    <n v="34.119999999999997"/>
    <n v="0.81"/>
    <n v="97.57"/>
  </r>
  <r>
    <x v="25"/>
    <n v="1249"/>
    <x v="1"/>
    <x v="1"/>
    <n v="18"/>
    <x v="25"/>
    <n v="2.96"/>
    <n v="29.12"/>
    <n v="0.78"/>
    <n v="82.94"/>
  </r>
  <r>
    <x v="26"/>
    <n v="1249"/>
    <x v="1"/>
    <x v="0"/>
    <n v="15"/>
    <x v="26"/>
    <n v="11.09"/>
    <n v="32.79"/>
    <n v="0.93"/>
    <n v="356.15"/>
  </r>
  <r>
    <x v="27"/>
    <n v="1250"/>
    <x v="0"/>
    <x v="0"/>
    <n v="13"/>
    <x v="27"/>
    <n v="10.93"/>
    <n v="32.369999999999997"/>
    <n v="0.86"/>
    <n v="345.61"/>
  </r>
  <r>
    <x v="28"/>
    <n v="1250"/>
    <x v="0"/>
    <x v="1"/>
    <n v="15"/>
    <x v="28"/>
    <n v="3.04"/>
    <n v="31.58"/>
    <n v="0.78"/>
    <n v="83.32"/>
  </r>
  <r>
    <x v="29"/>
    <n v="1250"/>
    <x v="0"/>
    <x v="0"/>
    <n v="7"/>
    <x v="29"/>
    <n v="10.79"/>
    <n v="34.21"/>
    <n v="1.03"/>
    <n v="341.91"/>
  </r>
  <r>
    <x v="30"/>
    <n v="1250"/>
    <x v="0"/>
    <x v="1"/>
    <n v="12"/>
    <x v="30"/>
    <n v="2.82"/>
    <n v="32.44"/>
    <n v="0.79"/>
    <n v="87.9"/>
  </r>
  <r>
    <x v="31"/>
    <n v="1250"/>
    <x v="0"/>
    <x v="0"/>
    <n v="25"/>
    <x v="31"/>
    <n v="10.43"/>
    <n v="35.799999999999997"/>
    <n v="0.97"/>
    <n v="344.48"/>
  </r>
  <r>
    <x v="32"/>
    <n v="1250"/>
    <x v="0"/>
    <x v="1"/>
    <n v="17"/>
    <x v="32"/>
    <n v="3.05"/>
    <n v="32.86"/>
    <n v="0.79"/>
    <n v="85.8"/>
  </r>
  <r>
    <x v="33"/>
    <n v="1250"/>
    <x v="0"/>
    <x v="0"/>
    <n v="19"/>
    <x v="33"/>
    <n v="10.47"/>
    <n v="31.54"/>
    <n v="1.05"/>
    <n v="352.45"/>
  </r>
  <r>
    <x v="34"/>
    <n v="1250"/>
    <x v="0"/>
    <x v="1"/>
    <n v="19"/>
    <x v="34"/>
    <n v="2.65"/>
    <n v="26.27"/>
    <n v="0.8"/>
    <n v="66.72"/>
  </r>
  <r>
    <x v="35"/>
    <n v="1250"/>
    <x v="0"/>
    <x v="0"/>
    <n v="15"/>
    <x v="35"/>
    <n v="10.66"/>
    <n v="33.51"/>
    <n v="1"/>
    <n v="372.87"/>
  </r>
  <r>
    <x v="36"/>
    <n v="1251"/>
    <x v="2"/>
    <x v="1"/>
    <n v="15"/>
    <x v="36"/>
    <n v="2.87"/>
    <n v="31.1"/>
    <n v="0.81"/>
    <n v="88.09"/>
  </r>
  <r>
    <x v="37"/>
    <n v="1251"/>
    <x v="2"/>
    <x v="0"/>
    <n v="20"/>
    <x v="35"/>
    <n v="11.02"/>
    <n v="33.31"/>
    <n v="1"/>
    <n v="383.88"/>
  </r>
  <r>
    <x v="38"/>
    <n v="1251"/>
    <x v="2"/>
    <x v="1"/>
    <n v="16"/>
    <x v="37"/>
    <n v="2.74"/>
    <n v="31.37"/>
    <n v="0.77"/>
    <n v="83.87"/>
  </r>
  <r>
    <x v="39"/>
    <n v="1251"/>
    <x v="2"/>
    <x v="0"/>
    <n v="14"/>
    <x v="38"/>
    <n v="11.34"/>
    <n v="33.61"/>
    <n v="1.04"/>
    <n v="361.08"/>
  </r>
  <r>
    <x v="40"/>
    <n v="1251"/>
    <x v="2"/>
    <x v="0"/>
    <n v="9"/>
    <x v="39"/>
    <n v="9.98"/>
    <n v="32.58"/>
    <n v="0.93"/>
    <n v="329.99"/>
  </r>
  <r>
    <x v="41"/>
    <n v="1251"/>
    <x v="2"/>
    <x v="1"/>
    <n v="17"/>
    <x v="40"/>
    <n v="2.68"/>
    <n v="30.98"/>
    <n v="0.82"/>
    <n v="77.650000000000006"/>
  </r>
  <r>
    <x v="42"/>
    <n v="1251"/>
    <x v="2"/>
    <x v="1"/>
    <n v="12"/>
    <x v="41"/>
    <n v="3"/>
    <n v="33.020000000000003"/>
    <n v="0.79"/>
    <n v="86.16"/>
  </r>
  <r>
    <x v="43"/>
    <n v="1251"/>
    <x v="2"/>
    <x v="0"/>
    <n v="12"/>
    <x v="42"/>
    <n v="9.65"/>
    <n v="32.31"/>
    <n v="1.04"/>
    <n v="315.16000000000003"/>
  </r>
  <r>
    <x v="44"/>
    <n v="1251"/>
    <x v="2"/>
    <x v="1"/>
    <n v="18"/>
    <x v="43"/>
    <n v="2.5499999999999998"/>
    <n v="32.22"/>
    <n v="0.79"/>
    <n v="82.07"/>
  </r>
  <r>
    <x v="45"/>
    <n v="1251"/>
    <x v="2"/>
    <x v="1"/>
    <n v="14"/>
    <x v="44"/>
    <n v="3.01"/>
    <n v="30.67"/>
    <n v="0.83"/>
    <n v="98.15"/>
  </r>
  <r>
    <x v="46"/>
    <n v="1251"/>
    <x v="2"/>
    <x v="1"/>
    <n v="14"/>
    <x v="45"/>
    <n v="2.85"/>
    <n v="34.880000000000003"/>
    <n v="0.81"/>
    <n v="85.35"/>
  </r>
  <r>
    <x v="47"/>
    <n v="1251"/>
    <x v="2"/>
    <x v="0"/>
    <n v="22"/>
    <x v="46"/>
    <n v="10"/>
    <n v="26.9"/>
    <n v="1.0900000000000001"/>
    <n v="286.13"/>
  </r>
  <r>
    <x v="48"/>
    <n v="1251"/>
    <x v="2"/>
    <x v="1"/>
    <n v="23"/>
    <x v="47"/>
    <n v="3.24"/>
    <n v="33.5"/>
    <n v="0.78"/>
    <n v="91.78"/>
  </r>
  <r>
    <x v="49"/>
    <n v="1251"/>
    <x v="2"/>
    <x v="0"/>
    <n v="41"/>
    <x v="48"/>
    <n v="11.63"/>
    <n v="32.56"/>
    <n v="1.03"/>
    <n v="417.04"/>
  </r>
  <r>
    <x v="50"/>
    <n v="1251"/>
    <x v="2"/>
    <x v="1"/>
    <n v="12"/>
    <x v="49"/>
    <n v="2.67"/>
    <n v="31.45"/>
    <n v="0.8"/>
    <n v="75.48"/>
  </r>
  <r>
    <x v="51"/>
    <n v="1251"/>
    <x v="2"/>
    <x v="1"/>
    <n v="12"/>
    <x v="50"/>
    <n v="2.9"/>
    <n v="34.44"/>
    <n v="0.8"/>
    <n v="85.73"/>
  </r>
  <r>
    <x v="52"/>
    <n v="1252"/>
    <x v="0"/>
    <x v="1"/>
    <n v="12"/>
    <x v="51"/>
    <n v="2.59"/>
    <n v="26.63"/>
    <n v="0.81"/>
    <n v="73.41"/>
  </r>
  <r>
    <x v="53"/>
    <n v="1252"/>
    <x v="0"/>
    <x v="0"/>
    <n v="17"/>
    <x v="52"/>
    <n v="11.06"/>
    <n v="35.29"/>
    <n v="1.1000000000000001"/>
    <n v="361.9"/>
  </r>
  <r>
    <x v="54"/>
    <n v="1252"/>
    <x v="0"/>
    <x v="0"/>
    <n v="9"/>
    <x v="53"/>
    <n v="10.56"/>
    <n v="35"/>
    <n v="0.94"/>
    <n v="276.63"/>
  </r>
  <r>
    <x v="55"/>
    <n v="1252"/>
    <x v="0"/>
    <x v="1"/>
    <n v="6"/>
    <x v="54"/>
    <n v="2.79"/>
    <n v="26.83"/>
    <n v="0.78"/>
    <n v="79.41"/>
  </r>
  <r>
    <x v="56"/>
    <n v="1252"/>
    <x v="0"/>
    <x v="0"/>
    <n v="8"/>
    <x v="55"/>
    <n v="11.87"/>
    <n v="34.19"/>
    <n v="1.02"/>
    <n v="377.33"/>
  </r>
  <r>
    <x v="57"/>
    <n v="1252"/>
    <x v="0"/>
    <x v="0"/>
    <n v="61"/>
    <x v="53"/>
    <n v="10.87"/>
    <n v="28.77"/>
    <n v="1.04"/>
    <n v="340.72"/>
  </r>
  <r>
    <x v="58"/>
    <n v="1252"/>
    <x v="0"/>
    <x v="0"/>
    <n v="7"/>
    <x v="56"/>
    <n v="11.82"/>
    <n v="30.05"/>
    <n v="1.07"/>
    <n v="407.14"/>
  </r>
  <r>
    <x v="59"/>
    <n v="1253"/>
    <x v="3"/>
    <x v="1"/>
    <n v="13"/>
    <x v="57"/>
    <n v="2.96"/>
    <n v="29.42"/>
    <n v="0.76"/>
    <n v="87.52"/>
  </r>
  <r>
    <x v="60"/>
    <n v="1253"/>
    <x v="3"/>
    <x v="0"/>
    <n v="24"/>
    <x v="58"/>
    <n v="11.42"/>
    <n v="29.92"/>
    <n v="1.05"/>
    <n v="353.86"/>
  </r>
  <r>
    <x v="61"/>
    <n v="1253"/>
    <x v="3"/>
    <x v="0"/>
    <n v="12"/>
    <x v="59"/>
    <n v="10.7"/>
    <n v="30.21"/>
    <n v="1.1299999999999999"/>
    <n v="372.32"/>
  </r>
  <r>
    <x v="62"/>
    <n v="1253"/>
    <x v="3"/>
    <x v="1"/>
    <n v="4"/>
    <x v="60"/>
    <n v="2.83"/>
    <n v="27.06"/>
    <n v="0.79"/>
    <n v="80.989999999999995"/>
  </r>
  <r>
    <x v="63"/>
    <n v="1253"/>
    <x v="3"/>
    <x v="1"/>
    <n v="14"/>
    <x v="61"/>
    <n v="2.7"/>
    <n v="34.520000000000003"/>
    <n v="0.81"/>
    <n v="81.88"/>
  </r>
  <r>
    <x v="64"/>
    <n v="1253"/>
    <x v="3"/>
    <x v="1"/>
    <n v="10"/>
    <x v="62"/>
    <n v="2.62"/>
    <n v="32.58"/>
    <n v="0.84"/>
    <n v="87.92"/>
  </r>
  <r>
    <x v="65"/>
    <n v="1253"/>
    <x v="3"/>
    <x v="1"/>
    <n v="19"/>
    <x v="63"/>
    <n v="2.74"/>
    <n v="27.61"/>
    <n v="0.82"/>
    <n v="80.89"/>
  </r>
  <r>
    <x v="66"/>
    <n v="1254"/>
    <x v="0"/>
    <x v="1"/>
    <n v="14"/>
    <x v="64"/>
    <n v="2.88"/>
    <n v="28.53"/>
    <n v="0.82"/>
    <n v="77.89"/>
  </r>
  <r>
    <x v="67"/>
    <n v="1254"/>
    <x v="0"/>
    <x v="0"/>
    <n v="23"/>
    <x v="65"/>
    <n v="10.85"/>
    <n v="30.64"/>
    <n v="0.92"/>
    <n v="362.14"/>
  </r>
  <r>
    <x v="68"/>
    <n v="1254"/>
    <x v="0"/>
    <x v="0"/>
    <n v="12"/>
    <x v="66"/>
    <n v="11.7"/>
    <n v="28.6"/>
    <n v="1.1599999999999999"/>
    <n v="288.39999999999998"/>
  </r>
  <r>
    <x v="69"/>
    <n v="1254"/>
    <x v="0"/>
    <x v="1"/>
    <n v="12"/>
    <x v="67"/>
    <n v="2.73"/>
    <n v="31.92"/>
    <n v="0.83"/>
    <n v="87.44"/>
  </r>
  <r>
    <x v="70"/>
    <n v="1254"/>
    <x v="0"/>
    <x v="1"/>
    <n v="12"/>
    <x v="68"/>
    <n v="3.01"/>
    <n v="29.95"/>
    <n v="0.79"/>
    <n v="90.05"/>
  </r>
  <r>
    <x v="71"/>
    <n v="1254"/>
    <x v="0"/>
    <x v="0"/>
    <n v="11"/>
    <x v="69"/>
    <n v="11.58"/>
    <n v="34.57"/>
    <n v="1.06"/>
    <n v="376.92"/>
  </r>
  <r>
    <x v="72"/>
    <n v="1254"/>
    <x v="0"/>
    <x v="0"/>
    <n v="14"/>
    <x v="1"/>
    <n v="10.06"/>
    <n v="32.020000000000003"/>
    <n v="0.94"/>
    <n v="315.2"/>
  </r>
  <r>
    <x v="73"/>
    <n v="1255"/>
    <x v="1"/>
    <x v="0"/>
    <n v="15"/>
    <x v="70"/>
    <n v="11.99"/>
    <n v="33.03"/>
    <n v="1.05"/>
    <n v="367.12"/>
  </r>
  <r>
    <x v="74"/>
    <n v="1255"/>
    <x v="1"/>
    <x v="0"/>
    <n v="16"/>
    <x v="71"/>
    <n v="10.56"/>
    <n v="34.08"/>
    <n v="0.91"/>
    <n v="329.39"/>
  </r>
  <r>
    <x v="75"/>
    <n v="1255"/>
    <x v="1"/>
    <x v="1"/>
    <n v="16"/>
    <x v="72"/>
    <n v="3"/>
    <n v="30.61"/>
    <n v="0.74"/>
    <n v="83.7"/>
  </r>
  <r>
    <x v="76"/>
    <n v="1255"/>
    <x v="1"/>
    <x v="0"/>
    <n v="24"/>
    <x v="73"/>
    <n v="11.48"/>
    <n v="35.71"/>
    <n v="0.98"/>
    <n v="380.61"/>
  </r>
  <r>
    <x v="77"/>
    <n v="1255"/>
    <x v="1"/>
    <x v="1"/>
    <n v="18"/>
    <x v="74"/>
    <n v="2.81"/>
    <n v="30.46"/>
    <n v="0.78"/>
    <n v="91.32"/>
  </r>
  <r>
    <x v="78"/>
    <n v="1255"/>
    <x v="1"/>
    <x v="1"/>
    <n v="32"/>
    <x v="75"/>
    <n v="2.63"/>
    <n v="29.82"/>
    <n v="0.8"/>
    <n v="79.11"/>
  </r>
  <r>
    <x v="79"/>
    <n v="1255"/>
    <x v="1"/>
    <x v="0"/>
    <n v="9"/>
    <x v="76"/>
    <n v="10.72"/>
    <n v="34.47"/>
    <n v="1.0900000000000001"/>
    <n v="360.28"/>
  </r>
  <r>
    <x v="80"/>
    <n v="1256"/>
    <x v="3"/>
    <x v="1"/>
    <n v="20"/>
    <x v="50"/>
    <n v="2.78"/>
    <n v="33.61"/>
    <n v="0.79"/>
    <n v="82.34"/>
  </r>
  <r>
    <x v="81"/>
    <n v="1256"/>
    <x v="3"/>
    <x v="1"/>
    <n v="14"/>
    <x v="77"/>
    <n v="2.94"/>
    <n v="28.79"/>
    <n v="0.81"/>
    <n v="85.28"/>
  </r>
  <r>
    <x v="82"/>
    <n v="1256"/>
    <x v="3"/>
    <x v="0"/>
    <n v="19"/>
    <x v="78"/>
    <n v="11.58"/>
    <n v="30.59"/>
    <n v="1.03"/>
    <n v="360.12"/>
  </r>
  <r>
    <x v="83"/>
    <n v="1256"/>
    <x v="3"/>
    <x v="1"/>
    <n v="44"/>
    <x v="79"/>
    <n v="2.74"/>
    <n v="34.5"/>
    <n v="0.76"/>
    <n v="83.17"/>
  </r>
  <r>
    <x v="84"/>
    <n v="1256"/>
    <x v="3"/>
    <x v="1"/>
    <n v="9"/>
    <x v="10"/>
    <n v="2.72"/>
    <n v="31.93"/>
    <n v="0.79"/>
    <n v="84.78"/>
  </r>
  <r>
    <x v="85"/>
    <n v="1256"/>
    <x v="3"/>
    <x v="0"/>
    <n v="94"/>
    <x v="80"/>
    <n v="12.36"/>
    <n v="31.28"/>
    <n v="1.01"/>
    <n v="404.02"/>
  </r>
  <r>
    <x v="86"/>
    <n v="1256"/>
    <x v="3"/>
    <x v="1"/>
    <n v="13"/>
    <x v="81"/>
    <n v="2.75"/>
    <n v="33.130000000000003"/>
    <n v="0.82"/>
    <n v="78.86"/>
  </r>
  <r>
    <x v="87"/>
    <n v="1256"/>
    <x v="3"/>
    <x v="0"/>
    <n v="15"/>
    <x v="82"/>
    <n v="10.64"/>
    <n v="24.47"/>
    <n v="1.06"/>
    <n v="352.47"/>
  </r>
  <r>
    <x v="88"/>
    <n v="1256"/>
    <x v="3"/>
    <x v="0"/>
    <n v="11"/>
    <x v="83"/>
    <n v="11.26"/>
    <n v="28.73"/>
    <n v="0.93"/>
    <n v="377"/>
  </r>
  <r>
    <x v="89"/>
    <n v="1257"/>
    <x v="0"/>
    <x v="0"/>
    <n v="10"/>
    <x v="84"/>
    <n v="10.84"/>
    <n v="30.75"/>
    <n v="1.05"/>
    <n v="366.23"/>
  </r>
  <r>
    <x v="90"/>
    <n v="1257"/>
    <x v="0"/>
    <x v="0"/>
    <n v="20"/>
    <x v="23"/>
    <n v="11.07"/>
    <n v="29.2"/>
    <n v="1.04"/>
    <n v="363.16"/>
  </r>
  <r>
    <x v="91"/>
    <n v="1257"/>
    <x v="0"/>
    <x v="0"/>
    <n v="17"/>
    <x v="85"/>
    <n v="10.99"/>
    <n v="29.29"/>
    <n v="0.98"/>
    <n v="392.66"/>
  </r>
  <r>
    <x v="92"/>
    <n v="1257"/>
    <x v="0"/>
    <x v="0"/>
    <n v="15"/>
    <x v="1"/>
    <n v="10.51"/>
    <n v="28.14"/>
    <n v="1.06"/>
    <n v="327.38"/>
  </r>
  <r>
    <x v="93"/>
    <n v="1257"/>
    <x v="0"/>
    <x v="0"/>
    <n v="15"/>
    <x v="83"/>
    <n v="10.55"/>
    <n v="31.24"/>
    <n v="1.02"/>
    <n v="292.12"/>
  </r>
  <r>
    <x v="94"/>
    <n v="1257"/>
    <x v="0"/>
    <x v="1"/>
    <n v="10"/>
    <x v="86"/>
    <n v="2.77"/>
    <n v="32.78"/>
    <n v="0.8"/>
    <n v="85.06"/>
  </r>
  <r>
    <x v="95"/>
    <n v="1257"/>
    <x v="0"/>
    <x v="1"/>
    <n v="25"/>
    <x v="87"/>
    <n v="3.13"/>
    <n v="27.34"/>
    <n v="0.79"/>
    <n v="100.84"/>
  </r>
  <r>
    <x v="96"/>
    <n v="1257"/>
    <x v="0"/>
    <x v="1"/>
    <n v="16"/>
    <x v="88"/>
    <n v="2.44"/>
    <n v="32.17"/>
    <n v="0.77"/>
    <n v="79.45"/>
  </r>
  <r>
    <x v="97"/>
    <n v="1257"/>
    <x v="0"/>
    <x v="1"/>
    <n v="16"/>
    <x v="89"/>
    <n v="2.84"/>
    <n v="27.18"/>
    <n v="0.81"/>
    <n v="79.98"/>
  </r>
  <r>
    <x v="98"/>
    <n v="1257"/>
    <x v="0"/>
    <x v="0"/>
    <n v="7"/>
    <x v="73"/>
    <n v="11.76"/>
    <n v="38.450000000000003"/>
    <n v="0.93"/>
    <n v="389.79"/>
  </r>
  <r>
    <x v="99"/>
    <n v="1257"/>
    <x v="0"/>
    <x v="0"/>
    <n v="10"/>
    <x v="90"/>
    <n v="11.08"/>
    <n v="32.53"/>
    <n v="0.96"/>
    <n v="382.78"/>
  </r>
  <r>
    <x v="100"/>
    <n v="1257"/>
    <x v="0"/>
    <x v="0"/>
    <n v="12"/>
    <x v="1"/>
    <n v="10.75"/>
    <n v="32"/>
    <n v="1"/>
    <n v="336.62"/>
  </r>
  <r>
    <x v="101"/>
    <n v="1257"/>
    <x v="0"/>
    <x v="0"/>
    <n v="17"/>
    <x v="91"/>
    <n v="11.7"/>
    <n v="30.25"/>
    <n v="1.04"/>
    <n v="357.32"/>
  </r>
  <r>
    <x v="102"/>
    <n v="1257"/>
    <x v="0"/>
    <x v="1"/>
    <n v="11"/>
    <x v="92"/>
    <n v="2.78"/>
    <n v="36.229999999999997"/>
    <n v="0.81"/>
    <n v="90.35"/>
  </r>
  <r>
    <x v="103"/>
    <n v="1257"/>
    <x v="0"/>
    <x v="0"/>
    <n v="14"/>
    <x v="93"/>
    <n v="10.27"/>
    <n v="31.68"/>
    <n v="1.02"/>
    <n v="345.97"/>
  </r>
  <r>
    <x v="104"/>
    <n v="1257"/>
    <x v="0"/>
    <x v="0"/>
    <n v="14"/>
    <x v="69"/>
    <n v="10.68"/>
    <n v="34.24"/>
    <n v="1.04"/>
    <n v="288.35000000000002"/>
  </r>
  <r>
    <x v="105"/>
    <n v="1257"/>
    <x v="0"/>
    <x v="0"/>
    <n v="18"/>
    <x v="80"/>
    <n v="9.94"/>
    <n v="31.65"/>
    <n v="0.99"/>
    <n v="331.97"/>
  </r>
  <r>
    <x v="106"/>
    <n v="1257"/>
    <x v="0"/>
    <x v="1"/>
    <n v="13"/>
    <x v="64"/>
    <n v="3.05"/>
    <n v="27.73"/>
    <n v="0.81"/>
    <n v="79.94"/>
  </r>
  <r>
    <x v="107"/>
    <n v="1257"/>
    <x v="0"/>
    <x v="0"/>
    <n v="14"/>
    <x v="94"/>
    <n v="10.62"/>
    <n v="39.1"/>
    <n v="0.92"/>
    <n v="356.7"/>
  </r>
  <r>
    <x v="108"/>
    <n v="1257"/>
    <x v="0"/>
    <x v="1"/>
    <n v="12"/>
    <x v="95"/>
    <n v="3.08"/>
    <n v="29.46"/>
    <n v="0.82"/>
    <n v="89.84"/>
  </r>
  <r>
    <x v="109"/>
    <n v="1257"/>
    <x v="0"/>
    <x v="1"/>
    <n v="33"/>
    <x v="96"/>
    <n v="3.02"/>
    <n v="25.95"/>
    <n v="0.79"/>
    <n v="76.41"/>
  </r>
  <r>
    <x v="110"/>
    <n v="1258"/>
    <x v="3"/>
    <x v="1"/>
    <n v="8"/>
    <x v="97"/>
    <n v="2.79"/>
    <n v="26.76"/>
    <n v="0.83"/>
    <n v="78.14"/>
  </r>
  <r>
    <x v="111"/>
    <n v="1258"/>
    <x v="3"/>
    <x v="0"/>
    <n v="10"/>
    <x v="98"/>
    <n v="12.71"/>
    <n v="27.45"/>
    <n v="0.95"/>
    <n v="399.13"/>
  </r>
  <r>
    <x v="112"/>
    <n v="1258"/>
    <x v="3"/>
    <x v="1"/>
    <n v="16"/>
    <x v="99"/>
    <n v="2.88"/>
    <n v="26.65"/>
    <n v="0.76"/>
    <n v="76.849999999999994"/>
  </r>
  <r>
    <x v="113"/>
    <n v="1258"/>
    <x v="3"/>
    <x v="0"/>
    <n v="89"/>
    <x v="100"/>
    <n v="10.89"/>
    <n v="27.14"/>
    <n v="0.99"/>
    <n v="354.01"/>
  </r>
  <r>
    <x v="114"/>
    <n v="1258"/>
    <x v="3"/>
    <x v="1"/>
    <n v="18"/>
    <x v="101"/>
    <n v="2.62"/>
    <n v="32.11"/>
    <n v="0.78"/>
    <n v="83.32"/>
  </r>
  <r>
    <x v="115"/>
    <n v="1258"/>
    <x v="3"/>
    <x v="0"/>
    <n v="8"/>
    <x v="102"/>
    <n v="10.81"/>
    <n v="28"/>
    <n v="0.93"/>
    <n v="333.29"/>
  </r>
  <r>
    <x v="116"/>
    <n v="1258"/>
    <x v="3"/>
    <x v="1"/>
    <n v="8"/>
    <x v="45"/>
    <n v="3.06"/>
    <n v="31.35"/>
    <n v="0.85"/>
    <n v="78.03"/>
  </r>
  <r>
    <x v="117"/>
    <n v="1258"/>
    <x v="3"/>
    <x v="0"/>
    <n v="17"/>
    <x v="5"/>
    <n v="11.05"/>
    <n v="35.24"/>
    <n v="1.03"/>
    <n v="308.91000000000003"/>
  </r>
  <r>
    <x v="118"/>
    <n v="1259"/>
    <x v="3"/>
    <x v="0"/>
    <n v="12"/>
    <x v="103"/>
    <n v="12.81"/>
    <n v="29.6"/>
    <n v="0.99"/>
    <n v="378.24"/>
  </r>
  <r>
    <x v="119"/>
    <n v="1259"/>
    <x v="3"/>
    <x v="1"/>
    <n v="13"/>
    <x v="104"/>
    <n v="3.1"/>
    <n v="30.22"/>
    <n v="0.78"/>
    <n v="90.04"/>
  </r>
  <r>
    <x v="120"/>
    <n v="1259"/>
    <x v="3"/>
    <x v="1"/>
    <n v="16"/>
    <x v="105"/>
    <n v="2.7"/>
    <n v="30.34"/>
    <n v="0.77"/>
    <n v="87.14"/>
  </r>
  <r>
    <x v="121"/>
    <n v="1259"/>
    <x v="3"/>
    <x v="0"/>
    <n v="20"/>
    <x v="106"/>
    <n v="11.51"/>
    <n v="31.31"/>
    <n v="1.04"/>
    <n v="365.08"/>
  </r>
  <r>
    <x v="122"/>
    <n v="1259"/>
    <x v="3"/>
    <x v="0"/>
    <n v="21"/>
    <x v="107"/>
    <n v="11.3"/>
    <n v="31.92"/>
    <n v="1.03"/>
    <n v="288.85000000000002"/>
  </r>
  <r>
    <x v="123"/>
    <n v="1259"/>
    <x v="3"/>
    <x v="1"/>
    <n v="16"/>
    <x v="108"/>
    <n v="2.82"/>
    <n v="31.83"/>
    <n v="0.79"/>
    <n v="87.53"/>
  </r>
  <r>
    <x v="124"/>
    <n v="1259"/>
    <x v="3"/>
    <x v="1"/>
    <n v="10"/>
    <x v="109"/>
    <n v="2.87"/>
    <n v="29.39"/>
    <n v="0.78"/>
    <n v="80.86"/>
  </r>
  <r>
    <x v="125"/>
    <n v="1259"/>
    <x v="3"/>
    <x v="0"/>
    <n v="19"/>
    <x v="110"/>
    <n v="12.08"/>
    <n v="34.94"/>
    <n v="1.05"/>
    <n v="401.6"/>
  </r>
  <r>
    <x v="126"/>
    <n v="1260"/>
    <x v="2"/>
    <x v="0"/>
    <n v="13"/>
    <x v="111"/>
    <n v="11.71"/>
    <n v="35.950000000000003"/>
    <n v="1.07"/>
    <n v="417.84"/>
  </r>
  <r>
    <x v="127"/>
    <n v="1260"/>
    <x v="2"/>
    <x v="1"/>
    <n v="7"/>
    <x v="112"/>
    <n v="2.7"/>
    <n v="37.04"/>
    <n v="0.83"/>
    <n v="89.06"/>
  </r>
  <r>
    <x v="128"/>
    <n v="1260"/>
    <x v="2"/>
    <x v="0"/>
    <n v="17"/>
    <x v="113"/>
    <n v="10.55"/>
    <n v="32.42"/>
    <n v="1.01"/>
    <n v="372.92"/>
  </r>
  <r>
    <x v="129"/>
    <n v="1260"/>
    <x v="2"/>
    <x v="0"/>
    <n v="12"/>
    <x v="114"/>
    <n v="11.2"/>
    <n v="32.85"/>
    <n v="1.08"/>
    <n v="382.42"/>
  </r>
  <r>
    <x v="130"/>
    <n v="1260"/>
    <x v="2"/>
    <x v="1"/>
    <n v="20"/>
    <x v="115"/>
    <n v="3.02"/>
    <n v="29.04"/>
    <n v="0.77"/>
    <n v="87.42"/>
  </r>
  <r>
    <x v="131"/>
    <n v="1260"/>
    <x v="2"/>
    <x v="0"/>
    <n v="16"/>
    <x v="116"/>
    <n v="9.14"/>
    <n v="40.21"/>
    <n v="1.02"/>
    <n v="300.19"/>
  </r>
  <r>
    <x v="132"/>
    <n v="1260"/>
    <x v="2"/>
    <x v="0"/>
    <n v="26"/>
    <x v="117"/>
    <n v="11.3"/>
    <n v="28.65"/>
    <n v="1.1000000000000001"/>
    <n v="378.05"/>
  </r>
  <r>
    <x v="133"/>
    <n v="1260"/>
    <x v="2"/>
    <x v="0"/>
    <n v="13"/>
    <x v="118"/>
    <n v="10.79"/>
    <n v="31.56"/>
    <n v="0.86"/>
    <n v="353.14"/>
  </r>
  <r>
    <x v="134"/>
    <n v="1260"/>
    <x v="2"/>
    <x v="1"/>
    <n v="22"/>
    <x v="25"/>
    <n v="3.35"/>
    <n v="30.93"/>
    <n v="0.82"/>
    <n v="93.49"/>
  </r>
  <r>
    <x v="135"/>
    <n v="1260"/>
    <x v="2"/>
    <x v="0"/>
    <n v="14"/>
    <x v="119"/>
    <n v="10.11"/>
    <n v="32.630000000000003"/>
    <n v="1.03"/>
    <n v="331.14"/>
  </r>
  <r>
    <x v="136"/>
    <n v="1260"/>
    <x v="2"/>
    <x v="1"/>
    <n v="11"/>
    <x v="120"/>
    <n v="2.93"/>
    <n v="30.81"/>
    <n v="0.77"/>
    <n v="92.29"/>
  </r>
  <r>
    <x v="137"/>
    <n v="1260"/>
    <x v="2"/>
    <x v="1"/>
    <n v="10"/>
    <x v="75"/>
    <n v="2.79"/>
    <n v="35.85"/>
    <n v="0.78"/>
    <n v="86.84"/>
  </r>
  <r>
    <x v="138"/>
    <n v="1261"/>
    <x v="0"/>
    <x v="0"/>
    <n v="17"/>
    <x v="121"/>
    <n v="9.8800000000000008"/>
    <n v="27.53"/>
    <n v="0.96"/>
    <n v="293.64"/>
  </r>
  <r>
    <x v="139"/>
    <n v="1261"/>
    <x v="0"/>
    <x v="1"/>
    <n v="22"/>
    <x v="122"/>
    <n v="3.06"/>
    <n v="25.34"/>
    <n v="0.79"/>
    <n v="74.319999999999993"/>
  </r>
  <r>
    <x v="140"/>
    <n v="1261"/>
    <x v="0"/>
    <x v="1"/>
    <n v="28"/>
    <x v="123"/>
    <n v="2.76"/>
    <n v="33.590000000000003"/>
    <n v="0.84"/>
    <n v="93.24"/>
  </r>
  <r>
    <x v="141"/>
    <n v="1261"/>
    <x v="0"/>
    <x v="0"/>
    <n v="41"/>
    <x v="124"/>
    <n v="10.18"/>
    <n v="33.590000000000003"/>
    <n v="1.03"/>
    <n v="362.5"/>
  </r>
  <r>
    <x v="142"/>
    <n v="1261"/>
    <x v="0"/>
    <x v="1"/>
    <n v="11"/>
    <x v="125"/>
    <n v="2.4900000000000002"/>
    <n v="33.82"/>
    <n v="0.82"/>
    <n v="82.75"/>
  </r>
  <r>
    <x v="143"/>
    <n v="1261"/>
    <x v="0"/>
    <x v="1"/>
    <n v="11"/>
    <x v="105"/>
    <n v="2.82"/>
    <n v="35.659999999999997"/>
    <n v="0.8"/>
    <n v="95.55"/>
  </r>
  <r>
    <x v="144"/>
    <n v="1261"/>
    <x v="0"/>
    <x v="0"/>
    <n v="12"/>
    <x v="126"/>
    <n v="11.64"/>
    <n v="29.97"/>
    <n v="0.94"/>
    <n v="371.5"/>
  </r>
  <r>
    <x v="145"/>
    <n v="1262"/>
    <x v="0"/>
    <x v="1"/>
    <n v="13"/>
    <x v="127"/>
    <n v="2.86"/>
    <n v="27.5"/>
    <n v="0.81"/>
    <n v="87.74"/>
  </r>
  <r>
    <x v="146"/>
    <n v="1262"/>
    <x v="0"/>
    <x v="0"/>
    <n v="25"/>
    <x v="128"/>
    <n v="10.7"/>
    <n v="32.21"/>
    <n v="1.05"/>
    <n v="346.47"/>
  </r>
  <r>
    <x v="147"/>
    <n v="1262"/>
    <x v="0"/>
    <x v="0"/>
    <n v="9"/>
    <x v="129"/>
    <n v="11.21"/>
    <n v="33.71"/>
    <n v="1.07"/>
    <n v="355.41"/>
  </r>
  <r>
    <x v="148"/>
    <n v="1262"/>
    <x v="0"/>
    <x v="1"/>
    <n v="19"/>
    <x v="130"/>
    <n v="3.2"/>
    <n v="30.04"/>
    <n v="0.84"/>
    <n v="90.24"/>
  </r>
  <r>
    <x v="149"/>
    <n v="1262"/>
    <x v="0"/>
    <x v="0"/>
    <n v="9"/>
    <x v="131"/>
    <n v="11.83"/>
    <n v="31.11"/>
    <n v="0.95"/>
    <n v="410.34"/>
  </r>
  <r>
    <x v="150"/>
    <n v="1262"/>
    <x v="0"/>
    <x v="0"/>
    <n v="12"/>
    <x v="132"/>
    <n v="10.72"/>
    <n v="29.16"/>
    <n v="1.02"/>
    <n v="339.48"/>
  </r>
  <r>
    <x v="151"/>
    <n v="1262"/>
    <x v="0"/>
    <x v="1"/>
    <n v="36"/>
    <x v="125"/>
    <n v="2.63"/>
    <n v="24.69"/>
    <n v="0.77"/>
    <n v="76.099999999999994"/>
  </r>
  <r>
    <x v="152"/>
    <n v="1262"/>
    <x v="0"/>
    <x v="1"/>
    <n v="10"/>
    <x v="133"/>
    <n v="2.9"/>
    <n v="31.74"/>
    <n v="0.83"/>
    <n v="84.44"/>
  </r>
  <r>
    <x v="153"/>
    <n v="1263"/>
    <x v="0"/>
    <x v="1"/>
    <n v="23"/>
    <x v="134"/>
    <n v="3.08"/>
    <n v="32.659999999999997"/>
    <n v="0.82"/>
    <n v="83.26"/>
  </r>
  <r>
    <x v="154"/>
    <n v="1263"/>
    <x v="0"/>
    <x v="1"/>
    <n v="14"/>
    <x v="135"/>
    <n v="2.98"/>
    <n v="34.82"/>
    <n v="0.79"/>
    <n v="89.88"/>
  </r>
  <r>
    <x v="155"/>
    <n v="1263"/>
    <x v="0"/>
    <x v="1"/>
    <n v="112"/>
    <x v="136"/>
    <n v="2.93"/>
    <n v="32.130000000000003"/>
    <n v="0.79"/>
    <n v="84.61"/>
  </r>
  <r>
    <x v="156"/>
    <n v="1263"/>
    <x v="0"/>
    <x v="0"/>
    <n v="15"/>
    <x v="128"/>
    <n v="10.51"/>
    <n v="27.48"/>
    <n v="1.01"/>
    <n v="333.82"/>
  </r>
  <r>
    <x v="157"/>
    <n v="1263"/>
    <x v="0"/>
    <x v="0"/>
    <n v="8"/>
    <x v="12"/>
    <n v="11.18"/>
    <n v="37.880000000000003"/>
    <n v="1"/>
    <n v="358.56"/>
  </r>
  <r>
    <x v="158"/>
    <n v="1263"/>
    <x v="0"/>
    <x v="1"/>
    <n v="14"/>
    <x v="137"/>
    <n v="2.61"/>
    <n v="27.09"/>
    <n v="0.81"/>
    <n v="78.61"/>
  </r>
  <r>
    <x v="159"/>
    <n v="1263"/>
    <x v="0"/>
    <x v="0"/>
    <n v="12"/>
    <x v="138"/>
    <n v="9.91"/>
    <n v="32.99"/>
    <n v="1"/>
    <n v="357.52"/>
  </r>
  <r>
    <x v="160"/>
    <n v="1263"/>
    <x v="0"/>
    <x v="0"/>
    <n v="46"/>
    <x v="139"/>
    <n v="11.13"/>
    <n v="32.94"/>
    <n v="0.96"/>
    <n v="352.85"/>
  </r>
  <r>
    <x v="161"/>
    <n v="1264"/>
    <x v="3"/>
    <x v="1"/>
    <n v="14"/>
    <x v="140"/>
    <n v="2.76"/>
    <n v="30.96"/>
    <n v="0.84"/>
    <n v="84.85"/>
  </r>
  <r>
    <x v="162"/>
    <n v="1264"/>
    <x v="3"/>
    <x v="0"/>
    <n v="14"/>
    <x v="141"/>
    <n v="10.86"/>
    <n v="31.4"/>
    <n v="0.95"/>
    <n v="332.57"/>
  </r>
  <r>
    <x v="163"/>
    <n v="1264"/>
    <x v="3"/>
    <x v="0"/>
    <n v="9"/>
    <x v="142"/>
    <n v="11.1"/>
    <n v="36.49"/>
    <n v="1.07"/>
    <n v="366.29"/>
  </r>
  <r>
    <x v="164"/>
    <n v="1264"/>
    <x v="3"/>
    <x v="1"/>
    <n v="9"/>
    <x v="32"/>
    <n v="2.9"/>
    <n v="28.33"/>
    <n v="0.8"/>
    <n v="79.36"/>
  </r>
  <r>
    <x v="165"/>
    <n v="1264"/>
    <x v="3"/>
    <x v="1"/>
    <n v="51"/>
    <x v="143"/>
    <n v="2.81"/>
    <n v="32.97"/>
    <n v="0.77"/>
    <n v="89.05"/>
  </r>
  <r>
    <x v="166"/>
    <n v="1264"/>
    <x v="3"/>
    <x v="1"/>
    <n v="27"/>
    <x v="109"/>
    <n v="2.83"/>
    <n v="31.72"/>
    <n v="0.82"/>
    <n v="75.13"/>
  </r>
  <r>
    <x v="167"/>
    <n v="1264"/>
    <x v="3"/>
    <x v="0"/>
    <n v="25"/>
    <x v="144"/>
    <n v="10.76"/>
    <n v="32.49"/>
    <n v="1.02"/>
    <n v="344.34"/>
  </r>
  <r>
    <x v="168"/>
    <n v="1265"/>
    <x v="3"/>
    <x v="1"/>
    <n v="15"/>
    <x v="41"/>
    <n v="2.95"/>
    <n v="31.1"/>
    <n v="0.78"/>
    <n v="74.87"/>
  </r>
  <r>
    <x v="169"/>
    <n v="1265"/>
    <x v="3"/>
    <x v="0"/>
    <n v="13"/>
    <x v="145"/>
    <n v="11.75"/>
    <n v="36.79"/>
    <n v="1.04"/>
    <n v="376.22"/>
  </r>
  <r>
    <x v="170"/>
    <n v="1265"/>
    <x v="3"/>
    <x v="1"/>
    <n v="19"/>
    <x v="146"/>
    <n v="2.71"/>
    <n v="32.130000000000003"/>
    <n v="0.81"/>
    <n v="83.78"/>
  </r>
  <r>
    <x v="171"/>
    <n v="1265"/>
    <x v="3"/>
    <x v="0"/>
    <n v="18"/>
    <x v="147"/>
    <n v="11.09"/>
    <n v="33.619999999999997"/>
    <n v="0.98"/>
    <n v="380.02"/>
  </r>
  <r>
    <x v="172"/>
    <n v="1265"/>
    <x v="3"/>
    <x v="0"/>
    <n v="12"/>
    <x v="148"/>
    <n v="11.86"/>
    <n v="33.19"/>
    <n v="0.94"/>
    <n v="380.96"/>
  </r>
  <r>
    <x v="173"/>
    <n v="1265"/>
    <x v="3"/>
    <x v="1"/>
    <n v="13"/>
    <x v="149"/>
    <n v="2.97"/>
    <n v="30.57"/>
    <n v="0.78"/>
    <n v="84.91"/>
  </r>
  <r>
    <x v="174"/>
    <n v="1265"/>
    <x v="3"/>
    <x v="1"/>
    <n v="25"/>
    <x v="115"/>
    <n v="3.07"/>
    <n v="29.96"/>
    <n v="0.82"/>
    <n v="90.89"/>
  </r>
  <r>
    <x v="175"/>
    <n v="1265"/>
    <x v="3"/>
    <x v="1"/>
    <n v="8"/>
    <x v="150"/>
    <n v="2.93"/>
    <n v="32.71"/>
    <n v="0.81"/>
    <n v="93"/>
  </r>
  <r>
    <x v="176"/>
    <n v="1266"/>
    <x v="3"/>
    <x v="0"/>
    <n v="14"/>
    <x v="151"/>
    <n v="11.27"/>
    <n v="34.590000000000003"/>
    <n v="0.94"/>
    <n v="366.43"/>
  </r>
  <r>
    <x v="177"/>
    <n v="1266"/>
    <x v="3"/>
    <x v="0"/>
    <n v="17"/>
    <x v="152"/>
    <n v="10.65"/>
    <n v="36.450000000000003"/>
    <n v="1.03"/>
    <n v="361.83"/>
  </r>
  <r>
    <x v="178"/>
    <n v="1266"/>
    <x v="3"/>
    <x v="1"/>
    <n v="10"/>
    <x v="153"/>
    <n v="2.71"/>
    <n v="27.91"/>
    <n v="0.79"/>
    <n v="85.29"/>
  </r>
  <r>
    <x v="179"/>
    <n v="1266"/>
    <x v="3"/>
    <x v="1"/>
    <n v="18"/>
    <x v="154"/>
    <n v="2.64"/>
    <n v="28.67"/>
    <n v="0.81"/>
    <n v="79.05"/>
  </r>
  <r>
    <x v="180"/>
    <n v="1266"/>
    <x v="3"/>
    <x v="0"/>
    <n v="24"/>
    <x v="155"/>
    <n v="11.17"/>
    <n v="32.58"/>
    <n v="1.03"/>
    <n v="340.17"/>
  </r>
  <r>
    <x v="181"/>
    <n v="1266"/>
    <x v="3"/>
    <x v="0"/>
    <n v="38"/>
    <x v="156"/>
    <n v="10.98"/>
    <n v="29.59"/>
    <n v="1.05"/>
    <n v="354.81"/>
  </r>
  <r>
    <x v="182"/>
    <n v="1266"/>
    <x v="3"/>
    <x v="0"/>
    <n v="14"/>
    <x v="157"/>
    <n v="10.34"/>
    <n v="29.78"/>
    <n v="0.92"/>
    <n v="292.51"/>
  </r>
  <r>
    <x v="183"/>
    <n v="1267"/>
    <x v="2"/>
    <x v="0"/>
    <n v="9"/>
    <x v="158"/>
    <n v="10.43"/>
    <n v="34.9"/>
    <n v="1.05"/>
    <n v="343.35"/>
  </r>
  <r>
    <x v="184"/>
    <n v="1267"/>
    <x v="2"/>
    <x v="0"/>
    <n v="15"/>
    <x v="159"/>
    <n v="10.77"/>
    <n v="27.83"/>
    <n v="1.04"/>
    <n v="332.1"/>
  </r>
  <r>
    <x v="185"/>
    <n v="1267"/>
    <x v="2"/>
    <x v="1"/>
    <n v="26"/>
    <x v="160"/>
    <n v="2.8"/>
    <n v="33.26"/>
    <n v="0.79"/>
    <n v="89.73"/>
  </r>
  <r>
    <x v="186"/>
    <n v="1267"/>
    <x v="2"/>
    <x v="0"/>
    <n v="14"/>
    <x v="161"/>
    <n v="10.61"/>
    <n v="28.98"/>
    <n v="0.94"/>
    <n v="324.86"/>
  </r>
  <r>
    <x v="187"/>
    <n v="1267"/>
    <x v="2"/>
    <x v="0"/>
    <n v="12"/>
    <x v="162"/>
    <n v="10.23"/>
    <n v="34.01"/>
    <n v="1.01"/>
    <n v="334.42"/>
  </r>
  <r>
    <x v="188"/>
    <n v="1267"/>
    <x v="2"/>
    <x v="0"/>
    <n v="17"/>
    <x v="163"/>
    <n v="11.32"/>
    <n v="34.64"/>
    <n v="0.91"/>
    <n v="367.71"/>
  </r>
  <r>
    <x v="189"/>
    <n v="1267"/>
    <x v="2"/>
    <x v="1"/>
    <n v="22"/>
    <x v="164"/>
    <n v="2.84"/>
    <n v="29.47"/>
    <n v="0.77"/>
    <n v="77.05"/>
  </r>
  <r>
    <x v="190"/>
    <n v="1268"/>
    <x v="2"/>
    <x v="1"/>
    <n v="15"/>
    <x v="165"/>
    <n v="2.66"/>
    <n v="28.69"/>
    <n v="0.76"/>
    <n v="77.09"/>
  </r>
  <r>
    <x v="191"/>
    <n v="1268"/>
    <x v="2"/>
    <x v="0"/>
    <n v="11"/>
    <x v="166"/>
    <n v="11.06"/>
    <n v="32.56"/>
    <n v="1"/>
    <n v="374.36"/>
  </r>
  <r>
    <x v="192"/>
    <n v="1268"/>
    <x v="2"/>
    <x v="0"/>
    <n v="12"/>
    <x v="167"/>
    <n v="11.42"/>
    <n v="29.02"/>
    <n v="1.1000000000000001"/>
    <n v="289.95999999999998"/>
  </r>
  <r>
    <x v="193"/>
    <n v="1268"/>
    <x v="2"/>
    <x v="0"/>
    <n v="29"/>
    <x v="84"/>
    <n v="9.18"/>
    <n v="32.53"/>
    <n v="0.99"/>
    <n v="255.4"/>
  </r>
  <r>
    <x v="194"/>
    <n v="1268"/>
    <x v="2"/>
    <x v="0"/>
    <n v="66"/>
    <x v="168"/>
    <n v="12.59"/>
    <n v="32.5"/>
    <n v="0.99"/>
    <n v="382.88"/>
  </r>
  <r>
    <x v="195"/>
    <n v="1268"/>
    <x v="2"/>
    <x v="1"/>
    <n v="48"/>
    <x v="137"/>
    <n v="2.69"/>
    <n v="29.28"/>
    <n v="0.78"/>
    <n v="81.27"/>
  </r>
  <r>
    <x v="196"/>
    <n v="1268"/>
    <x v="2"/>
    <x v="0"/>
    <n v="17"/>
    <x v="69"/>
    <n v="11.12"/>
    <n v="34.119999999999997"/>
    <n v="1.1100000000000001"/>
    <n v="365.14"/>
  </r>
  <r>
    <x v="197"/>
    <n v="1269"/>
    <x v="3"/>
    <x v="0"/>
    <n v="10"/>
    <x v="169"/>
    <n v="11.69"/>
    <n v="23.78"/>
    <n v="0.94"/>
    <n v="414.89"/>
  </r>
  <r>
    <x v="198"/>
    <n v="1269"/>
    <x v="3"/>
    <x v="0"/>
    <n v="12"/>
    <x v="170"/>
    <n v="10.55"/>
    <n v="32.119999999999997"/>
    <n v="1.01"/>
    <n v="300.01"/>
  </r>
  <r>
    <x v="199"/>
    <n v="1269"/>
    <x v="3"/>
    <x v="0"/>
    <n v="15"/>
    <x v="171"/>
    <n v="11.09"/>
    <n v="33.119999999999997"/>
    <n v="0.99"/>
    <n v="399.96"/>
  </r>
  <r>
    <x v="200"/>
    <n v="1269"/>
    <x v="3"/>
    <x v="1"/>
    <n v="9"/>
    <x v="172"/>
    <n v="2.92"/>
    <n v="31.7"/>
    <n v="0.8"/>
    <n v="92.3"/>
  </r>
  <r>
    <x v="201"/>
    <n v="1269"/>
    <x v="3"/>
    <x v="0"/>
    <n v="23"/>
    <x v="173"/>
    <n v="11.26"/>
    <n v="29.79"/>
    <n v="1.04"/>
    <n v="335.84"/>
  </r>
  <r>
    <x v="202"/>
    <n v="1269"/>
    <x v="3"/>
    <x v="1"/>
    <n v="11"/>
    <x v="174"/>
    <n v="2.98"/>
    <n v="34.380000000000003"/>
    <n v="0.8"/>
    <n v="90.08"/>
  </r>
  <r>
    <x v="203"/>
    <n v="1269"/>
    <x v="3"/>
    <x v="1"/>
    <n v="13"/>
    <x v="175"/>
    <n v="2.69"/>
    <n v="32.93"/>
    <n v="0.76"/>
    <n v="91.22"/>
  </r>
  <r>
    <x v="204"/>
    <n v="1270"/>
    <x v="2"/>
    <x v="0"/>
    <n v="19"/>
    <x v="29"/>
    <n v="11.28"/>
    <n v="28.78"/>
    <n v="1.03"/>
    <n v="348.87"/>
  </r>
  <r>
    <x v="205"/>
    <n v="1270"/>
    <x v="2"/>
    <x v="0"/>
    <n v="17"/>
    <x v="176"/>
    <n v="11.35"/>
    <n v="34.35"/>
    <n v="0.98"/>
    <n v="370.46"/>
  </r>
  <r>
    <x v="206"/>
    <n v="1270"/>
    <x v="2"/>
    <x v="0"/>
    <n v="30"/>
    <x v="177"/>
    <n v="11.66"/>
    <n v="33.5"/>
    <n v="1.05"/>
    <n v="323.76"/>
  </r>
  <r>
    <x v="207"/>
    <n v="1270"/>
    <x v="2"/>
    <x v="1"/>
    <n v="12"/>
    <x v="18"/>
    <n v="2.82"/>
    <n v="31.69"/>
    <n v="0.83"/>
    <n v="86.75"/>
  </r>
  <r>
    <x v="208"/>
    <n v="1270"/>
    <x v="2"/>
    <x v="0"/>
    <n v="6"/>
    <x v="20"/>
    <n v="9.42"/>
    <n v="28.37"/>
    <n v="1.1000000000000001"/>
    <n v="302.67"/>
  </r>
  <r>
    <x v="209"/>
    <n v="1270"/>
    <x v="2"/>
    <x v="0"/>
    <n v="21"/>
    <x v="55"/>
    <n v="10.93"/>
    <n v="31.27"/>
    <n v="1.08"/>
    <n v="349.42"/>
  </r>
  <r>
    <x v="210"/>
    <n v="1270"/>
    <x v="2"/>
    <x v="0"/>
    <n v="22"/>
    <x v="98"/>
    <n v="11.57"/>
    <n v="31.21"/>
    <n v="0.98"/>
    <n v="371.48"/>
  </r>
  <r>
    <x v="211"/>
    <n v="1270"/>
    <x v="2"/>
    <x v="1"/>
    <n v="20"/>
    <x v="178"/>
    <n v="3.06"/>
    <n v="33.11"/>
    <n v="0.83"/>
    <n v="89.6"/>
  </r>
  <r>
    <x v="212"/>
    <n v="1270"/>
    <x v="2"/>
    <x v="0"/>
    <n v="29"/>
    <x v="179"/>
    <n v="10.71"/>
    <n v="34.83"/>
    <n v="1.01"/>
    <n v="342.8"/>
  </r>
  <r>
    <x v="213"/>
    <n v="1270"/>
    <x v="2"/>
    <x v="1"/>
    <n v="11"/>
    <x v="180"/>
    <n v="2.88"/>
    <n v="31.96"/>
    <n v="0.76"/>
    <n v="84.1"/>
  </r>
  <r>
    <x v="214"/>
    <n v="1270"/>
    <x v="2"/>
    <x v="0"/>
    <n v="8"/>
    <x v="181"/>
    <n v="11.13"/>
    <n v="34.85"/>
    <n v="0.97"/>
    <n v="348.17"/>
  </r>
  <r>
    <x v="215"/>
    <n v="1271"/>
    <x v="3"/>
    <x v="0"/>
    <n v="161"/>
    <x v="182"/>
    <n v="11.14"/>
    <n v="25.54"/>
    <n v="1.1000000000000001"/>
    <n v="388.54"/>
  </r>
  <r>
    <x v="216"/>
    <n v="1271"/>
    <x v="3"/>
    <x v="1"/>
    <n v="8"/>
    <x v="43"/>
    <n v="2.66"/>
    <n v="29.64"/>
    <n v="0.78"/>
    <n v="81.83"/>
  </r>
  <r>
    <x v="217"/>
    <n v="1271"/>
    <x v="3"/>
    <x v="0"/>
    <n v="14"/>
    <x v="183"/>
    <n v="11.19"/>
    <n v="30.51"/>
    <n v="1"/>
    <n v="343.91"/>
  </r>
  <r>
    <x v="218"/>
    <n v="1271"/>
    <x v="3"/>
    <x v="1"/>
    <n v="14"/>
    <x v="184"/>
    <n v="2.96"/>
    <n v="33.200000000000003"/>
    <n v="0.79"/>
    <n v="84.53"/>
  </r>
  <r>
    <x v="219"/>
    <n v="1271"/>
    <x v="3"/>
    <x v="0"/>
    <n v="12"/>
    <x v="185"/>
    <n v="10.78"/>
    <n v="37.5"/>
    <n v="0.96"/>
    <n v="363.06"/>
  </r>
  <r>
    <x v="220"/>
    <n v="1271"/>
    <x v="3"/>
    <x v="1"/>
    <n v="12"/>
    <x v="186"/>
    <n v="2.68"/>
    <n v="30.78"/>
    <n v="0.8"/>
    <n v="79.63"/>
  </r>
  <r>
    <x v="221"/>
    <n v="1271"/>
    <x v="3"/>
    <x v="1"/>
    <n v="14"/>
    <x v="187"/>
    <n v="3.03"/>
    <n v="32.39"/>
    <n v="0.8"/>
    <n v="87.21"/>
  </r>
  <r>
    <x v="222"/>
    <n v="1271"/>
    <x v="3"/>
    <x v="1"/>
    <n v="13"/>
    <x v="188"/>
    <n v="2.99"/>
    <n v="28.74"/>
    <n v="0.77"/>
    <n v="87.57"/>
  </r>
  <r>
    <x v="223"/>
    <n v="1272"/>
    <x v="0"/>
    <x v="0"/>
    <n v="14"/>
    <x v="189"/>
    <n v="10.72"/>
    <n v="27.9"/>
    <n v="0.94"/>
    <n v="306.27999999999997"/>
  </r>
  <r>
    <x v="224"/>
    <n v="1272"/>
    <x v="0"/>
    <x v="0"/>
    <n v="12"/>
    <x v="190"/>
    <n v="10.89"/>
    <n v="30.4"/>
    <n v="1.01"/>
    <n v="349.18"/>
  </r>
  <r>
    <x v="225"/>
    <n v="1272"/>
    <x v="0"/>
    <x v="0"/>
    <n v="9"/>
    <x v="191"/>
    <n v="11.61"/>
    <n v="29.78"/>
    <n v="0.86"/>
    <n v="396.6"/>
  </r>
  <r>
    <x v="226"/>
    <n v="1272"/>
    <x v="0"/>
    <x v="1"/>
    <n v="47"/>
    <x v="192"/>
    <n v="3.04"/>
    <n v="34.56"/>
    <n v="0.82"/>
    <n v="85.68"/>
  </r>
  <r>
    <x v="227"/>
    <n v="1272"/>
    <x v="0"/>
    <x v="0"/>
    <n v="12"/>
    <x v="193"/>
    <n v="11.4"/>
    <n v="26.05"/>
    <n v="1.01"/>
    <n v="379.79"/>
  </r>
  <r>
    <x v="228"/>
    <n v="1272"/>
    <x v="0"/>
    <x v="0"/>
    <n v="14"/>
    <x v="119"/>
    <n v="10.7"/>
    <n v="34.47"/>
    <n v="0.91"/>
    <n v="284.79000000000002"/>
  </r>
  <r>
    <x v="229"/>
    <n v="1272"/>
    <x v="0"/>
    <x v="1"/>
    <n v="17"/>
    <x v="81"/>
    <n v="2.83"/>
    <n v="32.78"/>
    <n v="0.82"/>
    <n v="88.99"/>
  </r>
  <r>
    <x v="230"/>
    <n v="1273"/>
    <x v="3"/>
    <x v="1"/>
    <n v="13"/>
    <x v="194"/>
    <n v="3.13"/>
    <n v="25.65"/>
    <n v="0.81"/>
    <n v="87.75"/>
  </r>
  <r>
    <x v="231"/>
    <n v="1273"/>
    <x v="3"/>
    <x v="0"/>
    <n v="9"/>
    <x v="195"/>
    <n v="10.72"/>
    <n v="26.08"/>
    <n v="1.04"/>
    <n v="372.41"/>
  </r>
  <r>
    <x v="232"/>
    <n v="1273"/>
    <x v="3"/>
    <x v="0"/>
    <n v="13"/>
    <x v="190"/>
    <n v="10.81"/>
    <n v="30.68"/>
    <n v="1.07"/>
    <n v="282.45999999999998"/>
  </r>
  <r>
    <x v="233"/>
    <n v="1273"/>
    <x v="3"/>
    <x v="0"/>
    <n v="36"/>
    <x v="58"/>
    <n v="10.95"/>
    <n v="30.51"/>
    <n v="0.96"/>
    <n v="338.3"/>
  </r>
  <r>
    <x v="234"/>
    <n v="1273"/>
    <x v="3"/>
    <x v="0"/>
    <n v="37"/>
    <x v="157"/>
    <n v="10.83"/>
    <n v="29.6"/>
    <n v="1.01"/>
    <n v="373.07"/>
  </r>
  <r>
    <x v="235"/>
    <n v="1273"/>
    <x v="3"/>
    <x v="0"/>
    <n v="17"/>
    <x v="191"/>
    <n v="11.96"/>
    <n v="36.9"/>
    <n v="1.1100000000000001"/>
    <n v="425.9"/>
  </r>
  <r>
    <x v="236"/>
    <n v="1273"/>
    <x v="3"/>
    <x v="1"/>
    <n v="13"/>
    <x v="104"/>
    <n v="3"/>
    <n v="30.6"/>
    <n v="0.81"/>
    <n v="89.3"/>
  </r>
  <r>
    <x v="237"/>
    <n v="1273"/>
    <x v="3"/>
    <x v="0"/>
    <n v="9"/>
    <x v="196"/>
    <n v="10.85"/>
    <n v="30.86"/>
    <n v="0.9"/>
    <n v="371.33"/>
  </r>
  <r>
    <x v="238"/>
    <n v="1273"/>
    <x v="3"/>
    <x v="1"/>
    <n v="10"/>
    <x v="197"/>
    <n v="2.63"/>
    <n v="29.26"/>
    <n v="0.79"/>
    <n v="71.67"/>
  </r>
  <r>
    <x v="239"/>
    <n v="1274"/>
    <x v="1"/>
    <x v="1"/>
    <n v="35"/>
    <x v="198"/>
    <n v="2.66"/>
    <n v="30.15"/>
    <n v="0.78"/>
    <n v="76.489999999999995"/>
  </r>
  <r>
    <x v="240"/>
    <n v="1274"/>
    <x v="1"/>
    <x v="0"/>
    <n v="18"/>
    <x v="199"/>
    <n v="10.9"/>
    <n v="32.36"/>
    <n v="0.9"/>
    <n v="373.52"/>
  </r>
  <r>
    <x v="241"/>
    <n v="1274"/>
    <x v="1"/>
    <x v="0"/>
    <n v="14"/>
    <x v="200"/>
    <n v="10.46"/>
    <n v="26.35"/>
    <n v="1.04"/>
    <n v="345.98"/>
  </r>
  <r>
    <x v="242"/>
    <n v="1274"/>
    <x v="1"/>
    <x v="1"/>
    <n v="18"/>
    <x v="201"/>
    <n v="2.94"/>
    <n v="31.96"/>
    <n v="0.8"/>
    <n v="82.54"/>
  </r>
  <r>
    <x v="243"/>
    <n v="1274"/>
    <x v="1"/>
    <x v="1"/>
    <n v="12"/>
    <x v="47"/>
    <n v="2.98"/>
    <n v="34.97"/>
    <n v="0.82"/>
    <n v="89.52"/>
  </r>
  <r>
    <x v="244"/>
    <n v="1274"/>
    <x v="1"/>
    <x v="0"/>
    <n v="20"/>
    <x v="202"/>
    <n v="11.13"/>
    <n v="30.88"/>
    <n v="1.01"/>
    <n v="374.36"/>
  </r>
  <r>
    <x v="245"/>
    <n v="1274"/>
    <x v="1"/>
    <x v="1"/>
    <n v="16"/>
    <x v="203"/>
    <n v="2.91"/>
    <n v="34.299999999999997"/>
    <n v="0.79"/>
    <n v="87.46"/>
  </r>
  <r>
    <x v="246"/>
    <n v="1275"/>
    <x v="2"/>
    <x v="0"/>
    <n v="16"/>
    <x v="204"/>
    <n v="9.66"/>
    <n v="37.619999999999997"/>
    <n v="0.94"/>
    <n v="337.08"/>
  </r>
  <r>
    <x v="247"/>
    <n v="1275"/>
    <x v="2"/>
    <x v="0"/>
    <n v="22"/>
    <x v="148"/>
    <n v="10.220000000000001"/>
    <n v="33.9"/>
    <n v="1.03"/>
    <n v="337.84"/>
  </r>
  <r>
    <x v="248"/>
    <n v="1275"/>
    <x v="2"/>
    <x v="1"/>
    <n v="26"/>
    <x v="205"/>
    <n v="3.11"/>
    <n v="26.72"/>
    <n v="0.79"/>
    <n v="78.55"/>
  </r>
  <r>
    <x v="249"/>
    <n v="1275"/>
    <x v="2"/>
    <x v="0"/>
    <n v="11"/>
    <x v="151"/>
    <n v="11.37"/>
    <n v="30.15"/>
    <n v="1.01"/>
    <n v="366.88"/>
  </r>
  <r>
    <x v="250"/>
    <n v="1275"/>
    <x v="2"/>
    <x v="1"/>
    <n v="27"/>
    <x v="37"/>
    <n v="2.59"/>
    <n v="25.77"/>
    <n v="0.79"/>
    <n v="76.56"/>
  </r>
  <r>
    <x v="251"/>
    <n v="1275"/>
    <x v="2"/>
    <x v="1"/>
    <n v="32"/>
    <x v="81"/>
    <n v="2.79"/>
    <n v="28.84"/>
    <n v="0.78"/>
    <n v="83.32"/>
  </r>
  <r>
    <x v="252"/>
    <n v="1275"/>
    <x v="2"/>
    <x v="0"/>
    <n v="6"/>
    <x v="206"/>
    <n v="10.74"/>
    <n v="30.18"/>
    <n v="1"/>
    <n v="350.48"/>
  </r>
  <r>
    <x v="253"/>
    <n v="1276"/>
    <x v="3"/>
    <x v="1"/>
    <n v="45"/>
    <x v="207"/>
    <n v="2.84"/>
    <n v="26.81"/>
    <n v="0.82"/>
    <n v="80.69"/>
  </r>
  <r>
    <x v="254"/>
    <n v="1276"/>
    <x v="3"/>
    <x v="1"/>
    <n v="19"/>
    <x v="208"/>
    <n v="3.14"/>
    <n v="29.53"/>
    <n v="0.8"/>
    <n v="91.4"/>
  </r>
  <r>
    <x v="255"/>
    <n v="1276"/>
    <x v="3"/>
    <x v="1"/>
    <n v="16"/>
    <x v="209"/>
    <n v="2.76"/>
    <n v="24.96"/>
    <n v="0.81"/>
    <n v="76.7"/>
  </r>
  <r>
    <x v="256"/>
    <n v="1276"/>
    <x v="3"/>
    <x v="1"/>
    <n v="14"/>
    <x v="198"/>
    <n v="2.9"/>
    <n v="29.87"/>
    <n v="0.81"/>
    <n v="81.8"/>
  </r>
  <r>
    <x v="257"/>
    <n v="1276"/>
    <x v="3"/>
    <x v="0"/>
    <n v="24"/>
    <x v="23"/>
    <n v="11.4"/>
    <n v="31.46"/>
    <n v="1.1100000000000001"/>
    <n v="378.33"/>
  </r>
  <r>
    <x v="258"/>
    <n v="1276"/>
    <x v="3"/>
    <x v="1"/>
    <n v="13"/>
    <x v="210"/>
    <n v="3.01"/>
    <n v="28.81"/>
    <n v="0.8"/>
    <n v="85.28"/>
  </r>
  <r>
    <x v="259"/>
    <n v="1276"/>
    <x v="3"/>
    <x v="0"/>
    <n v="14"/>
    <x v="211"/>
    <n v="10.77"/>
    <n v="31.54"/>
    <n v="0.98"/>
    <n v="355.43"/>
  </r>
  <r>
    <x v="260"/>
    <n v="1276"/>
    <x v="3"/>
    <x v="1"/>
    <n v="10"/>
    <x v="212"/>
    <n v="2.97"/>
    <n v="28.13"/>
    <n v="0.81"/>
    <n v="92.69"/>
  </r>
  <r>
    <x v="261"/>
    <n v="1276"/>
    <x v="3"/>
    <x v="0"/>
    <n v="18"/>
    <x v="213"/>
    <n v="10.41"/>
    <n v="29.21"/>
    <n v="1.03"/>
    <n v="316.39"/>
  </r>
  <r>
    <x v="262"/>
    <n v="1276"/>
    <x v="3"/>
    <x v="1"/>
    <n v="13"/>
    <x v="214"/>
    <n v="2.87"/>
    <n v="36.99"/>
    <n v="0.8"/>
    <n v="90.01"/>
  </r>
  <r>
    <x v="263"/>
    <n v="1276"/>
    <x v="3"/>
    <x v="0"/>
    <n v="16"/>
    <x v="215"/>
    <n v="11.57"/>
    <n v="34.82"/>
    <n v="1.02"/>
    <n v="387.33"/>
  </r>
  <r>
    <x v="264"/>
    <n v="1276"/>
    <x v="3"/>
    <x v="1"/>
    <n v="19"/>
    <x v="216"/>
    <n v="3"/>
    <n v="33.119999999999997"/>
    <n v="0.83"/>
    <n v="89.47"/>
  </r>
  <r>
    <x v="265"/>
    <n v="1276"/>
    <x v="3"/>
    <x v="0"/>
    <n v="16"/>
    <x v="206"/>
    <n v="10.15"/>
    <n v="28.13"/>
    <n v="1.01"/>
    <n v="331.09"/>
  </r>
  <r>
    <x v="266"/>
    <n v="1277"/>
    <x v="0"/>
    <x v="1"/>
    <n v="5"/>
    <x v="217"/>
    <n v="2.73"/>
    <n v="33.03"/>
    <n v="0.81"/>
    <n v="84.5"/>
  </r>
  <r>
    <x v="267"/>
    <n v="1277"/>
    <x v="0"/>
    <x v="1"/>
    <n v="17"/>
    <x v="214"/>
    <n v="2.82"/>
    <n v="30.01"/>
    <n v="0.8"/>
    <n v="82.87"/>
  </r>
  <r>
    <x v="268"/>
    <n v="1277"/>
    <x v="0"/>
    <x v="0"/>
    <n v="73"/>
    <x v="199"/>
    <n v="11.71"/>
    <n v="32.61"/>
    <n v="0.97"/>
    <n v="401.69"/>
  </r>
  <r>
    <x v="269"/>
    <n v="1277"/>
    <x v="0"/>
    <x v="1"/>
    <n v="11"/>
    <x v="218"/>
    <n v="2.57"/>
    <n v="26.89"/>
    <n v="0.81"/>
    <n v="77.81"/>
  </r>
  <r>
    <x v="270"/>
    <n v="1277"/>
    <x v="0"/>
    <x v="0"/>
    <n v="12"/>
    <x v="219"/>
    <n v="11.5"/>
    <n v="32.01"/>
    <n v="1.0900000000000001"/>
    <n v="403.83"/>
  </r>
  <r>
    <x v="271"/>
    <n v="1277"/>
    <x v="0"/>
    <x v="1"/>
    <n v="15"/>
    <x v="220"/>
    <n v="2.9"/>
    <n v="30.14"/>
    <n v="0.83"/>
    <n v="85.5"/>
  </r>
  <r>
    <x v="272"/>
    <n v="1277"/>
    <x v="0"/>
    <x v="0"/>
    <n v="11"/>
    <x v="156"/>
    <n v="10.57"/>
    <n v="35.29"/>
    <n v="0.9"/>
    <n v="343.76"/>
  </r>
  <r>
    <x v="273"/>
    <n v="1278"/>
    <x v="0"/>
    <x v="1"/>
    <n v="28"/>
    <x v="75"/>
    <n v="3.07"/>
    <n v="33.78"/>
    <n v="0.8"/>
    <n v="91.44"/>
  </r>
  <r>
    <x v="274"/>
    <n v="1278"/>
    <x v="0"/>
    <x v="0"/>
    <n v="26"/>
    <x v="116"/>
    <n v="12.32"/>
    <n v="31.25"/>
    <n v="1.08"/>
    <n v="379.01"/>
  </r>
  <r>
    <x v="275"/>
    <n v="1278"/>
    <x v="0"/>
    <x v="1"/>
    <n v="14"/>
    <x v="221"/>
    <n v="3.09"/>
    <n v="30.82"/>
    <n v="0.8"/>
    <n v="82.02"/>
  </r>
  <r>
    <x v="276"/>
    <n v="1278"/>
    <x v="0"/>
    <x v="1"/>
    <n v="10"/>
    <x v="222"/>
    <n v="2.89"/>
    <n v="29.93"/>
    <n v="0.84"/>
    <n v="84.48"/>
  </r>
  <r>
    <x v="277"/>
    <n v="1278"/>
    <x v="0"/>
    <x v="1"/>
    <n v="18"/>
    <x v="223"/>
    <n v="3.08"/>
    <n v="27.43"/>
    <n v="0.82"/>
    <n v="78.14"/>
  </r>
  <r>
    <x v="278"/>
    <n v="1278"/>
    <x v="0"/>
    <x v="1"/>
    <n v="21"/>
    <x v="224"/>
    <n v="2.88"/>
    <n v="34.36"/>
    <n v="0.8"/>
    <n v="82.51"/>
  </r>
  <r>
    <x v="279"/>
    <n v="1278"/>
    <x v="0"/>
    <x v="1"/>
    <n v="13"/>
    <x v="75"/>
    <n v="2.9"/>
    <n v="28.23"/>
    <n v="0.79"/>
    <n v="82.83"/>
  </r>
  <r>
    <x v="280"/>
    <n v="1278"/>
    <x v="0"/>
    <x v="1"/>
    <n v="22"/>
    <x v="225"/>
    <n v="2.5299999999999998"/>
    <n v="29.62"/>
    <n v="0.81"/>
    <n v="83.23"/>
  </r>
  <r>
    <x v="281"/>
    <n v="1279"/>
    <x v="2"/>
    <x v="1"/>
    <n v="7"/>
    <x v="226"/>
    <n v="2.76"/>
    <n v="31.33"/>
    <n v="0.8"/>
    <n v="86.58"/>
  </r>
  <r>
    <x v="282"/>
    <n v="1279"/>
    <x v="2"/>
    <x v="0"/>
    <n v="12"/>
    <x v="128"/>
    <n v="11.68"/>
    <n v="31.39"/>
    <n v="1.04"/>
    <n v="373.12"/>
  </r>
  <r>
    <x v="283"/>
    <n v="1279"/>
    <x v="2"/>
    <x v="1"/>
    <n v="8"/>
    <x v="227"/>
    <n v="2.87"/>
    <n v="28.47"/>
    <n v="0.83"/>
    <n v="92.21"/>
  </r>
  <r>
    <x v="284"/>
    <n v="1279"/>
    <x v="2"/>
    <x v="0"/>
    <n v="52"/>
    <x v="228"/>
    <n v="11.95"/>
    <n v="32.71"/>
    <n v="1.02"/>
    <n v="376.73"/>
  </r>
  <r>
    <x v="285"/>
    <n v="1279"/>
    <x v="2"/>
    <x v="1"/>
    <n v="14"/>
    <x v="229"/>
    <n v="3.04"/>
    <n v="37.92"/>
    <n v="0.82"/>
    <n v="92.26"/>
  </r>
  <r>
    <x v="286"/>
    <n v="1279"/>
    <x v="2"/>
    <x v="0"/>
    <n v="17"/>
    <x v="230"/>
    <n v="11.22"/>
    <n v="31.67"/>
    <n v="0.86"/>
    <n v="353.02"/>
  </r>
  <r>
    <x v="287"/>
    <n v="1279"/>
    <x v="2"/>
    <x v="0"/>
    <n v="8"/>
    <x v="231"/>
    <n v="11.01"/>
    <n v="39.64"/>
    <n v="1.07"/>
    <n v="347.72"/>
  </r>
  <r>
    <x v="288"/>
    <n v="1280"/>
    <x v="3"/>
    <x v="0"/>
    <n v="6"/>
    <x v="232"/>
    <n v="11.61"/>
    <n v="28.36"/>
    <n v="1.03"/>
    <n v="407.44"/>
  </r>
  <r>
    <x v="289"/>
    <n v="1280"/>
    <x v="3"/>
    <x v="0"/>
    <n v="26"/>
    <x v="233"/>
    <n v="11.82"/>
    <n v="32.46"/>
    <n v="0.95"/>
    <n v="390.98"/>
  </r>
  <r>
    <x v="290"/>
    <n v="1280"/>
    <x v="3"/>
    <x v="1"/>
    <n v="13"/>
    <x v="234"/>
    <n v="2.89"/>
    <n v="29.79"/>
    <n v="0.82"/>
    <n v="83.26"/>
  </r>
  <r>
    <x v="291"/>
    <n v="1280"/>
    <x v="3"/>
    <x v="1"/>
    <n v="11"/>
    <x v="3"/>
    <n v="2.72"/>
    <n v="24.5"/>
    <n v="0.81"/>
    <n v="76.73"/>
  </r>
  <r>
    <x v="292"/>
    <n v="1280"/>
    <x v="3"/>
    <x v="0"/>
    <n v="11"/>
    <x v="235"/>
    <n v="11.56"/>
    <n v="29.89"/>
    <n v="1.02"/>
    <n v="378.47"/>
  </r>
  <r>
    <x v="293"/>
    <n v="1280"/>
    <x v="3"/>
    <x v="0"/>
    <n v="16"/>
    <x v="236"/>
    <n v="11.98"/>
    <n v="29.81"/>
    <n v="0.98"/>
    <n v="407.56"/>
  </r>
  <r>
    <x v="294"/>
    <n v="1280"/>
    <x v="3"/>
    <x v="0"/>
    <n v="16"/>
    <x v="29"/>
    <n v="11.59"/>
    <n v="28.53"/>
    <n v="0.99"/>
    <n v="355.83"/>
  </r>
  <r>
    <x v="295"/>
    <n v="1280"/>
    <x v="3"/>
    <x v="0"/>
    <n v="10"/>
    <x v="237"/>
    <n v="11.48"/>
    <n v="34.29"/>
    <n v="0.91"/>
    <n v="389.76"/>
  </r>
  <r>
    <x v="296"/>
    <n v="1280"/>
    <x v="3"/>
    <x v="0"/>
    <n v="11"/>
    <x v="238"/>
    <n v="10.45"/>
    <n v="26.83"/>
    <n v="0.94"/>
    <n v="342.61"/>
  </r>
  <r>
    <x v="297"/>
    <n v="1280"/>
    <x v="3"/>
    <x v="0"/>
    <n v="21"/>
    <x v="100"/>
    <n v="10.38"/>
    <n v="34.53"/>
    <n v="1.18"/>
    <n v="355.44"/>
  </r>
  <r>
    <x v="298"/>
    <n v="1280"/>
    <x v="3"/>
    <x v="0"/>
    <n v="18"/>
    <x v="239"/>
    <n v="10.199999999999999"/>
    <n v="33.49"/>
    <n v="1.08"/>
    <n v="352.71"/>
  </r>
  <r>
    <x v="299"/>
    <n v="1280"/>
    <x v="3"/>
    <x v="0"/>
    <n v="13"/>
    <x v="240"/>
    <n v="11.02"/>
    <n v="28.07"/>
    <n v="1.03"/>
    <n v="353.07"/>
  </r>
  <r>
    <x v="300"/>
    <n v="1280"/>
    <x v="3"/>
    <x v="0"/>
    <n v="18"/>
    <x v="233"/>
    <n v="11.11"/>
    <n v="35.96"/>
    <n v="1.01"/>
    <n v="376.22"/>
  </r>
  <r>
    <x v="301"/>
    <n v="1280"/>
    <x v="3"/>
    <x v="1"/>
    <n v="8"/>
    <x v="220"/>
    <n v="2.6"/>
    <n v="29.94"/>
    <n v="0.81"/>
    <n v="78.66"/>
  </r>
  <r>
    <x v="302"/>
    <n v="1280"/>
    <x v="3"/>
    <x v="1"/>
    <n v="13"/>
    <x v="241"/>
    <n v="2.61"/>
    <n v="32.61"/>
    <n v="0.83"/>
    <n v="81.81"/>
  </r>
  <r>
    <x v="303"/>
    <n v="1280"/>
    <x v="3"/>
    <x v="0"/>
    <n v="10"/>
    <x v="242"/>
    <n v="11.41"/>
    <n v="27.98"/>
    <n v="0.96"/>
    <n v="396.19"/>
  </r>
  <r>
    <x v="304"/>
    <n v="1280"/>
    <x v="3"/>
    <x v="1"/>
    <n v="20"/>
    <x v="243"/>
    <n v="2.79"/>
    <n v="31.24"/>
    <n v="0.8"/>
    <n v="78.739999999999995"/>
  </r>
  <r>
    <x v="305"/>
    <n v="1281"/>
    <x v="2"/>
    <x v="0"/>
    <n v="18"/>
    <x v="167"/>
    <n v="11.35"/>
    <n v="29.88"/>
    <n v="1.03"/>
    <n v="348.46"/>
  </r>
  <r>
    <x v="306"/>
    <n v="1281"/>
    <x v="2"/>
    <x v="1"/>
    <n v="8"/>
    <x v="244"/>
    <n v="2.9"/>
    <n v="30.9"/>
    <n v="0.81"/>
    <n v="77.58"/>
  </r>
  <r>
    <x v="307"/>
    <n v="1281"/>
    <x v="2"/>
    <x v="1"/>
    <n v="11"/>
    <x v="245"/>
    <n v="2.58"/>
    <n v="28.63"/>
    <n v="0.79"/>
    <n v="77.95"/>
  </r>
  <r>
    <x v="308"/>
    <n v="1281"/>
    <x v="2"/>
    <x v="1"/>
    <n v="14"/>
    <x v="246"/>
    <n v="2.66"/>
    <n v="30.13"/>
    <n v="0.79"/>
    <n v="86.35"/>
  </r>
  <r>
    <x v="309"/>
    <n v="1281"/>
    <x v="2"/>
    <x v="0"/>
    <n v="15"/>
    <x v="247"/>
    <n v="11.45"/>
    <n v="33.83"/>
    <n v="1.04"/>
    <n v="389.15"/>
  </r>
  <r>
    <x v="310"/>
    <n v="1281"/>
    <x v="2"/>
    <x v="1"/>
    <n v="10"/>
    <x v="248"/>
    <n v="3.11"/>
    <n v="31.03"/>
    <n v="0.8"/>
    <n v="85.63"/>
  </r>
  <r>
    <x v="311"/>
    <n v="1281"/>
    <x v="2"/>
    <x v="1"/>
    <n v="72"/>
    <x v="249"/>
    <n v="2.73"/>
    <n v="30.84"/>
    <n v="0.77"/>
    <n v="83.29"/>
  </r>
  <r>
    <x v="312"/>
    <n v="1282"/>
    <x v="1"/>
    <x v="1"/>
    <n v="9"/>
    <x v="250"/>
    <n v="2.72"/>
    <n v="32.96"/>
    <n v="0.8"/>
    <n v="87.57"/>
  </r>
  <r>
    <x v="313"/>
    <n v="1282"/>
    <x v="1"/>
    <x v="1"/>
    <n v="108"/>
    <x v="164"/>
    <n v="2.91"/>
    <n v="29.77"/>
    <n v="0.78"/>
    <n v="78.92"/>
  </r>
  <r>
    <x v="314"/>
    <n v="1282"/>
    <x v="1"/>
    <x v="1"/>
    <n v="14"/>
    <x v="251"/>
    <n v="2.86"/>
    <n v="30.45"/>
    <n v="0.77"/>
    <n v="79"/>
  </r>
  <r>
    <x v="315"/>
    <n v="1282"/>
    <x v="1"/>
    <x v="0"/>
    <n v="11"/>
    <x v="252"/>
    <n v="10.99"/>
    <n v="32.11"/>
    <n v="1.01"/>
    <n v="306.20999999999998"/>
  </r>
  <r>
    <x v="316"/>
    <n v="1282"/>
    <x v="1"/>
    <x v="1"/>
    <n v="15"/>
    <x v="253"/>
    <n v="3.33"/>
    <n v="29.95"/>
    <n v="0.78"/>
    <n v="95.66"/>
  </r>
  <r>
    <x v="317"/>
    <n v="1282"/>
    <x v="1"/>
    <x v="0"/>
    <n v="11"/>
    <x v="29"/>
    <n v="11.78"/>
    <n v="33.06"/>
    <n v="1.04"/>
    <n v="368.42"/>
  </r>
  <r>
    <x v="318"/>
    <n v="1282"/>
    <x v="1"/>
    <x v="0"/>
    <n v="22"/>
    <x v="254"/>
    <n v="9.57"/>
    <n v="32.94"/>
    <n v="0.97"/>
    <n v="316.04000000000002"/>
  </r>
  <r>
    <x v="319"/>
    <n v="1282"/>
    <x v="1"/>
    <x v="0"/>
    <n v="13"/>
    <x v="255"/>
    <n v="11.6"/>
    <n v="26.72"/>
    <n v="1.03"/>
    <n v="310.76"/>
  </r>
  <r>
    <x v="320"/>
    <n v="1282"/>
    <x v="1"/>
    <x v="0"/>
    <n v="17"/>
    <x v="256"/>
    <n v="12.03"/>
    <n v="37.590000000000003"/>
    <n v="0.98"/>
    <n v="411.75"/>
  </r>
  <r>
    <x v="321"/>
    <n v="1283"/>
    <x v="3"/>
    <x v="0"/>
    <n v="17"/>
    <x v="16"/>
    <n v="11.55"/>
    <n v="26.23"/>
    <n v="1.04"/>
    <n v="376.25"/>
  </r>
  <r>
    <x v="322"/>
    <n v="1283"/>
    <x v="3"/>
    <x v="0"/>
    <n v="35"/>
    <x v="257"/>
    <n v="10.58"/>
    <n v="30.58"/>
    <n v="0.93"/>
    <n v="314.62"/>
  </r>
  <r>
    <x v="323"/>
    <n v="1283"/>
    <x v="3"/>
    <x v="0"/>
    <n v="14"/>
    <x v="258"/>
    <n v="11.22"/>
    <n v="35.4"/>
    <n v="1"/>
    <n v="366.24"/>
  </r>
  <r>
    <x v="324"/>
    <n v="1283"/>
    <x v="3"/>
    <x v="1"/>
    <n v="13"/>
    <x v="259"/>
    <n v="3.09"/>
    <n v="32.770000000000003"/>
    <n v="0.8"/>
    <n v="90.91"/>
  </r>
  <r>
    <x v="325"/>
    <n v="1283"/>
    <x v="3"/>
    <x v="0"/>
    <n v="18"/>
    <x v="260"/>
    <n v="11.5"/>
    <n v="36.619999999999997"/>
    <n v="1.05"/>
    <n v="317.08"/>
  </r>
  <r>
    <x v="326"/>
    <n v="1283"/>
    <x v="3"/>
    <x v="1"/>
    <n v="12"/>
    <x v="226"/>
    <n v="3.02"/>
    <n v="34.72"/>
    <n v="0.79"/>
    <n v="94.74"/>
  </r>
  <r>
    <x v="327"/>
    <n v="1283"/>
    <x v="3"/>
    <x v="1"/>
    <n v="17"/>
    <x v="261"/>
    <n v="2.87"/>
    <n v="29.75"/>
    <n v="0.76"/>
    <n v="71.61"/>
  </r>
  <r>
    <x v="328"/>
    <n v="1283"/>
    <x v="3"/>
    <x v="1"/>
    <n v="14"/>
    <x v="220"/>
    <n v="2.67"/>
    <n v="28.6"/>
    <n v="0.81"/>
    <n v="78.86"/>
  </r>
  <r>
    <x v="329"/>
    <n v="1284"/>
    <x v="3"/>
    <x v="1"/>
    <n v="9"/>
    <x v="262"/>
    <n v="2.54"/>
    <n v="33.08"/>
    <n v="0.81"/>
    <n v="82.11"/>
  </r>
  <r>
    <x v="330"/>
    <n v="1284"/>
    <x v="3"/>
    <x v="0"/>
    <n v="19"/>
    <x v="121"/>
    <n v="9.85"/>
    <n v="29.51"/>
    <n v="1.01"/>
    <n v="296.86"/>
  </r>
  <r>
    <x v="331"/>
    <n v="1284"/>
    <x v="3"/>
    <x v="1"/>
    <n v="15"/>
    <x v="112"/>
    <n v="3.08"/>
    <n v="28.89"/>
    <n v="0.83"/>
    <n v="89.39"/>
  </r>
  <r>
    <x v="332"/>
    <n v="1284"/>
    <x v="3"/>
    <x v="1"/>
    <n v="27"/>
    <x v="263"/>
    <n v="2.81"/>
    <n v="34.409999999999997"/>
    <n v="0.76"/>
    <n v="89.08"/>
  </r>
  <r>
    <x v="333"/>
    <n v="1284"/>
    <x v="3"/>
    <x v="1"/>
    <n v="8"/>
    <x v="264"/>
    <n v="3.08"/>
    <n v="31.95"/>
    <n v="0.84"/>
    <n v="91.73"/>
  </r>
  <r>
    <x v="334"/>
    <n v="1284"/>
    <x v="3"/>
    <x v="0"/>
    <n v="22"/>
    <x v="211"/>
    <n v="11.54"/>
    <n v="32.6"/>
    <n v="0.95"/>
    <n v="378.28"/>
  </r>
  <r>
    <x v="335"/>
    <n v="1284"/>
    <x v="3"/>
    <x v="1"/>
    <n v="11"/>
    <x v="265"/>
    <n v="2.87"/>
    <n v="31.59"/>
    <n v="0.8"/>
    <n v="85.14"/>
  </r>
  <r>
    <x v="336"/>
    <n v="1284"/>
    <x v="3"/>
    <x v="0"/>
    <n v="19"/>
    <x v="266"/>
    <n v="10.97"/>
    <n v="28.99"/>
    <n v="1.1000000000000001"/>
    <n v="364.96"/>
  </r>
  <r>
    <x v="337"/>
    <n v="1284"/>
    <x v="3"/>
    <x v="0"/>
    <n v="36"/>
    <x v="33"/>
    <n v="10.11"/>
    <n v="31.75"/>
    <n v="1.1200000000000001"/>
    <n v="344.59"/>
  </r>
  <r>
    <x v="338"/>
    <n v="1284"/>
    <x v="3"/>
    <x v="1"/>
    <n v="14"/>
    <x v="267"/>
    <n v="2.82"/>
    <n v="29.89"/>
    <n v="0.77"/>
    <n v="88.91"/>
  </r>
  <r>
    <x v="339"/>
    <n v="1284"/>
    <x v="3"/>
    <x v="0"/>
    <n v="451"/>
    <x v="268"/>
    <n v="11.61"/>
    <n v="35.51"/>
    <n v="1.05"/>
    <n v="384.24"/>
  </r>
  <r>
    <x v="340"/>
    <n v="1284"/>
    <x v="3"/>
    <x v="0"/>
    <n v="21"/>
    <x v="269"/>
    <n v="11.89"/>
    <n v="30.98"/>
    <n v="0.99"/>
    <n v="387.39"/>
  </r>
  <r>
    <x v="341"/>
    <n v="1284"/>
    <x v="3"/>
    <x v="0"/>
    <n v="17"/>
    <x v="270"/>
    <n v="10.28"/>
    <n v="29.6"/>
    <n v="1.1200000000000001"/>
    <n v="336.26"/>
  </r>
  <r>
    <x v="342"/>
    <n v="1284"/>
    <x v="3"/>
    <x v="1"/>
    <n v="19"/>
    <x v="271"/>
    <n v="3.04"/>
    <n v="26.36"/>
    <n v="0.82"/>
    <n v="74.709999999999994"/>
  </r>
  <r>
    <x v="343"/>
    <n v="1284"/>
    <x v="3"/>
    <x v="1"/>
    <n v="15"/>
    <x v="109"/>
    <n v="2.83"/>
    <n v="31.66"/>
    <n v="0.8"/>
    <n v="82.73"/>
  </r>
  <r>
    <x v="344"/>
    <n v="1284"/>
    <x v="3"/>
    <x v="1"/>
    <n v="13"/>
    <x v="272"/>
    <n v="2.73"/>
    <n v="36.83"/>
    <n v="0.79"/>
    <n v="81.33"/>
  </r>
  <r>
    <x v="345"/>
    <n v="1284"/>
    <x v="3"/>
    <x v="1"/>
    <n v="12"/>
    <x v="273"/>
    <n v="2.59"/>
    <n v="26.32"/>
    <n v="0.79"/>
    <n v="79.25"/>
  </r>
  <r>
    <x v="346"/>
    <n v="1284"/>
    <x v="3"/>
    <x v="0"/>
    <n v="16"/>
    <x v="274"/>
    <n v="11.14"/>
    <n v="34.36"/>
    <n v="1.03"/>
    <n v="388.11"/>
  </r>
  <r>
    <x v="347"/>
    <n v="1284"/>
    <x v="3"/>
    <x v="0"/>
    <n v="44"/>
    <x v="55"/>
    <n v="10.58"/>
    <n v="29.33"/>
    <n v="1"/>
    <n v="334.23"/>
  </r>
  <r>
    <x v="348"/>
    <n v="1284"/>
    <x v="3"/>
    <x v="0"/>
    <n v="18"/>
    <x v="275"/>
    <n v="10.97"/>
    <n v="35.909999999999997"/>
    <n v="1.1000000000000001"/>
    <n v="367.82"/>
  </r>
  <r>
    <x v="349"/>
    <n v="1284"/>
    <x v="3"/>
    <x v="0"/>
    <n v="16"/>
    <x v="276"/>
    <n v="11.11"/>
    <n v="35.36"/>
    <n v="1.08"/>
    <n v="341.26"/>
  </r>
  <r>
    <x v="350"/>
    <n v="1284"/>
    <x v="3"/>
    <x v="0"/>
    <n v="23"/>
    <x v="139"/>
    <n v="11.39"/>
    <n v="29.04"/>
    <n v="0.94"/>
    <n v="355.07"/>
  </r>
  <r>
    <x v="351"/>
    <n v="1284"/>
    <x v="3"/>
    <x v="1"/>
    <n v="22"/>
    <x v="277"/>
    <n v="2.65"/>
    <n v="34.21"/>
    <n v="0.78"/>
    <n v="82.51"/>
  </r>
  <r>
    <x v="352"/>
    <n v="1284"/>
    <x v="3"/>
    <x v="1"/>
    <n v="19"/>
    <x v="278"/>
    <n v="3.09"/>
    <n v="24.77"/>
    <n v="0.8"/>
    <n v="74.87"/>
  </r>
  <r>
    <x v="353"/>
    <n v="1284"/>
    <x v="3"/>
    <x v="0"/>
    <n v="13"/>
    <x v="23"/>
    <n v="11.84"/>
    <n v="33.1"/>
    <n v="0.99"/>
    <n v="388.77"/>
  </r>
  <r>
    <x v="354"/>
    <n v="1284"/>
    <x v="3"/>
    <x v="1"/>
    <n v="12"/>
    <x v="279"/>
    <n v="2.68"/>
    <n v="28.9"/>
    <n v="0.75"/>
    <n v="78.42"/>
  </r>
  <r>
    <x v="355"/>
    <n v="1284"/>
    <x v="3"/>
    <x v="0"/>
    <n v="12"/>
    <x v="280"/>
    <n v="10.44"/>
    <n v="33.18"/>
    <n v="1.05"/>
    <n v="270.79000000000002"/>
  </r>
  <r>
    <x v="356"/>
    <n v="1284"/>
    <x v="3"/>
    <x v="0"/>
    <n v="21"/>
    <x v="179"/>
    <n v="12.17"/>
    <n v="33.33"/>
    <n v="1.05"/>
    <n v="383.61"/>
  </r>
  <r>
    <x v="357"/>
    <n v="1284"/>
    <x v="3"/>
    <x v="1"/>
    <n v="19"/>
    <x v="86"/>
    <n v="3"/>
    <n v="30.3"/>
    <n v="0.8"/>
    <n v="87.55"/>
  </r>
  <r>
    <x v="358"/>
    <n v="1284"/>
    <x v="3"/>
    <x v="1"/>
    <n v="14"/>
    <x v="281"/>
    <n v="2.93"/>
    <n v="33.28"/>
    <n v="0.81"/>
    <n v="84.04"/>
  </r>
  <r>
    <x v="359"/>
    <n v="1284"/>
    <x v="3"/>
    <x v="0"/>
    <n v="24"/>
    <x v="282"/>
    <n v="10.3"/>
    <n v="31.05"/>
    <n v="0.91"/>
    <n v="366.86"/>
  </r>
  <r>
    <x v="360"/>
    <n v="1284"/>
    <x v="3"/>
    <x v="1"/>
    <n v="7"/>
    <x v="283"/>
    <n v="2.58"/>
    <n v="29.42"/>
    <n v="0.79"/>
    <n v="77.78"/>
  </r>
  <r>
    <x v="361"/>
    <n v="1284"/>
    <x v="3"/>
    <x v="1"/>
    <n v="8"/>
    <x v="149"/>
    <n v="3.01"/>
    <n v="33.83"/>
    <n v="0.83"/>
    <n v="81.319999999999993"/>
  </r>
  <r>
    <x v="362"/>
    <n v="1285"/>
    <x v="3"/>
    <x v="0"/>
    <n v="25"/>
    <x v="284"/>
    <n v="10.14"/>
    <n v="31.73"/>
    <n v="0.88"/>
    <n v="319.51"/>
  </r>
  <r>
    <x v="363"/>
    <n v="1285"/>
    <x v="3"/>
    <x v="1"/>
    <n v="39"/>
    <x v="229"/>
    <n v="3.03"/>
    <n v="27.59"/>
    <n v="0.8"/>
    <n v="82.15"/>
  </r>
  <r>
    <x v="364"/>
    <n v="1285"/>
    <x v="3"/>
    <x v="1"/>
    <n v="16"/>
    <x v="285"/>
    <n v="2.65"/>
    <n v="31.42"/>
    <n v="0.8"/>
    <n v="73.650000000000006"/>
  </r>
  <r>
    <x v="365"/>
    <n v="1285"/>
    <x v="3"/>
    <x v="1"/>
    <n v="29"/>
    <x v="277"/>
    <n v="2.83"/>
    <n v="32.97"/>
    <n v="0.8"/>
    <n v="85.79"/>
  </r>
  <r>
    <x v="366"/>
    <n v="1285"/>
    <x v="3"/>
    <x v="1"/>
    <n v="13"/>
    <x v="286"/>
    <n v="2.86"/>
    <n v="33.33"/>
    <n v="0.8"/>
    <n v="90.32"/>
  </r>
  <r>
    <x v="367"/>
    <n v="1285"/>
    <x v="3"/>
    <x v="0"/>
    <n v="30"/>
    <x v="287"/>
    <n v="11.33"/>
    <n v="32.78"/>
    <n v="1.03"/>
    <n v="379.94"/>
  </r>
  <r>
    <x v="368"/>
    <n v="1285"/>
    <x v="3"/>
    <x v="0"/>
    <n v="11"/>
    <x v="288"/>
    <n v="9.17"/>
    <n v="29.49"/>
    <n v="1.03"/>
    <n v="310.18"/>
  </r>
  <r>
    <x v="369"/>
    <n v="1285"/>
    <x v="3"/>
    <x v="1"/>
    <n v="84"/>
    <x v="250"/>
    <n v="2.8"/>
    <n v="28.04"/>
    <n v="0.82"/>
    <n v="85.58"/>
  </r>
  <r>
    <x v="370"/>
    <n v="1286"/>
    <x v="3"/>
    <x v="0"/>
    <n v="8"/>
    <x v="106"/>
    <n v="11.32"/>
    <n v="28.37"/>
    <n v="1.05"/>
    <n v="356.39"/>
  </r>
  <r>
    <x v="371"/>
    <n v="1286"/>
    <x v="3"/>
    <x v="1"/>
    <n v="17"/>
    <x v="278"/>
    <n v="2.94"/>
    <n v="34.57"/>
    <n v="0.81"/>
    <n v="89.22"/>
  </r>
  <r>
    <x v="372"/>
    <n v="1286"/>
    <x v="3"/>
    <x v="0"/>
    <n v="14"/>
    <x v="2"/>
    <n v="11.96"/>
    <n v="28.23"/>
    <n v="1.08"/>
    <n v="381.06"/>
  </r>
  <r>
    <x v="373"/>
    <n v="1286"/>
    <x v="3"/>
    <x v="1"/>
    <n v="15"/>
    <x v="289"/>
    <n v="2.99"/>
    <n v="26.4"/>
    <n v="0.78"/>
    <n v="86.75"/>
  </r>
  <r>
    <x v="374"/>
    <n v="1286"/>
    <x v="3"/>
    <x v="1"/>
    <n v="16"/>
    <x v="290"/>
    <n v="3.09"/>
    <n v="30.04"/>
    <n v="0.77"/>
    <n v="90.66"/>
  </r>
  <r>
    <x v="375"/>
    <n v="1286"/>
    <x v="3"/>
    <x v="1"/>
    <n v="7"/>
    <x v="283"/>
    <n v="2.8"/>
    <n v="29.24"/>
    <n v="0.82"/>
    <n v="83.05"/>
  </r>
  <r>
    <x v="376"/>
    <n v="1286"/>
    <x v="3"/>
    <x v="1"/>
    <n v="8"/>
    <x v="37"/>
    <n v="2.95"/>
    <n v="32.18"/>
    <n v="0.8"/>
    <n v="90.02"/>
  </r>
  <r>
    <x v="377"/>
    <n v="1286"/>
    <x v="3"/>
    <x v="1"/>
    <n v="12"/>
    <x v="134"/>
    <n v="2.89"/>
    <n v="30.61"/>
    <n v="0.82"/>
    <n v="87.65"/>
  </r>
  <r>
    <x v="378"/>
    <n v="1286"/>
    <x v="3"/>
    <x v="0"/>
    <n v="22"/>
    <x v="29"/>
    <n v="11.39"/>
    <n v="35.56"/>
    <n v="1.01"/>
    <n v="359.4"/>
  </r>
  <r>
    <x v="379"/>
    <n v="1286"/>
    <x v="3"/>
    <x v="1"/>
    <n v="29"/>
    <x v="291"/>
    <n v="2.5099999999999998"/>
    <n v="31.57"/>
    <n v="0.81"/>
    <n v="74.34"/>
  </r>
  <r>
    <x v="380"/>
    <n v="1286"/>
    <x v="3"/>
    <x v="0"/>
    <n v="12"/>
    <x v="292"/>
    <n v="12.33"/>
    <n v="29.44"/>
    <n v="1.02"/>
    <n v="397.6"/>
  </r>
  <r>
    <x v="381"/>
    <n v="1286"/>
    <x v="3"/>
    <x v="0"/>
    <n v="49"/>
    <x v="293"/>
    <n v="11.81"/>
    <n v="36.729999999999997"/>
    <n v="0.98"/>
    <n v="408.59"/>
  </r>
  <r>
    <x v="382"/>
    <n v="1286"/>
    <x v="3"/>
    <x v="1"/>
    <n v="12"/>
    <x v="294"/>
    <n v="3.14"/>
    <n v="32.08"/>
    <n v="0.8"/>
    <n v="86.91"/>
  </r>
  <r>
    <x v="383"/>
    <n v="1287"/>
    <x v="3"/>
    <x v="0"/>
    <n v="25"/>
    <x v="58"/>
    <n v="11.68"/>
    <n v="32.340000000000003"/>
    <n v="1.05"/>
    <n v="364.09"/>
  </r>
  <r>
    <x v="384"/>
    <n v="1287"/>
    <x v="3"/>
    <x v="0"/>
    <n v="9"/>
    <x v="295"/>
    <n v="10.41"/>
    <n v="29.83"/>
    <n v="1.01"/>
    <n v="341.21"/>
  </r>
  <r>
    <x v="385"/>
    <n v="1287"/>
    <x v="3"/>
    <x v="1"/>
    <n v="15"/>
    <x v="296"/>
    <n v="2.77"/>
    <n v="31.78"/>
    <n v="0.84"/>
    <n v="86.12"/>
  </r>
  <r>
    <x v="386"/>
    <n v="1287"/>
    <x v="3"/>
    <x v="1"/>
    <n v="13"/>
    <x v="297"/>
    <n v="2.71"/>
    <n v="34.21"/>
    <n v="0.8"/>
    <n v="86.11"/>
  </r>
  <r>
    <x v="387"/>
    <n v="1287"/>
    <x v="3"/>
    <x v="1"/>
    <n v="11"/>
    <x v="298"/>
    <n v="3.1"/>
    <n v="35.4"/>
    <n v="0.8"/>
    <n v="88.35"/>
  </r>
  <r>
    <x v="388"/>
    <n v="1287"/>
    <x v="3"/>
    <x v="1"/>
    <n v="16"/>
    <x v="81"/>
    <n v="2.88"/>
    <n v="33.68"/>
    <n v="0.81"/>
    <n v="80.61"/>
  </r>
  <r>
    <x v="389"/>
    <n v="1287"/>
    <x v="3"/>
    <x v="1"/>
    <n v="15"/>
    <x v="299"/>
    <n v="2.92"/>
    <n v="35.5"/>
    <n v="0.76"/>
    <n v="95.97"/>
  </r>
  <r>
    <x v="390"/>
    <n v="1288"/>
    <x v="1"/>
    <x v="1"/>
    <n v="11"/>
    <x v="300"/>
    <n v="2.74"/>
    <n v="35.49"/>
    <n v="0.82"/>
    <n v="84.83"/>
  </r>
  <r>
    <x v="391"/>
    <n v="1288"/>
    <x v="1"/>
    <x v="0"/>
    <n v="13"/>
    <x v="292"/>
    <n v="10.79"/>
    <n v="31.11"/>
    <n v="0.93"/>
    <n v="351.1"/>
  </r>
  <r>
    <x v="392"/>
    <n v="1288"/>
    <x v="1"/>
    <x v="1"/>
    <n v="7"/>
    <x v="217"/>
    <n v="2.96"/>
    <n v="37.06"/>
    <n v="0.82"/>
    <n v="93.13"/>
  </r>
  <r>
    <x v="393"/>
    <n v="1288"/>
    <x v="1"/>
    <x v="0"/>
    <n v="31"/>
    <x v="27"/>
    <n v="10.38"/>
    <n v="35.049999999999997"/>
    <n v="0.92"/>
    <n v="335.13"/>
  </r>
  <r>
    <x v="394"/>
    <n v="1288"/>
    <x v="1"/>
    <x v="0"/>
    <n v="13"/>
    <x v="107"/>
    <n v="10.58"/>
    <n v="30.25"/>
    <n v="1.21"/>
    <n v="281.5"/>
  </r>
  <r>
    <x v="395"/>
    <n v="1288"/>
    <x v="1"/>
    <x v="1"/>
    <n v="18"/>
    <x v="88"/>
    <n v="2.75"/>
    <n v="32.659999999999997"/>
    <n v="0.78"/>
    <n v="86.86"/>
  </r>
  <r>
    <x v="396"/>
    <n v="1288"/>
    <x v="1"/>
    <x v="1"/>
    <n v="12"/>
    <x v="301"/>
    <n v="2.69"/>
    <n v="32.67"/>
    <n v="0.81"/>
    <n v="84.29"/>
  </r>
  <r>
    <x v="397"/>
    <n v="1288"/>
    <x v="1"/>
    <x v="1"/>
    <n v="24"/>
    <x v="302"/>
    <n v="3.2"/>
    <n v="33.58"/>
    <n v="0.8"/>
    <n v="91.33"/>
  </r>
  <r>
    <x v="398"/>
    <n v="1288"/>
    <x v="1"/>
    <x v="1"/>
    <n v="12"/>
    <x v="303"/>
    <n v="2.97"/>
    <n v="33.03"/>
    <n v="0.79"/>
    <n v="85.1"/>
  </r>
  <r>
    <x v="399"/>
    <n v="1288"/>
    <x v="1"/>
    <x v="1"/>
    <n v="10"/>
    <x v="37"/>
    <n v="2.84"/>
    <n v="27.11"/>
    <n v="0.79"/>
    <n v="82.95"/>
  </r>
  <r>
    <x v="400"/>
    <n v="1288"/>
    <x v="1"/>
    <x v="1"/>
    <n v="36"/>
    <x v="304"/>
    <n v="2.97"/>
    <n v="24.05"/>
    <n v="0.82"/>
    <n v="83.6"/>
  </r>
  <r>
    <x v="401"/>
    <n v="1289"/>
    <x v="0"/>
    <x v="1"/>
    <n v="14"/>
    <x v="22"/>
    <n v="2.61"/>
    <n v="33.53"/>
    <n v="0.74"/>
    <n v="83.67"/>
  </r>
  <r>
    <x v="402"/>
    <n v="1289"/>
    <x v="0"/>
    <x v="1"/>
    <n v="12"/>
    <x v="305"/>
    <n v="2.79"/>
    <n v="27.57"/>
    <n v="0.79"/>
    <n v="79.89"/>
  </r>
  <r>
    <x v="403"/>
    <n v="1289"/>
    <x v="0"/>
    <x v="0"/>
    <n v="14"/>
    <x v="70"/>
    <n v="10.41"/>
    <n v="28.96"/>
    <n v="1"/>
    <n v="317.37"/>
  </r>
  <r>
    <x v="404"/>
    <n v="1289"/>
    <x v="0"/>
    <x v="0"/>
    <n v="14"/>
    <x v="306"/>
    <n v="11.34"/>
    <n v="31.75"/>
    <n v="1.03"/>
    <n v="353.68"/>
  </r>
  <r>
    <x v="405"/>
    <n v="1289"/>
    <x v="0"/>
    <x v="0"/>
    <n v="20"/>
    <x v="307"/>
    <n v="11.35"/>
    <n v="31.45"/>
    <n v="0.97"/>
    <n v="405.37"/>
  </r>
  <r>
    <x v="406"/>
    <n v="1289"/>
    <x v="0"/>
    <x v="1"/>
    <n v="17"/>
    <x v="22"/>
    <n v="2.73"/>
    <n v="27.43"/>
    <n v="0.77"/>
    <n v="82.2"/>
  </r>
  <r>
    <x v="407"/>
    <n v="1289"/>
    <x v="0"/>
    <x v="0"/>
    <n v="11"/>
    <x v="181"/>
    <n v="11.22"/>
    <n v="32.43"/>
    <n v="0.88"/>
    <n v="344.39"/>
  </r>
  <r>
    <x v="408"/>
    <n v="1289"/>
    <x v="0"/>
    <x v="0"/>
    <n v="16"/>
    <x v="308"/>
    <n v="11.33"/>
    <n v="39.36"/>
    <n v="1.18"/>
    <n v="379.36"/>
  </r>
  <r>
    <x v="409"/>
    <n v="1290"/>
    <x v="0"/>
    <x v="0"/>
    <n v="20"/>
    <x v="309"/>
    <n v="10.48"/>
    <n v="29.3"/>
    <n v="1.03"/>
    <n v="348.94"/>
  </r>
  <r>
    <x v="410"/>
    <n v="1290"/>
    <x v="0"/>
    <x v="0"/>
    <n v="17"/>
    <x v="310"/>
    <n v="10.8"/>
    <n v="36.74"/>
    <n v="1.05"/>
    <n v="361.42"/>
  </r>
  <r>
    <x v="411"/>
    <n v="1290"/>
    <x v="0"/>
    <x v="1"/>
    <n v="16"/>
    <x v="311"/>
    <n v="2.62"/>
    <n v="31.24"/>
    <n v="0.84"/>
    <n v="81.93"/>
  </r>
  <r>
    <x v="412"/>
    <n v="1290"/>
    <x v="0"/>
    <x v="0"/>
    <n v="12"/>
    <x v="312"/>
    <n v="10.18"/>
    <n v="32.58"/>
    <n v="1.1200000000000001"/>
    <n v="359.76"/>
  </r>
  <r>
    <x v="413"/>
    <n v="1290"/>
    <x v="0"/>
    <x v="1"/>
    <n v="13"/>
    <x v="127"/>
    <n v="2.61"/>
    <n v="28.85"/>
    <n v="0.81"/>
    <n v="83.41"/>
  </r>
  <r>
    <x v="414"/>
    <n v="1290"/>
    <x v="0"/>
    <x v="1"/>
    <n v="11"/>
    <x v="89"/>
    <n v="2.99"/>
    <n v="31.87"/>
    <n v="0.82"/>
    <n v="87.46"/>
  </r>
  <r>
    <x v="415"/>
    <n v="1290"/>
    <x v="0"/>
    <x v="0"/>
    <n v="10"/>
    <x v="313"/>
    <n v="11.09"/>
    <n v="35.200000000000003"/>
    <n v="0.87"/>
    <n v="376.6"/>
  </r>
  <r>
    <x v="416"/>
    <n v="1291"/>
    <x v="3"/>
    <x v="1"/>
    <n v="17"/>
    <x v="314"/>
    <n v="2.77"/>
    <n v="31.32"/>
    <n v="0.78"/>
    <n v="69.92"/>
  </r>
  <r>
    <x v="417"/>
    <n v="1291"/>
    <x v="3"/>
    <x v="1"/>
    <n v="13"/>
    <x v="315"/>
    <n v="2.83"/>
    <n v="28.44"/>
    <n v="0.79"/>
    <n v="80.400000000000006"/>
  </r>
  <r>
    <x v="418"/>
    <n v="1291"/>
    <x v="3"/>
    <x v="0"/>
    <n v="8"/>
    <x v="106"/>
    <n v="10.72"/>
    <n v="29.05"/>
    <n v="0.97"/>
    <n v="337.46"/>
  </r>
  <r>
    <x v="419"/>
    <n v="1291"/>
    <x v="3"/>
    <x v="0"/>
    <n v="18"/>
    <x v="308"/>
    <n v="11.02"/>
    <n v="32.82"/>
    <n v="1.04"/>
    <n v="355.84"/>
  </r>
  <r>
    <x v="420"/>
    <n v="1291"/>
    <x v="3"/>
    <x v="0"/>
    <n v="13"/>
    <x v="316"/>
    <n v="10.01"/>
    <n v="31.27"/>
    <n v="1.02"/>
    <n v="311.48"/>
  </r>
  <r>
    <x v="421"/>
    <n v="1291"/>
    <x v="3"/>
    <x v="0"/>
    <n v="14"/>
    <x v="317"/>
    <n v="12.35"/>
    <n v="30.78"/>
    <n v="1"/>
    <n v="418"/>
  </r>
  <r>
    <x v="422"/>
    <n v="1291"/>
    <x v="3"/>
    <x v="0"/>
    <n v="10"/>
    <x v="318"/>
    <n v="11.31"/>
    <n v="31.57"/>
    <n v="1.03"/>
    <n v="372.31"/>
  </r>
  <r>
    <x v="423"/>
    <n v="1292"/>
    <x v="1"/>
    <x v="1"/>
    <n v="80"/>
    <x v="277"/>
    <n v="3.31"/>
    <n v="33.270000000000003"/>
    <n v="0.82"/>
    <n v="96.41"/>
  </r>
  <r>
    <x v="424"/>
    <n v="1292"/>
    <x v="1"/>
    <x v="0"/>
    <n v="55"/>
    <x v="319"/>
    <n v="10.17"/>
    <n v="31.3"/>
    <n v="0.95"/>
    <n v="308.89999999999998"/>
  </r>
  <r>
    <x v="425"/>
    <n v="1292"/>
    <x v="1"/>
    <x v="1"/>
    <n v="13"/>
    <x v="60"/>
    <n v="3.04"/>
    <n v="30.83"/>
    <n v="0.8"/>
    <n v="88.87"/>
  </r>
  <r>
    <x v="426"/>
    <n v="1292"/>
    <x v="1"/>
    <x v="0"/>
    <n v="10"/>
    <x v="320"/>
    <n v="11.62"/>
    <n v="33.58"/>
    <n v="1.08"/>
    <n v="361.37"/>
  </r>
  <r>
    <x v="427"/>
    <n v="1292"/>
    <x v="1"/>
    <x v="1"/>
    <n v="14"/>
    <x v="321"/>
    <n v="2.64"/>
    <n v="31.48"/>
    <n v="0.79"/>
    <n v="84.31"/>
  </r>
  <r>
    <x v="428"/>
    <n v="1292"/>
    <x v="1"/>
    <x v="1"/>
    <n v="11"/>
    <x v="115"/>
    <n v="2.64"/>
    <n v="28.35"/>
    <n v="0.81"/>
    <n v="80.180000000000007"/>
  </r>
  <r>
    <x v="429"/>
    <n v="1292"/>
    <x v="1"/>
    <x v="1"/>
    <n v="12"/>
    <x v="104"/>
    <n v="2.88"/>
    <n v="29.84"/>
    <n v="0.8"/>
    <n v="85.82"/>
  </r>
  <r>
    <x v="430"/>
    <n v="1292"/>
    <x v="1"/>
    <x v="1"/>
    <n v="16"/>
    <x v="37"/>
    <n v="3.23"/>
    <n v="34.340000000000003"/>
    <n v="0.77"/>
    <n v="86.97"/>
  </r>
  <r>
    <x v="431"/>
    <n v="1293"/>
    <x v="3"/>
    <x v="1"/>
    <n v="25"/>
    <x v="60"/>
    <n v="3.01"/>
    <n v="35.51"/>
    <n v="0.8"/>
    <n v="92.38"/>
  </r>
  <r>
    <x v="432"/>
    <n v="1293"/>
    <x v="3"/>
    <x v="1"/>
    <n v="17"/>
    <x v="63"/>
    <n v="2.89"/>
    <n v="30.01"/>
    <n v="0.79"/>
    <n v="85.13"/>
  </r>
  <r>
    <x v="433"/>
    <n v="1293"/>
    <x v="3"/>
    <x v="0"/>
    <n v="8"/>
    <x v="322"/>
    <n v="11.19"/>
    <n v="33.64"/>
    <n v="0.99"/>
    <n v="371.87"/>
  </r>
  <r>
    <x v="434"/>
    <n v="1293"/>
    <x v="3"/>
    <x v="1"/>
    <n v="56"/>
    <x v="186"/>
    <n v="2.73"/>
    <n v="26.84"/>
    <n v="0.79"/>
    <n v="76.849999999999994"/>
  </r>
  <r>
    <x v="435"/>
    <n v="1293"/>
    <x v="3"/>
    <x v="0"/>
    <n v="23"/>
    <x v="323"/>
    <n v="11.3"/>
    <n v="34.42"/>
    <n v="0.99"/>
    <n v="388.32"/>
  </r>
  <r>
    <x v="436"/>
    <n v="1293"/>
    <x v="3"/>
    <x v="1"/>
    <n v="20"/>
    <x v="324"/>
    <n v="2.82"/>
    <n v="31.06"/>
    <n v="0.83"/>
    <n v="86.71"/>
  </r>
  <r>
    <x v="437"/>
    <n v="1293"/>
    <x v="3"/>
    <x v="1"/>
    <n v="6"/>
    <x v="325"/>
    <n v="3.01"/>
    <n v="30.61"/>
    <n v="0.79"/>
    <n v="90.54"/>
  </r>
  <r>
    <x v="438"/>
    <n v="1293"/>
    <x v="3"/>
    <x v="1"/>
    <n v="10"/>
    <x v="6"/>
    <n v="3.08"/>
    <n v="30.98"/>
    <n v="0.79"/>
    <n v="92.73"/>
  </r>
  <r>
    <x v="439"/>
    <n v="1293"/>
    <x v="3"/>
    <x v="0"/>
    <n v="9"/>
    <x v="71"/>
    <n v="11.84"/>
    <n v="27.5"/>
    <n v="0.98"/>
    <n v="360.01"/>
  </r>
  <r>
    <x v="440"/>
    <n v="1293"/>
    <x v="3"/>
    <x v="0"/>
    <n v="118"/>
    <x v="326"/>
    <n v="11.74"/>
    <n v="28.09"/>
    <n v="1.23"/>
    <n v="336.36"/>
  </r>
  <r>
    <x v="441"/>
    <n v="1294"/>
    <x v="1"/>
    <x v="1"/>
    <n v="13"/>
    <x v="285"/>
    <n v="2.8"/>
    <n v="33.729999999999997"/>
    <n v="0.8"/>
    <n v="86.93"/>
  </r>
  <r>
    <x v="442"/>
    <n v="1294"/>
    <x v="1"/>
    <x v="0"/>
    <n v="20"/>
    <x v="260"/>
    <n v="11.78"/>
    <n v="32.21"/>
    <n v="1.01"/>
    <n v="385.84"/>
  </r>
  <r>
    <x v="443"/>
    <n v="1294"/>
    <x v="1"/>
    <x v="1"/>
    <n v="13"/>
    <x v="327"/>
    <n v="3.15"/>
    <n v="31.69"/>
    <n v="0.77"/>
    <n v="95.67"/>
  </r>
  <r>
    <x v="444"/>
    <n v="1294"/>
    <x v="1"/>
    <x v="0"/>
    <n v="9"/>
    <x v="328"/>
    <n v="11.4"/>
    <n v="30.38"/>
    <n v="1.04"/>
    <n v="371.83"/>
  </r>
  <r>
    <x v="445"/>
    <n v="1294"/>
    <x v="1"/>
    <x v="0"/>
    <n v="21"/>
    <x v="195"/>
    <n v="10.7"/>
    <n v="27.2"/>
    <n v="1.01"/>
    <n v="372.18"/>
  </r>
  <r>
    <x v="446"/>
    <n v="1294"/>
    <x v="1"/>
    <x v="0"/>
    <n v="9"/>
    <x v="329"/>
    <n v="10.95"/>
    <n v="29.53"/>
    <n v="0.94"/>
    <n v="352.77"/>
  </r>
  <r>
    <x v="447"/>
    <n v="1294"/>
    <x v="1"/>
    <x v="0"/>
    <n v="31"/>
    <x v="330"/>
    <n v="11.38"/>
    <n v="27.68"/>
    <n v="0.97"/>
    <n v="358.32"/>
  </r>
  <r>
    <x v="448"/>
    <n v="1294"/>
    <x v="1"/>
    <x v="1"/>
    <n v="12"/>
    <x v="303"/>
    <n v="3.12"/>
    <n v="29.65"/>
    <n v="0.8"/>
    <n v="85.34"/>
  </r>
  <r>
    <x v="449"/>
    <n v="1295"/>
    <x v="3"/>
    <x v="0"/>
    <n v="16"/>
    <x v="183"/>
    <n v="10.050000000000001"/>
    <n v="32.159999999999997"/>
    <n v="1.0900000000000001"/>
    <n v="317.98"/>
  </r>
  <r>
    <x v="450"/>
    <n v="1295"/>
    <x v="3"/>
    <x v="1"/>
    <n v="25"/>
    <x v="304"/>
    <n v="3.16"/>
    <n v="26.81"/>
    <n v="0.82"/>
    <n v="90.05"/>
  </r>
  <r>
    <x v="451"/>
    <n v="1295"/>
    <x v="3"/>
    <x v="0"/>
    <n v="13"/>
    <x v="275"/>
    <n v="13.05"/>
    <n v="33.94"/>
    <n v="0.95"/>
    <n v="420.01"/>
  </r>
  <r>
    <x v="452"/>
    <n v="1295"/>
    <x v="3"/>
    <x v="0"/>
    <n v="14"/>
    <x v="331"/>
    <n v="10.199999999999999"/>
    <n v="29.68"/>
    <n v="0.93"/>
    <n v="343.58"/>
  </r>
  <r>
    <x v="453"/>
    <n v="1295"/>
    <x v="3"/>
    <x v="0"/>
    <n v="8"/>
    <x v="332"/>
    <n v="10.11"/>
    <n v="26.13"/>
    <n v="1"/>
    <n v="326.60000000000002"/>
  </r>
  <r>
    <x v="454"/>
    <n v="1295"/>
    <x v="3"/>
    <x v="0"/>
    <n v="15"/>
    <x v="333"/>
    <n v="10.1"/>
    <n v="29.82"/>
    <n v="1.06"/>
    <n v="324.87"/>
  </r>
  <r>
    <x v="455"/>
    <n v="1295"/>
    <x v="3"/>
    <x v="1"/>
    <n v="7"/>
    <x v="146"/>
    <n v="2.83"/>
    <n v="30.05"/>
    <n v="0.84"/>
    <n v="85.36"/>
  </r>
  <r>
    <x v="456"/>
    <n v="1295"/>
    <x v="3"/>
    <x v="1"/>
    <n v="15"/>
    <x v="51"/>
    <n v="2.73"/>
    <n v="29.51"/>
    <n v="0.8"/>
    <n v="70.5"/>
  </r>
  <r>
    <x v="457"/>
    <n v="1296"/>
    <x v="2"/>
    <x v="1"/>
    <n v="18"/>
    <x v="172"/>
    <n v="3.06"/>
    <n v="28.62"/>
    <n v="0.83"/>
    <n v="93.62"/>
  </r>
  <r>
    <x v="458"/>
    <n v="1296"/>
    <x v="2"/>
    <x v="0"/>
    <n v="14"/>
    <x v="239"/>
    <n v="10.28"/>
    <n v="28.75"/>
    <n v="1.03"/>
    <n v="347.34"/>
  </r>
  <r>
    <x v="459"/>
    <n v="1296"/>
    <x v="2"/>
    <x v="1"/>
    <n v="8"/>
    <x v="334"/>
    <n v="3.16"/>
    <n v="31.47"/>
    <n v="0.83"/>
    <n v="96.51"/>
  </r>
  <r>
    <x v="460"/>
    <n v="1296"/>
    <x v="2"/>
    <x v="1"/>
    <n v="14"/>
    <x v="249"/>
    <n v="2.93"/>
    <n v="30.63"/>
    <n v="0.82"/>
    <n v="88.98"/>
  </r>
  <r>
    <x v="461"/>
    <n v="1296"/>
    <x v="2"/>
    <x v="1"/>
    <n v="29"/>
    <x v="22"/>
    <n v="3.22"/>
    <n v="30.09"/>
    <n v="0.78"/>
    <n v="95.37"/>
  </r>
  <r>
    <x v="462"/>
    <n v="1296"/>
    <x v="2"/>
    <x v="1"/>
    <n v="18"/>
    <x v="335"/>
    <n v="2.84"/>
    <n v="32.090000000000003"/>
    <n v="0.82"/>
    <n v="85.18"/>
  </r>
  <r>
    <x v="463"/>
    <n v="1296"/>
    <x v="2"/>
    <x v="1"/>
    <n v="15"/>
    <x v="259"/>
    <n v="2.54"/>
    <n v="27.65"/>
    <n v="0.8"/>
    <n v="75.36"/>
  </r>
  <r>
    <x v="464"/>
    <n v="1297"/>
    <x v="3"/>
    <x v="0"/>
    <n v="14"/>
    <x v="29"/>
    <n v="10.99"/>
    <n v="31.96"/>
    <n v="1.07"/>
    <n v="346.23"/>
  </r>
  <r>
    <x v="465"/>
    <n v="1297"/>
    <x v="3"/>
    <x v="0"/>
    <n v="11"/>
    <x v="31"/>
    <n v="11.37"/>
    <n v="28.99"/>
    <n v="0.93"/>
    <n v="362.56"/>
  </r>
  <r>
    <x v="466"/>
    <n v="1297"/>
    <x v="3"/>
    <x v="0"/>
    <n v="15"/>
    <x v="80"/>
    <n v="11.54"/>
    <n v="36.369999999999997"/>
    <n v="0.99"/>
    <n v="311.2"/>
  </r>
  <r>
    <x v="467"/>
    <n v="1297"/>
    <x v="3"/>
    <x v="1"/>
    <n v="9"/>
    <x v="336"/>
    <n v="2.79"/>
    <n v="33.14"/>
    <n v="0.79"/>
    <n v="89.34"/>
  </r>
  <r>
    <x v="468"/>
    <n v="1297"/>
    <x v="3"/>
    <x v="0"/>
    <n v="8"/>
    <x v="266"/>
    <n v="11.4"/>
    <n v="31.24"/>
    <n v="1.01"/>
    <n v="377.38"/>
  </r>
  <r>
    <x v="469"/>
    <n v="1297"/>
    <x v="3"/>
    <x v="1"/>
    <n v="4"/>
    <x v="72"/>
    <n v="3.24"/>
    <n v="24.38"/>
    <n v="0.8"/>
    <n v="84.94"/>
  </r>
  <r>
    <x v="470"/>
    <n v="1297"/>
    <x v="3"/>
    <x v="0"/>
    <n v="12"/>
    <x v="337"/>
    <n v="11.3"/>
    <n v="30.88"/>
    <n v="1"/>
    <n v="364.52"/>
  </r>
  <r>
    <x v="471"/>
    <n v="1298"/>
    <x v="0"/>
    <x v="1"/>
    <n v="12"/>
    <x v="86"/>
    <n v="3.26"/>
    <n v="29.19"/>
    <n v="0.81"/>
    <n v="92.17"/>
  </r>
  <r>
    <x v="472"/>
    <n v="1298"/>
    <x v="0"/>
    <x v="0"/>
    <n v="18"/>
    <x v="338"/>
    <n v="11.11"/>
    <n v="35.51"/>
    <n v="1.01"/>
    <n v="347.75"/>
  </r>
  <r>
    <x v="473"/>
    <n v="1298"/>
    <x v="0"/>
    <x v="0"/>
    <n v="12"/>
    <x v="339"/>
    <n v="11.73"/>
    <n v="30.82"/>
    <n v="1.04"/>
    <n v="391.47"/>
  </r>
  <r>
    <x v="474"/>
    <n v="1298"/>
    <x v="0"/>
    <x v="0"/>
    <n v="9"/>
    <x v="340"/>
    <n v="11.68"/>
    <n v="30.68"/>
    <n v="0.92"/>
    <n v="350.66"/>
  </r>
  <r>
    <x v="475"/>
    <n v="1298"/>
    <x v="0"/>
    <x v="0"/>
    <n v="14"/>
    <x v="341"/>
    <n v="10.65"/>
    <n v="33.04"/>
    <n v="1.04"/>
    <n v="346"/>
  </r>
  <r>
    <x v="476"/>
    <n v="1298"/>
    <x v="0"/>
    <x v="1"/>
    <n v="655"/>
    <x v="342"/>
    <n v="2.78"/>
    <n v="33.33"/>
    <n v="0.8"/>
    <n v="70.95"/>
  </r>
  <r>
    <x v="477"/>
    <n v="1298"/>
    <x v="0"/>
    <x v="0"/>
    <n v="18"/>
    <x v="343"/>
    <n v="10.56"/>
    <n v="33.15"/>
    <n v="1.02"/>
    <n v="364.92"/>
  </r>
  <r>
    <x v="478"/>
    <n v="1298"/>
    <x v="0"/>
    <x v="0"/>
    <n v="18"/>
    <x v="52"/>
    <n v="9.17"/>
    <n v="35.24"/>
    <n v="1.02"/>
    <n v="304.52999999999997"/>
  </r>
  <r>
    <x v="479"/>
    <n v="1299"/>
    <x v="3"/>
    <x v="0"/>
    <n v="13"/>
    <x v="80"/>
    <n v="10.85"/>
    <n v="27.65"/>
    <n v="1.05"/>
    <n v="356.21"/>
  </r>
  <r>
    <x v="480"/>
    <n v="1299"/>
    <x v="3"/>
    <x v="1"/>
    <n v="26"/>
    <x v="160"/>
    <n v="2.73"/>
    <n v="33.54"/>
    <n v="0.8"/>
    <n v="88.82"/>
  </r>
  <r>
    <x v="481"/>
    <n v="1299"/>
    <x v="3"/>
    <x v="1"/>
    <n v="12"/>
    <x v="344"/>
    <n v="2.59"/>
    <n v="29.31"/>
    <n v="0.81"/>
    <n v="78.319999999999993"/>
  </r>
  <r>
    <x v="482"/>
    <n v="1299"/>
    <x v="3"/>
    <x v="0"/>
    <n v="11"/>
    <x v="80"/>
    <n v="11.86"/>
    <n v="36.32"/>
    <n v="1.01"/>
    <n v="325.83999999999997"/>
  </r>
  <r>
    <x v="483"/>
    <n v="1299"/>
    <x v="3"/>
    <x v="1"/>
    <n v="21"/>
    <x v="321"/>
    <n v="3.04"/>
    <n v="27.24"/>
    <n v="0.79"/>
    <n v="89.26"/>
  </r>
  <r>
    <x v="484"/>
    <n v="1299"/>
    <x v="3"/>
    <x v="0"/>
    <n v="11"/>
    <x v="211"/>
    <n v="11.98"/>
    <n v="29.12"/>
    <n v="1.02"/>
    <n v="389.79"/>
  </r>
  <r>
    <x v="485"/>
    <n v="1299"/>
    <x v="3"/>
    <x v="1"/>
    <n v="21"/>
    <x v="345"/>
    <n v="3.12"/>
    <n v="27.96"/>
    <n v="0.81"/>
    <n v="92.27"/>
  </r>
  <r>
    <x v="486"/>
    <n v="1299"/>
    <x v="3"/>
    <x v="0"/>
    <n v="12"/>
    <x v="346"/>
    <n v="10.51"/>
    <n v="31.09"/>
    <n v="1.02"/>
    <n v="339.62"/>
  </r>
  <r>
    <x v="487"/>
    <n v="1299"/>
    <x v="3"/>
    <x v="1"/>
    <n v="15"/>
    <x v="271"/>
    <n v="3.06"/>
    <n v="27.69"/>
    <n v="0.79"/>
    <n v="83.68"/>
  </r>
  <r>
    <x v="488"/>
    <n v="1299"/>
    <x v="3"/>
    <x v="1"/>
    <n v="13"/>
    <x v="347"/>
    <n v="3.08"/>
    <n v="31.17"/>
    <n v="0.81"/>
    <n v="89.01"/>
  </r>
  <r>
    <x v="489"/>
    <n v="1299"/>
    <x v="3"/>
    <x v="1"/>
    <n v="17"/>
    <x v="324"/>
    <n v="2.65"/>
    <n v="32.72"/>
    <n v="0.78"/>
    <n v="82.91"/>
  </r>
  <r>
    <x v="490"/>
    <n v="1299"/>
    <x v="3"/>
    <x v="1"/>
    <n v="17"/>
    <x v="348"/>
    <n v="2.92"/>
    <n v="31.81"/>
    <n v="0.82"/>
    <n v="83.86"/>
  </r>
  <r>
    <x v="491"/>
    <n v="1300"/>
    <x v="1"/>
    <x v="0"/>
    <n v="17"/>
    <x v="69"/>
    <n v="11.29"/>
    <n v="29.08"/>
    <n v="1.03"/>
    <n v="360.6"/>
  </r>
  <r>
    <x v="492"/>
    <n v="1300"/>
    <x v="1"/>
    <x v="0"/>
    <n v="23"/>
    <x v="78"/>
    <n v="10.81"/>
    <n v="33.49"/>
    <n v="1.01"/>
    <n v="341.43"/>
  </r>
  <r>
    <x v="493"/>
    <n v="1300"/>
    <x v="1"/>
    <x v="1"/>
    <n v="11"/>
    <x v="349"/>
    <n v="2.5"/>
    <n v="32.9"/>
    <n v="0.79"/>
    <n v="76.650000000000006"/>
  </r>
  <r>
    <x v="494"/>
    <n v="1300"/>
    <x v="1"/>
    <x v="0"/>
    <n v="12"/>
    <x v="350"/>
    <n v="11.7"/>
    <n v="26.96"/>
    <n v="1.07"/>
    <n v="389.89"/>
  </r>
  <r>
    <x v="495"/>
    <n v="1300"/>
    <x v="1"/>
    <x v="1"/>
    <n v="29"/>
    <x v="351"/>
    <n v="2.93"/>
    <n v="32.78"/>
    <n v="0.8"/>
    <n v="89.84"/>
  </r>
  <r>
    <x v="496"/>
    <n v="1300"/>
    <x v="1"/>
    <x v="0"/>
    <n v="21"/>
    <x v="284"/>
    <n v="12.64"/>
    <n v="35.869999999999997"/>
    <n v="1"/>
    <n v="323"/>
  </r>
  <r>
    <x v="497"/>
    <n v="1300"/>
    <x v="1"/>
    <x v="0"/>
    <n v="48"/>
    <x v="352"/>
    <n v="12.15"/>
    <n v="35.869999999999997"/>
    <n v="0.97"/>
    <n v="387.14"/>
  </r>
  <r>
    <x v="498"/>
    <n v="1300"/>
    <x v="1"/>
    <x v="0"/>
    <n v="39"/>
    <x v="132"/>
    <n v="9.69"/>
    <n v="28.6"/>
    <n v="0.9"/>
    <n v="305.5"/>
  </r>
  <r>
    <x v="499"/>
    <n v="1301"/>
    <x v="2"/>
    <x v="0"/>
    <n v="17"/>
    <x v="353"/>
    <n v="11.61"/>
    <n v="29.02"/>
    <n v="0.98"/>
    <n v="327.78"/>
  </r>
  <r>
    <x v="500"/>
    <n v="1301"/>
    <x v="2"/>
    <x v="1"/>
    <n v="16"/>
    <x v="354"/>
    <n v="2.4700000000000002"/>
    <n v="28.8"/>
    <n v="0.81"/>
    <n v="76.94"/>
  </r>
  <r>
    <x v="501"/>
    <n v="1301"/>
    <x v="2"/>
    <x v="1"/>
    <n v="14"/>
    <x v="355"/>
    <n v="3.21"/>
    <n v="31.62"/>
    <n v="0.76"/>
    <n v="95.82"/>
  </r>
  <r>
    <x v="502"/>
    <n v="1301"/>
    <x v="2"/>
    <x v="0"/>
    <n v="15"/>
    <x v="307"/>
    <n v="11.67"/>
    <n v="34.44"/>
    <n v="1.03"/>
    <n v="421.68"/>
  </r>
  <r>
    <x v="503"/>
    <n v="1301"/>
    <x v="2"/>
    <x v="1"/>
    <n v="20"/>
    <x v="356"/>
    <n v="2.96"/>
    <n v="26.58"/>
    <n v="0.79"/>
    <n v="83.54"/>
  </r>
  <r>
    <x v="504"/>
    <n v="1301"/>
    <x v="2"/>
    <x v="1"/>
    <n v="39"/>
    <x v="357"/>
    <n v="2.88"/>
    <n v="31.36"/>
    <n v="0.84"/>
    <n v="85.76"/>
  </r>
  <r>
    <x v="505"/>
    <n v="1301"/>
    <x v="2"/>
    <x v="0"/>
    <n v="15"/>
    <x v="358"/>
    <n v="10.119999999999999"/>
    <n v="29.38"/>
    <n v="1.1499999999999999"/>
    <n v="319.3"/>
  </r>
  <r>
    <x v="506"/>
    <n v="1301"/>
    <x v="2"/>
    <x v="1"/>
    <n v="18"/>
    <x v="262"/>
    <n v="2.82"/>
    <n v="34.65"/>
    <n v="0.82"/>
    <n v="89.69"/>
  </r>
  <r>
    <x v="507"/>
    <n v="1302"/>
    <x v="1"/>
    <x v="1"/>
    <n v="11"/>
    <x v="45"/>
    <n v="3.01"/>
    <n v="31.7"/>
    <n v="0.79"/>
    <n v="84.87"/>
  </r>
  <r>
    <x v="508"/>
    <n v="1302"/>
    <x v="1"/>
    <x v="0"/>
    <n v="26"/>
    <x v="200"/>
    <n v="11.24"/>
    <n v="28"/>
    <n v="1.08"/>
    <n v="372.72"/>
  </r>
  <r>
    <x v="509"/>
    <n v="1302"/>
    <x v="1"/>
    <x v="1"/>
    <n v="10"/>
    <x v="359"/>
    <n v="2.7"/>
    <n v="31.02"/>
    <n v="0.81"/>
    <n v="88.15"/>
  </r>
  <r>
    <x v="510"/>
    <n v="1302"/>
    <x v="1"/>
    <x v="1"/>
    <n v="12"/>
    <x v="209"/>
    <n v="2.69"/>
    <n v="26.26"/>
    <n v="0.8"/>
    <n v="76.19"/>
  </r>
  <r>
    <x v="511"/>
    <n v="1302"/>
    <x v="1"/>
    <x v="0"/>
    <n v="21"/>
    <x v="360"/>
    <n v="11.18"/>
    <n v="28.34"/>
    <n v="1.04"/>
    <n v="390.79"/>
  </r>
  <r>
    <x v="512"/>
    <n v="1302"/>
    <x v="1"/>
    <x v="1"/>
    <n v="8"/>
    <x v="301"/>
    <n v="2.95"/>
    <n v="37.909999999999997"/>
    <n v="0.78"/>
    <n v="82.9"/>
  </r>
  <r>
    <x v="513"/>
    <n v="1302"/>
    <x v="1"/>
    <x v="0"/>
    <n v="23"/>
    <x v="170"/>
    <n v="10.52"/>
    <n v="28.22"/>
    <n v="1.08"/>
    <n v="360.66"/>
  </r>
  <r>
    <x v="514"/>
    <n v="1302"/>
    <x v="1"/>
    <x v="0"/>
    <n v="23"/>
    <x v="361"/>
    <n v="10.1"/>
    <n v="30.82"/>
    <n v="1.0900000000000001"/>
    <n v="335.49"/>
  </r>
  <r>
    <x v="515"/>
    <n v="1303"/>
    <x v="1"/>
    <x v="1"/>
    <n v="12"/>
    <x v="226"/>
    <n v="2.67"/>
    <n v="28.94"/>
    <n v="0.82"/>
    <n v="83.19"/>
  </r>
  <r>
    <x v="516"/>
    <n v="1303"/>
    <x v="1"/>
    <x v="0"/>
    <n v="36"/>
    <x v="159"/>
    <n v="10.52"/>
    <n v="28.64"/>
    <n v="0.95"/>
    <n v="323.13"/>
  </r>
  <r>
    <x v="517"/>
    <n v="1303"/>
    <x v="1"/>
    <x v="0"/>
    <n v="12"/>
    <x v="362"/>
    <n v="10.93"/>
    <n v="32.11"/>
    <n v="0.98"/>
    <n v="366.03"/>
  </r>
  <r>
    <x v="518"/>
    <n v="1303"/>
    <x v="1"/>
    <x v="0"/>
    <n v="12"/>
    <x v="350"/>
    <n v="10.16"/>
    <n v="31.21"/>
    <n v="1.18"/>
    <n v="352.58"/>
  </r>
  <r>
    <x v="519"/>
    <n v="1303"/>
    <x v="1"/>
    <x v="0"/>
    <n v="4"/>
    <x v="93"/>
    <n v="10.42"/>
    <n v="35.94"/>
    <n v="1.08"/>
    <n v="358.2"/>
  </r>
  <r>
    <x v="520"/>
    <n v="1303"/>
    <x v="1"/>
    <x v="1"/>
    <n v="23"/>
    <x v="241"/>
    <n v="2.78"/>
    <n v="29.01"/>
    <n v="0.81"/>
    <n v="81.27"/>
  </r>
  <r>
    <x v="521"/>
    <n v="1303"/>
    <x v="1"/>
    <x v="0"/>
    <n v="7"/>
    <x v="12"/>
    <n v="10.98"/>
    <n v="29.02"/>
    <n v="0.93"/>
    <n v="339.99"/>
  </r>
  <r>
    <x v="522"/>
    <n v="1304"/>
    <x v="1"/>
    <x v="1"/>
    <n v="14"/>
    <x v="327"/>
    <n v="2.85"/>
    <n v="29.34"/>
    <n v="0.78"/>
    <n v="87.44"/>
  </r>
  <r>
    <x v="523"/>
    <n v="1304"/>
    <x v="1"/>
    <x v="0"/>
    <n v="21"/>
    <x v="363"/>
    <n v="10.27"/>
    <n v="33.72"/>
    <n v="0.97"/>
    <n v="318.18"/>
  </r>
  <r>
    <x v="524"/>
    <n v="1304"/>
    <x v="1"/>
    <x v="1"/>
    <n v="14"/>
    <x v="187"/>
    <n v="3.03"/>
    <n v="26.36"/>
    <n v="0.8"/>
    <n v="81.900000000000006"/>
  </r>
  <r>
    <x v="525"/>
    <n v="1304"/>
    <x v="1"/>
    <x v="0"/>
    <n v="16"/>
    <x v="364"/>
    <n v="12.54"/>
    <n v="31.43"/>
    <n v="0.98"/>
    <n v="378.38"/>
  </r>
  <r>
    <x v="526"/>
    <n v="1304"/>
    <x v="1"/>
    <x v="0"/>
    <n v="10"/>
    <x v="58"/>
    <n v="10.54"/>
    <n v="32.4"/>
    <n v="0.95"/>
    <n v="328.71"/>
  </r>
  <r>
    <x v="527"/>
    <n v="1304"/>
    <x v="1"/>
    <x v="1"/>
    <n v="13"/>
    <x v="365"/>
    <n v="2.92"/>
    <n v="29.22"/>
    <n v="0.78"/>
    <n v="81.16"/>
  </r>
  <r>
    <x v="528"/>
    <n v="1304"/>
    <x v="1"/>
    <x v="0"/>
    <n v="8"/>
    <x v="366"/>
    <n v="10.92"/>
    <n v="35"/>
    <n v="0.98"/>
    <n v="381.77"/>
  </r>
  <r>
    <x v="529"/>
    <n v="1304"/>
    <x v="1"/>
    <x v="1"/>
    <n v="11"/>
    <x v="188"/>
    <n v="2.56"/>
    <n v="36.53"/>
    <n v="0.76"/>
    <n v="84.68"/>
  </r>
  <r>
    <x v="530"/>
    <n v="1304"/>
    <x v="1"/>
    <x v="0"/>
    <n v="41"/>
    <x v="367"/>
    <n v="10.76"/>
    <n v="30.05"/>
    <n v="1.03"/>
    <n v="342.7"/>
  </r>
  <r>
    <x v="531"/>
    <n v="1304"/>
    <x v="1"/>
    <x v="0"/>
    <n v="13"/>
    <x v="168"/>
    <n v="10.91"/>
    <n v="27.94"/>
    <n v="1.02"/>
    <n v="332.52"/>
  </r>
  <r>
    <x v="532"/>
    <n v="1304"/>
    <x v="1"/>
    <x v="1"/>
    <n v="23"/>
    <x v="359"/>
    <n v="2.92"/>
    <n v="31.08"/>
    <n v="0.81"/>
    <n v="93.14"/>
  </r>
  <r>
    <x v="533"/>
    <n v="1305"/>
    <x v="2"/>
    <x v="0"/>
    <n v="12"/>
    <x v="341"/>
    <n v="10.73"/>
    <n v="29.45"/>
    <n v="1.1100000000000001"/>
    <n v="346.31"/>
  </r>
  <r>
    <x v="534"/>
    <n v="1305"/>
    <x v="2"/>
    <x v="1"/>
    <n v="19"/>
    <x v="368"/>
    <n v="2.86"/>
    <n v="25.59"/>
    <n v="0.77"/>
    <n v="80.23"/>
  </r>
  <r>
    <x v="535"/>
    <n v="1305"/>
    <x v="2"/>
    <x v="1"/>
    <n v="12"/>
    <x v="369"/>
    <n v="2.92"/>
    <n v="30.34"/>
    <n v="0.79"/>
    <n v="92.01"/>
  </r>
  <r>
    <x v="536"/>
    <n v="1305"/>
    <x v="2"/>
    <x v="1"/>
    <n v="16"/>
    <x v="10"/>
    <n v="2.96"/>
    <n v="30.52"/>
    <n v="0.82"/>
    <n v="79.819999999999993"/>
  </r>
  <r>
    <x v="537"/>
    <n v="1305"/>
    <x v="2"/>
    <x v="1"/>
    <n v="26"/>
    <x v="304"/>
    <n v="2.82"/>
    <n v="31.52"/>
    <n v="0.81"/>
    <n v="86.87"/>
  </r>
  <r>
    <x v="538"/>
    <n v="1305"/>
    <x v="2"/>
    <x v="0"/>
    <n v="11"/>
    <x v="370"/>
    <n v="11.21"/>
    <n v="29.41"/>
    <n v="1.08"/>
    <n v="372.3"/>
  </r>
  <r>
    <x v="539"/>
    <n v="1305"/>
    <x v="2"/>
    <x v="1"/>
    <n v="19"/>
    <x v="143"/>
    <n v="2.94"/>
    <n v="26.27"/>
    <n v="0.77"/>
    <n v="86.2"/>
  </r>
  <r>
    <x v="540"/>
    <n v="1306"/>
    <x v="2"/>
    <x v="0"/>
    <n v="17"/>
    <x v="371"/>
    <n v="10.16"/>
    <n v="28.27"/>
    <n v="0.9"/>
    <n v="336.92"/>
  </r>
  <r>
    <x v="541"/>
    <n v="1306"/>
    <x v="2"/>
    <x v="1"/>
    <n v="15"/>
    <x v="372"/>
    <n v="2.5499999999999998"/>
    <n v="28.17"/>
    <n v="0.77"/>
    <n v="83.64"/>
  </r>
  <r>
    <x v="542"/>
    <n v="1306"/>
    <x v="2"/>
    <x v="1"/>
    <n v="20"/>
    <x v="9"/>
    <n v="2.64"/>
    <n v="31.87"/>
    <n v="0.78"/>
    <n v="83.86"/>
  </r>
  <r>
    <x v="543"/>
    <n v="1306"/>
    <x v="2"/>
    <x v="1"/>
    <n v="18"/>
    <x v="373"/>
    <n v="2.62"/>
    <n v="33.200000000000003"/>
    <n v="0.81"/>
    <n v="75.69"/>
  </r>
  <r>
    <x v="544"/>
    <n v="1306"/>
    <x v="2"/>
    <x v="1"/>
    <n v="13"/>
    <x v="374"/>
    <n v="2.92"/>
    <n v="30.92"/>
    <n v="0.82"/>
    <n v="94.94"/>
  </r>
  <r>
    <x v="545"/>
    <n v="1306"/>
    <x v="2"/>
    <x v="1"/>
    <n v="18"/>
    <x v="224"/>
    <n v="3.19"/>
    <n v="29.6"/>
    <n v="0.78"/>
    <n v="74.97"/>
  </r>
  <r>
    <x v="546"/>
    <n v="1306"/>
    <x v="2"/>
    <x v="0"/>
    <n v="14"/>
    <x v="333"/>
    <n v="11.41"/>
    <n v="23.95"/>
    <n v="1.1100000000000001"/>
    <n v="356.15"/>
  </r>
  <r>
    <x v="547"/>
    <n v="1306"/>
    <x v="2"/>
    <x v="0"/>
    <n v="14"/>
    <x v="287"/>
    <n v="10.220000000000001"/>
    <n v="26.81"/>
    <n v="0.91"/>
    <n v="335.51"/>
  </r>
  <r>
    <x v="548"/>
    <n v="1306"/>
    <x v="2"/>
    <x v="0"/>
    <n v="9"/>
    <x v="375"/>
    <n v="9.69"/>
    <n v="31.37"/>
    <n v="0.99"/>
    <n v="310.68"/>
  </r>
  <r>
    <x v="549"/>
    <n v="1306"/>
    <x v="2"/>
    <x v="1"/>
    <n v="13"/>
    <x v="241"/>
    <n v="2.42"/>
    <n v="26.96"/>
    <n v="0.83"/>
    <n v="72.86"/>
  </r>
  <r>
    <x v="550"/>
    <n v="1307"/>
    <x v="1"/>
    <x v="1"/>
    <n v="13"/>
    <x v="13"/>
    <n v="2.75"/>
    <n v="33.130000000000003"/>
    <n v="0.78"/>
    <n v="91.35"/>
  </r>
  <r>
    <x v="551"/>
    <n v="1307"/>
    <x v="1"/>
    <x v="0"/>
    <n v="29"/>
    <x v="376"/>
    <n v="10.72"/>
    <n v="36.03"/>
    <n v="1.0900000000000001"/>
    <n v="333.92"/>
  </r>
  <r>
    <x v="552"/>
    <n v="1307"/>
    <x v="1"/>
    <x v="0"/>
    <n v="13"/>
    <x v="377"/>
    <n v="11.54"/>
    <n v="36.700000000000003"/>
    <n v="1.02"/>
    <n v="373.44"/>
  </r>
  <r>
    <x v="553"/>
    <n v="1307"/>
    <x v="1"/>
    <x v="1"/>
    <n v="18"/>
    <x v="378"/>
    <n v="2.8"/>
    <n v="29.81"/>
    <n v="0.79"/>
    <n v="75.88"/>
  </r>
  <r>
    <x v="554"/>
    <n v="1307"/>
    <x v="1"/>
    <x v="0"/>
    <n v="10"/>
    <x v="71"/>
    <n v="11.47"/>
    <n v="31.99"/>
    <n v="0.97"/>
    <n v="354.61"/>
  </r>
  <r>
    <x v="555"/>
    <n v="1307"/>
    <x v="1"/>
    <x v="0"/>
    <n v="14"/>
    <x v="258"/>
    <n v="10.68"/>
    <n v="24.72"/>
    <n v="1.01"/>
    <n v="338.23"/>
  </r>
  <r>
    <x v="556"/>
    <n v="1307"/>
    <x v="1"/>
    <x v="1"/>
    <n v="9"/>
    <x v="379"/>
    <n v="2.96"/>
    <n v="31.13"/>
    <n v="0.78"/>
    <n v="85.28"/>
  </r>
  <r>
    <x v="557"/>
    <n v="1307"/>
    <x v="1"/>
    <x v="1"/>
    <n v="9"/>
    <x v="380"/>
    <n v="2.69"/>
    <n v="33.909999999999997"/>
    <n v="0.8"/>
    <n v="80.55"/>
  </r>
  <r>
    <x v="558"/>
    <n v="1308"/>
    <x v="0"/>
    <x v="0"/>
    <n v="26"/>
    <x v="94"/>
    <n v="11.42"/>
    <n v="32.06"/>
    <n v="1"/>
    <n v="375.69"/>
  </r>
  <r>
    <x v="559"/>
    <n v="1308"/>
    <x v="0"/>
    <x v="0"/>
    <n v="14"/>
    <x v="268"/>
    <n v="11.4"/>
    <n v="28.91"/>
    <n v="1.06"/>
    <n v="370.19"/>
  </r>
  <r>
    <x v="560"/>
    <n v="1308"/>
    <x v="0"/>
    <x v="0"/>
    <n v="12"/>
    <x v="381"/>
    <n v="10.45"/>
    <n v="35.659999999999997"/>
    <n v="1.04"/>
    <n v="360.31"/>
  </r>
  <r>
    <x v="561"/>
    <n v="1308"/>
    <x v="0"/>
    <x v="1"/>
    <n v="7"/>
    <x v="36"/>
    <n v="2.89"/>
    <n v="34.57"/>
    <n v="0.81"/>
    <n v="91.6"/>
  </r>
  <r>
    <x v="562"/>
    <n v="1308"/>
    <x v="0"/>
    <x v="1"/>
    <n v="40"/>
    <x v="305"/>
    <n v="3.07"/>
    <n v="34.07"/>
    <n v="0.82"/>
    <n v="83.05"/>
  </r>
  <r>
    <x v="563"/>
    <n v="1308"/>
    <x v="0"/>
    <x v="0"/>
    <n v="14"/>
    <x v="377"/>
    <n v="11.64"/>
    <n v="26.65"/>
    <n v="1.02"/>
    <n v="364.09"/>
  </r>
  <r>
    <x v="564"/>
    <n v="1308"/>
    <x v="0"/>
    <x v="0"/>
    <n v="19"/>
    <x v="382"/>
    <n v="10.24"/>
    <n v="31.67"/>
    <n v="1.08"/>
    <n v="321.27999999999997"/>
  </r>
  <r>
    <x v="565"/>
    <n v="1308"/>
    <x v="0"/>
    <x v="1"/>
    <n v="10"/>
    <x v="19"/>
    <n v="2.8"/>
    <n v="35.11"/>
    <n v="0.83"/>
    <n v="82.63"/>
  </r>
  <r>
    <x v="566"/>
    <n v="1309"/>
    <x v="1"/>
    <x v="1"/>
    <n v="8"/>
    <x v="342"/>
    <n v="2.99"/>
    <n v="33.06"/>
    <n v="0.79"/>
    <n v="73.03"/>
  </r>
  <r>
    <x v="567"/>
    <n v="1309"/>
    <x v="1"/>
    <x v="0"/>
    <n v="17"/>
    <x v="167"/>
    <n v="11.45"/>
    <n v="33.9"/>
    <n v="1.07"/>
    <n v="357.74"/>
  </r>
  <r>
    <x v="568"/>
    <n v="1309"/>
    <x v="1"/>
    <x v="0"/>
    <n v="23"/>
    <x v="162"/>
    <n v="9.65"/>
    <n v="25.83"/>
    <n v="0.97"/>
    <n v="306.70999999999998"/>
  </r>
  <r>
    <x v="569"/>
    <n v="1309"/>
    <x v="1"/>
    <x v="0"/>
    <n v="15"/>
    <x v="322"/>
    <n v="10.36"/>
    <n v="34.04"/>
    <n v="1.08"/>
    <n v="351.34"/>
  </r>
  <r>
    <x v="570"/>
    <n v="1309"/>
    <x v="1"/>
    <x v="0"/>
    <n v="15"/>
    <x v="383"/>
    <n v="11.53"/>
    <n v="29.93"/>
    <n v="1.02"/>
    <n v="392.21"/>
  </r>
  <r>
    <x v="571"/>
    <n v="1309"/>
    <x v="1"/>
    <x v="0"/>
    <n v="10"/>
    <x v="384"/>
    <n v="11.26"/>
    <n v="32.71"/>
    <n v="1.08"/>
    <n v="375.52"/>
  </r>
  <r>
    <x v="572"/>
    <n v="1309"/>
    <x v="1"/>
    <x v="0"/>
    <n v="14"/>
    <x v="385"/>
    <n v="11.13"/>
    <n v="29.29"/>
    <n v="1.03"/>
    <n v="341.19"/>
  </r>
  <r>
    <x v="573"/>
    <n v="1309"/>
    <x v="1"/>
    <x v="1"/>
    <n v="17"/>
    <x v="178"/>
    <n v="3.15"/>
    <n v="29.64"/>
    <n v="0.82"/>
    <n v="87.85"/>
  </r>
  <r>
    <x v="574"/>
    <n v="1309"/>
    <x v="1"/>
    <x v="0"/>
    <n v="54"/>
    <x v="5"/>
    <n v="10.67"/>
    <n v="29.35"/>
    <n v="1.04"/>
    <n v="356.45"/>
  </r>
  <r>
    <x v="575"/>
    <n v="1309"/>
    <x v="1"/>
    <x v="1"/>
    <n v="10"/>
    <x v="386"/>
    <n v="2.93"/>
    <n v="37.28"/>
    <n v="0.82"/>
    <n v="93.78"/>
  </r>
  <r>
    <x v="576"/>
    <n v="1309"/>
    <x v="1"/>
    <x v="0"/>
    <n v="11"/>
    <x v="156"/>
    <n v="11.84"/>
    <n v="28.96"/>
    <n v="1.08"/>
    <n v="379.95"/>
  </r>
  <r>
    <x v="577"/>
    <n v="1309"/>
    <x v="1"/>
    <x v="1"/>
    <n v="13"/>
    <x v="387"/>
    <n v="2.61"/>
    <n v="32.96"/>
    <n v="0.79"/>
    <n v="87.03"/>
  </r>
  <r>
    <x v="578"/>
    <n v="1309"/>
    <x v="1"/>
    <x v="1"/>
    <n v="9"/>
    <x v="388"/>
    <n v="3.09"/>
    <n v="29.14"/>
    <n v="0.82"/>
    <n v="85.04"/>
  </r>
  <r>
    <x v="579"/>
    <n v="1310"/>
    <x v="0"/>
    <x v="0"/>
    <n v="22"/>
    <x v="14"/>
    <n v="10.51"/>
    <n v="32.51"/>
    <n v="0.96"/>
    <n v="341.21"/>
  </r>
  <r>
    <x v="580"/>
    <n v="1310"/>
    <x v="0"/>
    <x v="1"/>
    <n v="17"/>
    <x v="389"/>
    <n v="2.92"/>
    <n v="28.11"/>
    <n v="0.78"/>
    <n v="82.94"/>
  </r>
  <r>
    <x v="581"/>
    <n v="1310"/>
    <x v="0"/>
    <x v="0"/>
    <n v="12"/>
    <x v="390"/>
    <n v="10.42"/>
    <n v="28.21"/>
    <n v="0.89"/>
    <n v="360.18"/>
  </r>
  <r>
    <x v="582"/>
    <n v="1310"/>
    <x v="0"/>
    <x v="1"/>
    <n v="17"/>
    <x v="222"/>
    <n v="2.8"/>
    <n v="31.98"/>
    <n v="0.81"/>
    <n v="83.55"/>
  </r>
  <r>
    <x v="583"/>
    <n v="1310"/>
    <x v="0"/>
    <x v="0"/>
    <n v="46"/>
    <x v="391"/>
    <n v="11.91"/>
    <n v="35.159999999999997"/>
    <n v="1.08"/>
    <n v="395.08"/>
  </r>
  <r>
    <x v="584"/>
    <n v="1310"/>
    <x v="0"/>
    <x v="1"/>
    <n v="19"/>
    <x v="241"/>
    <n v="2.99"/>
    <n v="31.98"/>
    <n v="0.79"/>
    <n v="87.4"/>
  </r>
  <r>
    <x v="585"/>
    <n v="1310"/>
    <x v="0"/>
    <x v="0"/>
    <n v="17"/>
    <x v="392"/>
    <n v="11.34"/>
    <n v="30.75"/>
    <n v="0.93"/>
    <n v="359.08"/>
  </r>
  <r>
    <x v="586"/>
    <n v="1311"/>
    <x v="2"/>
    <x v="0"/>
    <n v="48"/>
    <x v="238"/>
    <n v="10.87"/>
    <n v="29.08"/>
    <n v="1.07"/>
    <n v="362.19"/>
  </r>
  <r>
    <x v="587"/>
    <n v="1311"/>
    <x v="2"/>
    <x v="1"/>
    <n v="15"/>
    <x v="393"/>
    <n v="2.98"/>
    <n v="29.74"/>
    <n v="0.81"/>
    <n v="84.4"/>
  </r>
  <r>
    <x v="588"/>
    <n v="1311"/>
    <x v="2"/>
    <x v="1"/>
    <n v="5"/>
    <x v="394"/>
    <n v="2.91"/>
    <n v="30.89"/>
    <n v="0.78"/>
    <n v="87.96"/>
  </r>
  <r>
    <x v="589"/>
    <n v="1311"/>
    <x v="2"/>
    <x v="0"/>
    <n v="18"/>
    <x v="280"/>
    <n v="11.21"/>
    <n v="31.34"/>
    <n v="1.08"/>
    <n v="287.33"/>
  </r>
  <r>
    <x v="590"/>
    <n v="1311"/>
    <x v="2"/>
    <x v="0"/>
    <n v="5"/>
    <x v="395"/>
    <n v="11.15"/>
    <n v="31.3"/>
    <n v="1.01"/>
    <n v="371.32"/>
  </r>
  <r>
    <x v="591"/>
    <n v="1311"/>
    <x v="2"/>
    <x v="0"/>
    <n v="22"/>
    <x v="292"/>
    <n v="10.08"/>
    <n v="34.01"/>
    <n v="0.98"/>
    <n v="335.49"/>
  </r>
  <r>
    <x v="592"/>
    <n v="1311"/>
    <x v="2"/>
    <x v="1"/>
    <n v="14"/>
    <x v="396"/>
    <n v="2.5"/>
    <n v="31.47"/>
    <n v="0.82"/>
    <n v="81.94"/>
  </r>
  <r>
    <x v="593"/>
    <n v="1311"/>
    <x v="2"/>
    <x v="1"/>
    <n v="10"/>
    <x v="397"/>
    <n v="2.8"/>
    <n v="33.35"/>
    <n v="0.81"/>
    <n v="80.84"/>
  </r>
  <r>
    <x v="594"/>
    <n v="1312"/>
    <x v="1"/>
    <x v="0"/>
    <n v="13"/>
    <x v="398"/>
    <n v="10.85"/>
    <n v="30.63"/>
    <n v="0.98"/>
    <n v="380.62"/>
  </r>
  <r>
    <x v="595"/>
    <n v="1312"/>
    <x v="1"/>
    <x v="1"/>
    <n v="15"/>
    <x v="399"/>
    <n v="2.78"/>
    <n v="32.15"/>
    <n v="0.81"/>
    <n v="91.83"/>
  </r>
  <r>
    <x v="596"/>
    <n v="1312"/>
    <x v="1"/>
    <x v="0"/>
    <n v="8"/>
    <x v="363"/>
    <n v="10.7"/>
    <n v="29.91"/>
    <n v="1.05"/>
    <n v="265.42"/>
  </r>
  <r>
    <x v="597"/>
    <n v="1312"/>
    <x v="1"/>
    <x v="0"/>
    <n v="19"/>
    <x v="400"/>
    <n v="10.220000000000001"/>
    <n v="30.48"/>
    <n v="1"/>
    <n v="287.94"/>
  </r>
  <r>
    <x v="598"/>
    <n v="1312"/>
    <x v="1"/>
    <x v="1"/>
    <n v="16"/>
    <x v="401"/>
    <n v="2.58"/>
    <n v="29.47"/>
    <n v="0.8"/>
    <n v="75.78"/>
  </r>
  <r>
    <x v="599"/>
    <n v="1312"/>
    <x v="1"/>
    <x v="1"/>
    <n v="10"/>
    <x v="81"/>
    <n v="2.99"/>
    <n v="33.61"/>
    <n v="0.81"/>
    <n v="92.72"/>
  </r>
  <r>
    <x v="600"/>
    <n v="1312"/>
    <x v="1"/>
    <x v="0"/>
    <n v="14"/>
    <x v="337"/>
    <n v="10.26"/>
    <n v="31.75"/>
    <n v="0.91"/>
    <n v="331.99"/>
  </r>
  <r>
    <x v="601"/>
    <n v="1312"/>
    <x v="1"/>
    <x v="1"/>
    <n v="18"/>
    <x v="402"/>
    <n v="2.81"/>
    <n v="31.21"/>
    <n v="0.77"/>
    <n v="89.96"/>
  </r>
  <r>
    <x v="602"/>
    <n v="1312"/>
    <x v="1"/>
    <x v="0"/>
    <n v="9"/>
    <x v="295"/>
    <n v="11.24"/>
    <n v="30.61"/>
    <n v="1.05"/>
    <n v="367.96"/>
  </r>
  <r>
    <x v="603"/>
    <n v="1313"/>
    <x v="3"/>
    <x v="0"/>
    <n v="9"/>
    <x v="55"/>
    <n v="11.39"/>
    <n v="30.9"/>
    <n v="0.97"/>
    <n v="357.92"/>
  </r>
  <r>
    <x v="604"/>
    <n v="1313"/>
    <x v="3"/>
    <x v="0"/>
    <n v="12"/>
    <x v="371"/>
    <n v="11.35"/>
    <n v="33.56"/>
    <n v="1"/>
    <n v="382.49"/>
  </r>
  <r>
    <x v="605"/>
    <n v="1313"/>
    <x v="3"/>
    <x v="0"/>
    <n v="11"/>
    <x v="403"/>
    <n v="10.16"/>
    <n v="33.67"/>
    <n v="1.05"/>
    <n v="325.58999999999997"/>
  </r>
  <r>
    <x v="606"/>
    <n v="1313"/>
    <x v="3"/>
    <x v="0"/>
    <n v="9"/>
    <x v="404"/>
    <n v="9.9700000000000006"/>
    <n v="32.57"/>
    <n v="1"/>
    <n v="313.42"/>
  </r>
  <r>
    <x v="607"/>
    <n v="1313"/>
    <x v="3"/>
    <x v="1"/>
    <n v="41"/>
    <x v="405"/>
    <n v="2.88"/>
    <n v="30.71"/>
    <n v="0.83"/>
    <n v="93.3"/>
  </r>
  <r>
    <x v="608"/>
    <n v="1313"/>
    <x v="3"/>
    <x v="0"/>
    <n v="38"/>
    <x v="332"/>
    <n v="11.72"/>
    <n v="25.52"/>
    <n v="1.06"/>
    <n v="374.76"/>
  </r>
  <r>
    <x v="609"/>
    <n v="1313"/>
    <x v="3"/>
    <x v="1"/>
    <n v="40"/>
    <x v="406"/>
    <n v="2.85"/>
    <n v="28.29"/>
    <n v="0.79"/>
    <n v="74.16"/>
  </r>
  <r>
    <x v="610"/>
    <n v="1313"/>
    <x v="3"/>
    <x v="0"/>
    <n v="20"/>
    <x v="308"/>
    <n v="11.92"/>
    <n v="29.14"/>
    <n v="1.01"/>
    <n v="375.99"/>
  </r>
  <r>
    <x v="611"/>
    <n v="1314"/>
    <x v="1"/>
    <x v="0"/>
    <n v="12"/>
    <x v="407"/>
    <n v="11.9"/>
    <n v="31.55"/>
    <n v="0.98"/>
    <n v="404.45"/>
  </r>
  <r>
    <x v="612"/>
    <n v="1314"/>
    <x v="1"/>
    <x v="1"/>
    <n v="32"/>
    <x v="408"/>
    <n v="3.05"/>
    <n v="26.53"/>
    <n v="0.81"/>
    <n v="87.76"/>
  </r>
  <r>
    <x v="613"/>
    <n v="1314"/>
    <x v="1"/>
    <x v="1"/>
    <n v="10"/>
    <x v="409"/>
    <n v="2.86"/>
    <n v="28.65"/>
    <n v="0.76"/>
    <n v="81.8"/>
  </r>
  <r>
    <x v="614"/>
    <n v="1314"/>
    <x v="1"/>
    <x v="1"/>
    <n v="18"/>
    <x v="410"/>
    <n v="3"/>
    <n v="35.43"/>
    <n v="0.79"/>
    <n v="100.05"/>
  </r>
  <r>
    <x v="615"/>
    <n v="1314"/>
    <x v="1"/>
    <x v="0"/>
    <n v="25"/>
    <x v="411"/>
    <n v="11.23"/>
    <n v="31.94"/>
    <n v="0.96"/>
    <n v="356.22"/>
  </r>
  <r>
    <x v="616"/>
    <n v="1314"/>
    <x v="1"/>
    <x v="0"/>
    <n v="11"/>
    <x v="412"/>
    <n v="10.050000000000001"/>
    <n v="26.96"/>
    <n v="1.02"/>
    <n v="305.39999999999998"/>
  </r>
  <r>
    <x v="617"/>
    <n v="1314"/>
    <x v="1"/>
    <x v="1"/>
    <n v="49"/>
    <x v="413"/>
    <n v="2.82"/>
    <n v="36.44"/>
    <n v="0.84"/>
    <n v="91.87"/>
  </r>
  <r>
    <x v="618"/>
    <n v="1315"/>
    <x v="3"/>
    <x v="0"/>
    <n v="24"/>
    <x v="158"/>
    <n v="10.47"/>
    <n v="31.76"/>
    <n v="1.0900000000000001"/>
    <n v="342.09"/>
  </r>
  <r>
    <x v="619"/>
    <n v="1315"/>
    <x v="3"/>
    <x v="0"/>
    <n v="12"/>
    <x v="414"/>
    <n v="10.15"/>
    <n v="28.91"/>
    <n v="1.03"/>
    <n v="306.14"/>
  </r>
  <r>
    <x v="620"/>
    <n v="1315"/>
    <x v="3"/>
    <x v="0"/>
    <n v="21"/>
    <x v="33"/>
    <n v="11.23"/>
    <n v="29.25"/>
    <n v="0.97"/>
    <n v="369.53"/>
  </r>
  <r>
    <x v="621"/>
    <n v="1315"/>
    <x v="3"/>
    <x v="1"/>
    <n v="15"/>
    <x v="34"/>
    <n v="3.32"/>
    <n v="29.04"/>
    <n v="0.79"/>
    <n v="90.1"/>
  </r>
  <r>
    <x v="622"/>
    <n v="1315"/>
    <x v="3"/>
    <x v="1"/>
    <n v="8"/>
    <x v="286"/>
    <n v="2.94"/>
    <n v="30.91"/>
    <n v="0.81"/>
    <n v="90.24"/>
  </r>
  <r>
    <x v="623"/>
    <n v="1315"/>
    <x v="3"/>
    <x v="0"/>
    <n v="9"/>
    <x v="415"/>
    <n v="9.9700000000000006"/>
    <n v="34.61"/>
    <n v="1.02"/>
    <n v="315.63"/>
  </r>
  <r>
    <x v="624"/>
    <n v="1315"/>
    <x v="3"/>
    <x v="0"/>
    <n v="36"/>
    <x v="416"/>
    <n v="11.52"/>
    <n v="34.85"/>
    <n v="1.01"/>
    <n v="342.45"/>
  </r>
  <r>
    <x v="625"/>
    <n v="1315"/>
    <x v="3"/>
    <x v="0"/>
    <n v="12"/>
    <x v="385"/>
    <n v="11.35"/>
    <n v="32.9"/>
    <n v="0.93"/>
    <n v="347.73"/>
  </r>
  <r>
    <x v="626"/>
    <n v="1315"/>
    <x v="3"/>
    <x v="0"/>
    <n v="12"/>
    <x v="417"/>
    <n v="11.3"/>
    <n v="32.5"/>
    <n v="1.07"/>
    <n v="363.77"/>
  </r>
  <r>
    <x v="627"/>
    <n v="1315"/>
    <x v="3"/>
    <x v="0"/>
    <n v="11"/>
    <x v="418"/>
    <n v="10.4"/>
    <n v="30.67"/>
    <n v="0.94"/>
    <n v="310.91000000000003"/>
  </r>
  <r>
    <x v="628"/>
    <n v="1316"/>
    <x v="3"/>
    <x v="0"/>
    <n v="13"/>
    <x v="293"/>
    <n v="11.22"/>
    <n v="25.28"/>
    <n v="1.1299999999999999"/>
    <n v="381.47"/>
  </r>
  <r>
    <x v="629"/>
    <n v="1316"/>
    <x v="3"/>
    <x v="1"/>
    <n v="13"/>
    <x v="43"/>
    <n v="2.74"/>
    <n v="33.71"/>
    <n v="0.79"/>
    <n v="87.39"/>
  </r>
  <r>
    <x v="630"/>
    <n v="1316"/>
    <x v="3"/>
    <x v="0"/>
    <n v="39"/>
    <x v="91"/>
    <n v="10.58"/>
    <n v="32.659999999999997"/>
    <n v="1.06"/>
    <n v="330.46"/>
  </r>
  <r>
    <x v="631"/>
    <n v="1316"/>
    <x v="3"/>
    <x v="0"/>
    <n v="105"/>
    <x v="362"/>
    <n v="11"/>
    <n v="28.45"/>
    <n v="0.95"/>
    <n v="362.85"/>
  </r>
  <r>
    <x v="632"/>
    <n v="1316"/>
    <x v="3"/>
    <x v="1"/>
    <n v="9"/>
    <x v="130"/>
    <n v="2.94"/>
    <n v="29.2"/>
    <n v="0.79"/>
    <n v="82.78"/>
  </r>
  <r>
    <x v="633"/>
    <n v="1316"/>
    <x v="3"/>
    <x v="1"/>
    <n v="27"/>
    <x v="419"/>
    <n v="3"/>
    <n v="30.11"/>
    <n v="0.79"/>
    <n v="74.260000000000005"/>
  </r>
  <r>
    <x v="634"/>
    <n v="1316"/>
    <x v="3"/>
    <x v="0"/>
    <n v="12"/>
    <x v="420"/>
    <n v="10.39"/>
    <n v="32.78"/>
    <n v="1.05"/>
    <n v="301.83"/>
  </r>
  <r>
    <x v="635"/>
    <n v="1316"/>
    <x v="3"/>
    <x v="1"/>
    <n v="18"/>
    <x v="311"/>
    <n v="3.2"/>
    <n v="30.03"/>
    <n v="0.8"/>
    <n v="91.24"/>
  </r>
  <r>
    <x v="636"/>
    <n v="1317"/>
    <x v="1"/>
    <x v="1"/>
    <n v="8"/>
    <x v="421"/>
    <n v="2.76"/>
    <n v="32.44"/>
    <n v="0.77"/>
    <n v="83.6"/>
  </r>
  <r>
    <x v="637"/>
    <n v="1317"/>
    <x v="1"/>
    <x v="1"/>
    <n v="11"/>
    <x v="210"/>
    <n v="2.83"/>
    <n v="33.869999999999997"/>
    <n v="0.84"/>
    <n v="87.64"/>
  </r>
  <r>
    <x v="638"/>
    <n v="1317"/>
    <x v="1"/>
    <x v="1"/>
    <n v="33"/>
    <x v="388"/>
    <n v="3.08"/>
    <n v="29.26"/>
    <n v="0.82"/>
    <n v="84.96"/>
  </r>
  <r>
    <x v="639"/>
    <n v="1317"/>
    <x v="1"/>
    <x v="1"/>
    <n v="32"/>
    <x v="422"/>
    <n v="2.57"/>
    <n v="29.62"/>
    <n v="0.81"/>
    <n v="71.94"/>
  </r>
  <r>
    <x v="640"/>
    <n v="1317"/>
    <x v="1"/>
    <x v="0"/>
    <n v="12"/>
    <x v="119"/>
    <n v="10.94"/>
    <n v="31.72"/>
    <n v="0.96"/>
    <n v="351.29"/>
  </r>
  <r>
    <x v="641"/>
    <n v="1317"/>
    <x v="1"/>
    <x v="0"/>
    <n v="51"/>
    <x v="407"/>
    <n v="10.72"/>
    <n v="34.08"/>
    <n v="0.98"/>
    <n v="370.94"/>
  </r>
  <r>
    <x v="642"/>
    <n v="1317"/>
    <x v="1"/>
    <x v="1"/>
    <n v="16"/>
    <x v="217"/>
    <n v="3"/>
    <n v="31.97"/>
    <n v="0.82"/>
    <n v="89.35"/>
  </r>
  <r>
    <x v="643"/>
    <n v="1317"/>
    <x v="1"/>
    <x v="0"/>
    <n v="12"/>
    <x v="423"/>
    <n v="10.85"/>
    <n v="35.89"/>
    <n v="1.0900000000000001"/>
    <n v="365.63"/>
  </r>
  <r>
    <x v="644"/>
    <n v="1318"/>
    <x v="2"/>
    <x v="0"/>
    <n v="11"/>
    <x v="424"/>
    <n v="10.72"/>
    <n v="35.79"/>
    <n v="0.97"/>
    <n v="352.42"/>
  </r>
  <r>
    <x v="645"/>
    <n v="1318"/>
    <x v="2"/>
    <x v="1"/>
    <n v="21"/>
    <x v="165"/>
    <n v="3.12"/>
    <n v="28.93"/>
    <n v="0.79"/>
    <n v="87.43"/>
  </r>
  <r>
    <x v="646"/>
    <n v="1318"/>
    <x v="2"/>
    <x v="0"/>
    <n v="13"/>
    <x v="318"/>
    <n v="11.52"/>
    <n v="28.93"/>
    <n v="1.1000000000000001"/>
    <n v="377.68"/>
  </r>
  <r>
    <x v="647"/>
    <n v="1318"/>
    <x v="2"/>
    <x v="0"/>
    <n v="7"/>
    <x v="16"/>
    <n v="10.73"/>
    <n v="26.81"/>
    <n v="1.04"/>
    <n v="352.56"/>
  </r>
  <r>
    <x v="648"/>
    <n v="1318"/>
    <x v="2"/>
    <x v="1"/>
    <n v="24"/>
    <x v="425"/>
    <n v="2.8"/>
    <n v="30.26"/>
    <n v="0.79"/>
    <n v="88.59"/>
  </r>
  <r>
    <x v="649"/>
    <n v="1318"/>
    <x v="2"/>
    <x v="1"/>
    <n v="12"/>
    <x v="134"/>
    <n v="2.79"/>
    <n v="29.48"/>
    <n v="0.81"/>
    <n v="84.23"/>
  </r>
  <r>
    <x v="650"/>
    <n v="1318"/>
    <x v="2"/>
    <x v="1"/>
    <n v="15"/>
    <x v="426"/>
    <n v="3.11"/>
    <n v="33.99"/>
    <n v="0.77"/>
    <n v="96.05"/>
  </r>
  <r>
    <x v="651"/>
    <n v="1319"/>
    <x v="1"/>
    <x v="1"/>
    <n v="22"/>
    <x v="97"/>
    <n v="2.67"/>
    <n v="27.23"/>
    <n v="0.84"/>
    <n v="76.56"/>
  </r>
  <r>
    <x v="652"/>
    <n v="1319"/>
    <x v="1"/>
    <x v="0"/>
    <n v="28"/>
    <x v="157"/>
    <n v="12.11"/>
    <n v="24.44"/>
    <n v="1"/>
    <n v="406.47"/>
  </r>
  <r>
    <x v="653"/>
    <n v="1319"/>
    <x v="1"/>
    <x v="0"/>
    <n v="15"/>
    <x v="177"/>
    <n v="10.8"/>
    <n v="32.42"/>
    <n v="1.06"/>
    <n v="365.89"/>
  </r>
  <r>
    <x v="654"/>
    <n v="1319"/>
    <x v="1"/>
    <x v="0"/>
    <n v="43"/>
    <x v="55"/>
    <n v="12.13"/>
    <n v="31.95"/>
    <n v="1"/>
    <n v="308.17"/>
  </r>
  <r>
    <x v="655"/>
    <n v="1319"/>
    <x v="1"/>
    <x v="0"/>
    <n v="15"/>
    <x v="427"/>
    <n v="11.16"/>
    <n v="28.75"/>
    <n v="0.95"/>
    <n v="377.79"/>
  </r>
  <r>
    <x v="656"/>
    <n v="1319"/>
    <x v="1"/>
    <x v="1"/>
    <n v="19"/>
    <x v="62"/>
    <n v="3.17"/>
    <n v="37.15"/>
    <n v="0.8"/>
    <n v="102.65"/>
  </r>
  <r>
    <x v="657"/>
    <n v="1319"/>
    <x v="1"/>
    <x v="1"/>
    <n v="8"/>
    <x v="263"/>
    <n v="2.4900000000000002"/>
    <n v="32.299999999999997"/>
    <n v="0.8"/>
    <n v="81.87"/>
  </r>
  <r>
    <x v="658"/>
    <n v="1319"/>
    <x v="1"/>
    <x v="0"/>
    <n v="11"/>
    <x v="428"/>
    <n v="10.9"/>
    <n v="35.380000000000003"/>
    <n v="1.1100000000000001"/>
    <n v="376.68"/>
  </r>
  <r>
    <x v="659"/>
    <n v="1319"/>
    <x v="1"/>
    <x v="0"/>
    <n v="11"/>
    <x v="173"/>
    <n v="10.42"/>
    <n v="35.950000000000003"/>
    <n v="0.91"/>
    <n v="315.60000000000002"/>
  </r>
  <r>
    <x v="660"/>
    <n v="1319"/>
    <x v="1"/>
    <x v="1"/>
    <n v="13"/>
    <x v="95"/>
    <n v="2.74"/>
    <n v="32.83"/>
    <n v="0.75"/>
    <n v="83.37"/>
  </r>
  <r>
    <x v="661"/>
    <n v="1319"/>
    <x v="1"/>
    <x v="1"/>
    <n v="20"/>
    <x v="429"/>
    <n v="2.95"/>
    <n v="33.299999999999997"/>
    <n v="0.77"/>
    <n v="89.86"/>
  </r>
  <r>
    <x v="662"/>
    <n v="1319"/>
    <x v="1"/>
    <x v="1"/>
    <n v="15"/>
    <x v="140"/>
    <n v="2.67"/>
    <n v="31.93"/>
    <n v="0.8"/>
    <n v="82.51"/>
  </r>
  <r>
    <x v="663"/>
    <n v="1319"/>
    <x v="1"/>
    <x v="0"/>
    <n v="30"/>
    <x v="14"/>
    <n v="10.9"/>
    <n v="32.770000000000003"/>
    <n v="1.05"/>
    <n v="356.3"/>
  </r>
  <r>
    <x v="664"/>
    <n v="1320"/>
    <x v="3"/>
    <x v="1"/>
    <n v="24"/>
    <x v="95"/>
    <n v="3.04"/>
    <n v="33.64"/>
    <n v="0.78"/>
    <n v="91.31"/>
  </r>
  <r>
    <x v="665"/>
    <n v="1320"/>
    <x v="3"/>
    <x v="1"/>
    <n v="16"/>
    <x v="77"/>
    <n v="2.57"/>
    <n v="31.78"/>
    <n v="0.79"/>
    <n v="79.739999999999995"/>
  </r>
  <r>
    <x v="666"/>
    <n v="1320"/>
    <x v="3"/>
    <x v="1"/>
    <n v="17"/>
    <x v="41"/>
    <n v="2.68"/>
    <n v="30.85"/>
    <n v="0.8"/>
    <n v="78.48"/>
  </r>
  <r>
    <x v="667"/>
    <n v="1320"/>
    <x v="3"/>
    <x v="1"/>
    <n v="14"/>
    <x v="409"/>
    <n v="2.9"/>
    <n v="31.84"/>
    <n v="0.83"/>
    <n v="87.73"/>
  </r>
  <r>
    <x v="668"/>
    <n v="1320"/>
    <x v="3"/>
    <x v="0"/>
    <n v="17"/>
    <x v="91"/>
    <n v="11.03"/>
    <n v="30.08"/>
    <n v="1.04"/>
    <n v="338.79"/>
  </r>
  <r>
    <x v="669"/>
    <n v="1320"/>
    <x v="3"/>
    <x v="0"/>
    <n v="7"/>
    <x v="430"/>
    <n v="11.45"/>
    <n v="32.46"/>
    <n v="1.08"/>
    <n v="367.88"/>
  </r>
  <r>
    <x v="670"/>
    <n v="1320"/>
    <x v="3"/>
    <x v="1"/>
    <n v="11"/>
    <x v="394"/>
    <n v="3.1"/>
    <n v="29.98"/>
    <n v="0.83"/>
    <n v="92.84"/>
  </r>
  <r>
    <x v="671"/>
    <n v="1320"/>
    <x v="3"/>
    <x v="0"/>
    <n v="13"/>
    <x v="141"/>
    <n v="9.93"/>
    <n v="32.29"/>
    <n v="1.07"/>
    <n v="312.75"/>
  </r>
  <r>
    <x v="672"/>
    <n v="1320"/>
    <x v="3"/>
    <x v="1"/>
    <n v="9"/>
    <x v="431"/>
    <n v="2.93"/>
    <n v="30.09"/>
    <n v="0.83"/>
    <n v="90.88"/>
  </r>
  <r>
    <x v="673"/>
    <n v="1320"/>
    <x v="3"/>
    <x v="0"/>
    <n v="10"/>
    <x v="326"/>
    <n v="11.58"/>
    <n v="37.450000000000003"/>
    <n v="1.01"/>
    <n v="406.91"/>
  </r>
  <r>
    <x v="674"/>
    <n v="1320"/>
    <x v="3"/>
    <x v="1"/>
    <n v="15"/>
    <x v="432"/>
    <n v="3.24"/>
    <n v="33.36"/>
    <n v="0.8"/>
    <n v="96.27"/>
  </r>
  <r>
    <x v="675"/>
    <n v="1320"/>
    <x v="3"/>
    <x v="1"/>
    <n v="39"/>
    <x v="386"/>
    <n v="2.77"/>
    <n v="28.72"/>
    <n v="0.83"/>
    <n v="83.09"/>
  </r>
  <r>
    <x v="676"/>
    <n v="1320"/>
    <x v="3"/>
    <x v="0"/>
    <n v="56"/>
    <x v="52"/>
    <n v="10.34"/>
    <n v="27"/>
    <n v="0.94"/>
    <n v="325.36"/>
  </r>
  <r>
    <x v="677"/>
    <n v="1321"/>
    <x v="0"/>
    <x v="0"/>
    <n v="7"/>
    <x v="268"/>
    <n v="10.71"/>
    <n v="35.71"/>
    <n v="1.02"/>
    <n v="356.87"/>
  </r>
  <r>
    <x v="678"/>
    <n v="1321"/>
    <x v="0"/>
    <x v="1"/>
    <n v="16"/>
    <x v="393"/>
    <n v="2.6"/>
    <n v="28.4"/>
    <n v="0.81"/>
    <n v="75.819999999999993"/>
  </r>
  <r>
    <x v="679"/>
    <n v="1321"/>
    <x v="0"/>
    <x v="1"/>
    <n v="7"/>
    <x v="6"/>
    <n v="2.64"/>
    <n v="30.59"/>
    <n v="0.83"/>
    <n v="84.34"/>
  </r>
  <r>
    <x v="680"/>
    <n v="1321"/>
    <x v="0"/>
    <x v="0"/>
    <n v="17"/>
    <x v="5"/>
    <n v="11.64"/>
    <n v="32.92"/>
    <n v="0.97"/>
    <n v="387.23"/>
  </r>
  <r>
    <x v="681"/>
    <n v="1321"/>
    <x v="0"/>
    <x v="0"/>
    <n v="11"/>
    <x v="158"/>
    <n v="11.08"/>
    <n v="31.68"/>
    <n v="0.96"/>
    <n v="354.61"/>
  </r>
  <r>
    <x v="682"/>
    <n v="1321"/>
    <x v="0"/>
    <x v="0"/>
    <n v="14"/>
    <x v="170"/>
    <n v="10.66"/>
    <n v="30.21"/>
    <n v="1.03"/>
    <n v="365.74"/>
  </r>
  <r>
    <x v="683"/>
    <n v="1321"/>
    <x v="0"/>
    <x v="0"/>
    <n v="42"/>
    <x v="411"/>
    <n v="10.050000000000001"/>
    <n v="30.91"/>
    <n v="0.88"/>
    <n v="318.5"/>
  </r>
  <r>
    <x v="684"/>
    <n v="1321"/>
    <x v="0"/>
    <x v="0"/>
    <n v="11"/>
    <x v="350"/>
    <n v="10.86"/>
    <n v="32.68"/>
    <n v="1.08"/>
    <n v="372.03"/>
  </r>
  <r>
    <x v="685"/>
    <n v="1322"/>
    <x v="3"/>
    <x v="1"/>
    <n v="14"/>
    <x v="4"/>
    <n v="2.38"/>
    <n v="30.31"/>
    <n v="0.83"/>
    <n v="79.61"/>
  </r>
  <r>
    <x v="686"/>
    <n v="1322"/>
    <x v="3"/>
    <x v="1"/>
    <n v="10"/>
    <x v="150"/>
    <n v="3.02"/>
    <n v="31.44"/>
    <n v="0.79"/>
    <n v="83.82"/>
  </r>
  <r>
    <x v="687"/>
    <n v="1322"/>
    <x v="3"/>
    <x v="0"/>
    <n v="14"/>
    <x v="433"/>
    <n v="11.2"/>
    <n v="31.56"/>
    <n v="0.92"/>
    <n v="384.91"/>
  </r>
  <r>
    <x v="688"/>
    <n v="1322"/>
    <x v="3"/>
    <x v="0"/>
    <n v="24"/>
    <x v="434"/>
    <n v="11.94"/>
    <n v="30.57"/>
    <n v="0.99"/>
    <n v="352.69"/>
  </r>
  <r>
    <x v="689"/>
    <n v="1322"/>
    <x v="3"/>
    <x v="0"/>
    <n v="15"/>
    <x v="382"/>
    <n v="11.16"/>
    <n v="34.54"/>
    <n v="0.97"/>
    <n v="345.65"/>
  </r>
  <r>
    <x v="690"/>
    <n v="1322"/>
    <x v="3"/>
    <x v="0"/>
    <n v="19"/>
    <x v="15"/>
    <n v="11.05"/>
    <n v="38.82"/>
    <n v="1.03"/>
    <n v="363.17"/>
  </r>
  <r>
    <x v="691"/>
    <n v="1322"/>
    <x v="3"/>
    <x v="1"/>
    <n v="16"/>
    <x v="10"/>
    <n v="2.82"/>
    <n v="33.35"/>
    <n v="0.8"/>
    <n v="88.48"/>
  </r>
  <r>
    <x v="692"/>
    <n v="1322"/>
    <x v="3"/>
    <x v="1"/>
    <n v="32"/>
    <x v="203"/>
    <n v="3.11"/>
    <n v="30.81"/>
    <n v="0.82"/>
    <n v="89.41"/>
  </r>
  <r>
    <x v="693"/>
    <n v="1323"/>
    <x v="3"/>
    <x v="0"/>
    <n v="41"/>
    <x v="435"/>
    <n v="10.24"/>
    <n v="33.54"/>
    <n v="0.94"/>
    <n v="265.99"/>
  </r>
  <r>
    <x v="694"/>
    <n v="1323"/>
    <x v="3"/>
    <x v="1"/>
    <n v="15"/>
    <x v="436"/>
    <n v="2.8"/>
    <n v="27.79"/>
    <n v="0.8"/>
    <n v="90.33"/>
  </r>
  <r>
    <x v="695"/>
    <n v="1323"/>
    <x v="3"/>
    <x v="0"/>
    <n v="14"/>
    <x v="437"/>
    <n v="11.18"/>
    <n v="32.409999999999997"/>
    <n v="0.84"/>
    <n v="340.22"/>
  </r>
  <r>
    <x v="696"/>
    <n v="1323"/>
    <x v="3"/>
    <x v="1"/>
    <n v="29"/>
    <x v="438"/>
    <n v="3.13"/>
    <n v="29.03"/>
    <n v="0.78"/>
    <n v="83.35"/>
  </r>
  <r>
    <x v="697"/>
    <n v="1323"/>
    <x v="3"/>
    <x v="1"/>
    <n v="23"/>
    <x v="439"/>
    <n v="2.72"/>
    <n v="34.61"/>
    <n v="0.77"/>
    <n v="70.8"/>
  </r>
  <r>
    <x v="698"/>
    <n v="1323"/>
    <x v="3"/>
    <x v="1"/>
    <n v="11"/>
    <x v="40"/>
    <n v="2.76"/>
    <n v="27.05"/>
    <n v="0.8"/>
    <n v="75"/>
  </r>
  <r>
    <x v="699"/>
    <n v="1323"/>
    <x v="3"/>
    <x v="0"/>
    <n v="12"/>
    <x v="69"/>
    <n v="11.33"/>
    <n v="30.3"/>
    <n v="1.1000000000000001"/>
    <n v="365.78"/>
  </r>
  <r>
    <x v="700"/>
    <n v="1323"/>
    <x v="3"/>
    <x v="0"/>
    <n v="14"/>
    <x v="83"/>
    <n v="11.1"/>
    <n v="32.68"/>
    <n v="1.07"/>
    <n v="381.91"/>
  </r>
  <r>
    <x v="701"/>
    <n v="1324"/>
    <x v="2"/>
    <x v="0"/>
    <n v="112"/>
    <x v="316"/>
    <n v="10.49"/>
    <n v="28.87"/>
    <n v="0.83"/>
    <n v="315.16000000000003"/>
  </r>
  <r>
    <x v="702"/>
    <n v="1324"/>
    <x v="2"/>
    <x v="1"/>
    <n v="18"/>
    <x v="440"/>
    <n v="2.92"/>
    <n v="30.18"/>
    <n v="0.79"/>
    <n v="82.46"/>
  </r>
  <r>
    <x v="703"/>
    <n v="1324"/>
    <x v="2"/>
    <x v="1"/>
    <n v="9"/>
    <x v="441"/>
    <n v="2.6"/>
    <n v="29.45"/>
    <n v="0.8"/>
    <n v="81.97"/>
  </r>
  <r>
    <x v="704"/>
    <n v="1324"/>
    <x v="2"/>
    <x v="0"/>
    <n v="11"/>
    <x v="215"/>
    <n v="10.61"/>
    <n v="29.58"/>
    <n v="1.1000000000000001"/>
    <n v="355.16"/>
  </r>
  <r>
    <x v="705"/>
    <n v="1324"/>
    <x v="2"/>
    <x v="0"/>
    <n v="14"/>
    <x v="102"/>
    <n v="10.81"/>
    <n v="32.94"/>
    <n v="0.91"/>
    <n v="337.97"/>
  </r>
  <r>
    <x v="706"/>
    <n v="1324"/>
    <x v="2"/>
    <x v="0"/>
    <n v="16"/>
    <x v="391"/>
    <n v="11.42"/>
    <n v="26.86"/>
    <n v="0.93"/>
    <n v="365.22"/>
  </r>
  <r>
    <x v="707"/>
    <n v="1324"/>
    <x v="2"/>
    <x v="1"/>
    <n v="11"/>
    <x v="271"/>
    <n v="3.06"/>
    <n v="35.130000000000003"/>
    <n v="0.8"/>
    <n v="90.53"/>
  </r>
  <r>
    <x v="708"/>
    <n v="1324"/>
    <x v="2"/>
    <x v="0"/>
    <n v="32"/>
    <x v="442"/>
    <n v="10.26"/>
    <n v="27.59"/>
    <n v="1.08"/>
    <n v="363.13"/>
  </r>
  <r>
    <x v="709"/>
    <n v="1324"/>
    <x v="2"/>
    <x v="1"/>
    <n v="15"/>
    <x v="41"/>
    <n v="3.12"/>
    <n v="31.89"/>
    <n v="0.79"/>
    <n v="87.47"/>
  </r>
  <r>
    <x v="710"/>
    <n v="1324"/>
    <x v="2"/>
    <x v="1"/>
    <n v="18"/>
    <x v="369"/>
    <n v="2.83"/>
    <n v="32.409999999999997"/>
    <n v="0.79"/>
    <n v="91.79"/>
  </r>
  <r>
    <x v="711"/>
    <n v="1324"/>
    <x v="2"/>
    <x v="1"/>
    <n v="14"/>
    <x v="443"/>
    <n v="2.82"/>
    <n v="28.32"/>
    <n v="0.79"/>
    <n v="86.34"/>
  </r>
  <r>
    <x v="712"/>
    <n v="1324"/>
    <x v="2"/>
    <x v="1"/>
    <n v="15"/>
    <x v="251"/>
    <n v="2.67"/>
    <n v="33.49"/>
    <n v="0.78"/>
    <n v="87.44"/>
  </r>
  <r>
    <x v="713"/>
    <n v="1324"/>
    <x v="2"/>
    <x v="1"/>
    <n v="9"/>
    <x v="75"/>
    <n v="2.8"/>
    <n v="31.74"/>
    <n v="0.81"/>
    <n v="84.57"/>
  </r>
  <r>
    <x v="714"/>
    <n v="1325"/>
    <x v="2"/>
    <x v="1"/>
    <n v="10"/>
    <x v="43"/>
    <n v="2.95"/>
    <n v="33.36"/>
    <n v="0.78"/>
    <n v="91.17"/>
  </r>
  <r>
    <x v="715"/>
    <n v="1325"/>
    <x v="2"/>
    <x v="0"/>
    <n v="12"/>
    <x v="444"/>
    <n v="11.34"/>
    <n v="36.17"/>
    <n v="1"/>
    <n v="392.89"/>
  </r>
  <r>
    <x v="716"/>
    <n v="1325"/>
    <x v="2"/>
    <x v="1"/>
    <n v="17"/>
    <x v="445"/>
    <n v="2.86"/>
    <n v="29.53"/>
    <n v="0.8"/>
    <n v="90.2"/>
  </r>
  <r>
    <x v="717"/>
    <n v="1325"/>
    <x v="2"/>
    <x v="1"/>
    <n v="25"/>
    <x v="389"/>
    <n v="3.12"/>
    <n v="33.35"/>
    <n v="0.79"/>
    <n v="91.83"/>
  </r>
  <r>
    <x v="718"/>
    <n v="1325"/>
    <x v="2"/>
    <x v="0"/>
    <n v="12"/>
    <x v="238"/>
    <n v="11.58"/>
    <n v="30.12"/>
    <n v="0.96"/>
    <n v="380.81"/>
  </r>
  <r>
    <x v="719"/>
    <n v="1325"/>
    <x v="2"/>
    <x v="1"/>
    <n v="12"/>
    <x v="95"/>
    <n v="2.57"/>
    <n v="31.11"/>
    <n v="0.82"/>
    <n v="80.86"/>
  </r>
  <r>
    <x v="720"/>
    <n v="1325"/>
    <x v="2"/>
    <x v="1"/>
    <n v="14"/>
    <x v="134"/>
    <n v="2.88"/>
    <n v="28.81"/>
    <n v="0.78"/>
    <n v="84.56"/>
  </r>
  <r>
    <x v="721"/>
    <n v="1325"/>
    <x v="2"/>
    <x v="1"/>
    <n v="15"/>
    <x v="180"/>
    <n v="2.94"/>
    <n v="31.43"/>
    <n v="0.78"/>
    <n v="85.54"/>
  </r>
  <r>
    <x v="722"/>
    <n v="1325"/>
    <x v="2"/>
    <x v="0"/>
    <n v="17"/>
    <x v="361"/>
    <n v="12.43"/>
    <n v="32.08"/>
    <n v="1.07"/>
    <n v="404.54"/>
  </r>
  <r>
    <x v="723"/>
    <n v="1325"/>
    <x v="2"/>
    <x v="0"/>
    <n v="12"/>
    <x v="319"/>
    <n v="10.61"/>
    <n v="32.08"/>
    <n v="1.02"/>
    <n v="324.29000000000002"/>
  </r>
  <r>
    <x v="724"/>
    <n v="1325"/>
    <x v="2"/>
    <x v="0"/>
    <n v="11"/>
    <x v="156"/>
    <n v="10.58"/>
    <n v="30.49"/>
    <n v="1.02"/>
    <n v="343.27"/>
  </r>
  <r>
    <x v="725"/>
    <n v="1325"/>
    <x v="2"/>
    <x v="0"/>
    <n v="14"/>
    <x v="114"/>
    <n v="11.19"/>
    <n v="32.909999999999997"/>
    <n v="1.04"/>
    <n v="380.62"/>
  </r>
  <r>
    <x v="726"/>
    <n v="1325"/>
    <x v="2"/>
    <x v="0"/>
    <n v="13"/>
    <x v="446"/>
    <n v="10.16"/>
    <n v="35.39"/>
    <n v="1.03"/>
    <n v="341.1"/>
  </r>
  <r>
    <x v="727"/>
    <n v="1325"/>
    <x v="2"/>
    <x v="0"/>
    <n v="9"/>
    <x v="341"/>
    <n v="9.98"/>
    <n v="36.39"/>
    <n v="1.0900000000000001"/>
    <n v="333.12"/>
  </r>
  <r>
    <x v="728"/>
    <n v="1325"/>
    <x v="2"/>
    <x v="0"/>
    <n v="38"/>
    <x v="16"/>
    <n v="10.63"/>
    <n v="34.299999999999997"/>
    <n v="1.03"/>
    <n v="358.44"/>
  </r>
  <r>
    <x v="729"/>
    <n v="1325"/>
    <x v="2"/>
    <x v="1"/>
    <n v="10"/>
    <x v="365"/>
    <n v="2.63"/>
    <n v="28.07"/>
    <n v="0.8"/>
    <n v="75.22"/>
  </r>
  <r>
    <x v="730"/>
    <n v="1325"/>
    <x v="2"/>
    <x v="0"/>
    <n v="15"/>
    <x v="447"/>
    <n v="10.77"/>
    <n v="32.6"/>
    <n v="1.02"/>
    <n v="331.46"/>
  </r>
  <r>
    <x v="731"/>
    <n v="1325"/>
    <x v="2"/>
    <x v="0"/>
    <n v="16"/>
    <x v="448"/>
    <n v="11.39"/>
    <n v="34.770000000000003"/>
    <n v="1.08"/>
    <n v="391.16"/>
  </r>
  <r>
    <x v="732"/>
    <n v="1325"/>
    <x v="2"/>
    <x v="1"/>
    <n v="61"/>
    <x v="101"/>
    <n v="3.04"/>
    <n v="34"/>
    <n v="0.8"/>
    <n v="94.63"/>
  </r>
  <r>
    <x v="733"/>
    <n v="1325"/>
    <x v="2"/>
    <x v="0"/>
    <n v="9"/>
    <x v="449"/>
    <n v="11.86"/>
    <n v="32.19"/>
    <n v="0.96"/>
    <n v="369.5"/>
  </r>
  <r>
    <x v="734"/>
    <n v="1325"/>
    <x v="2"/>
    <x v="0"/>
    <n v="5"/>
    <x v="370"/>
    <n v="11.58"/>
    <n v="29.96"/>
    <n v="0.93"/>
    <n v="378.69"/>
  </r>
  <r>
    <x v="735"/>
    <n v="1325"/>
    <x v="2"/>
    <x v="1"/>
    <n v="16"/>
    <x v="450"/>
    <n v="3.14"/>
    <n v="29.39"/>
    <n v="0.84"/>
    <n v="96.67"/>
  </r>
  <r>
    <x v="736"/>
    <n v="1325"/>
    <x v="2"/>
    <x v="1"/>
    <n v="20"/>
    <x v="25"/>
    <n v="2.98"/>
    <n v="32.21"/>
    <n v="0.79"/>
    <n v="86.34"/>
  </r>
  <r>
    <x v="737"/>
    <n v="1325"/>
    <x v="2"/>
    <x v="0"/>
    <n v="7"/>
    <x v="451"/>
    <n v="10.32"/>
    <n v="34.200000000000003"/>
    <n v="1.03"/>
    <n v="351.86"/>
  </r>
  <r>
    <x v="738"/>
    <n v="1325"/>
    <x v="2"/>
    <x v="1"/>
    <n v="46"/>
    <x v="303"/>
    <n v="2.66"/>
    <n v="27.17"/>
    <n v="0.79"/>
    <n v="74.12"/>
  </r>
  <r>
    <x v="739"/>
    <n v="1325"/>
    <x v="2"/>
    <x v="0"/>
    <n v="12"/>
    <x v="156"/>
    <n v="11.66"/>
    <n v="37.49"/>
    <n v="0.93"/>
    <n v="379.01"/>
  </r>
  <r>
    <x v="740"/>
    <n v="1326"/>
    <x v="1"/>
    <x v="1"/>
    <n v="15"/>
    <x v="452"/>
    <n v="2.69"/>
    <n v="29.35"/>
    <n v="0.8"/>
    <n v="80.72"/>
  </r>
  <r>
    <x v="741"/>
    <n v="1326"/>
    <x v="1"/>
    <x v="1"/>
    <n v="20"/>
    <x v="135"/>
    <n v="2.77"/>
    <n v="32.299999999999997"/>
    <n v="0.79"/>
    <n v="83.49"/>
  </r>
  <r>
    <x v="742"/>
    <n v="1326"/>
    <x v="1"/>
    <x v="0"/>
    <n v="15"/>
    <x v="453"/>
    <n v="10.56"/>
    <n v="31.22"/>
    <n v="1.01"/>
    <n v="316.81"/>
  </r>
  <r>
    <x v="743"/>
    <n v="1326"/>
    <x v="1"/>
    <x v="0"/>
    <n v="16"/>
    <x v="162"/>
    <n v="11.22"/>
    <n v="32.57"/>
    <n v="1.05"/>
    <n v="362.64"/>
  </r>
  <r>
    <x v="744"/>
    <n v="1326"/>
    <x v="1"/>
    <x v="0"/>
    <n v="23"/>
    <x v="17"/>
    <n v="11.68"/>
    <n v="30.8"/>
    <n v="1.04"/>
    <n v="400.37"/>
  </r>
  <r>
    <x v="745"/>
    <n v="1326"/>
    <x v="1"/>
    <x v="1"/>
    <n v="11"/>
    <x v="51"/>
    <n v="2.81"/>
    <n v="31.9"/>
    <n v="0.77"/>
    <n v="80.92"/>
  </r>
  <r>
    <x v="746"/>
    <n v="1326"/>
    <x v="1"/>
    <x v="0"/>
    <n v="12"/>
    <x v="202"/>
    <n v="11.23"/>
    <n v="29.66"/>
    <n v="0.98"/>
    <n v="374.86"/>
  </r>
  <r>
    <x v="747"/>
    <n v="1326"/>
    <x v="1"/>
    <x v="1"/>
    <n v="25"/>
    <x v="454"/>
    <n v="2.33"/>
    <n v="27.58"/>
    <n v="0.81"/>
    <n v="68.75"/>
  </r>
  <r>
    <x v="748"/>
    <n v="1326"/>
    <x v="1"/>
    <x v="0"/>
    <n v="14"/>
    <x v="132"/>
    <n v="11.27"/>
    <n v="33.630000000000003"/>
    <n v="1"/>
    <n v="359.71"/>
  </r>
  <r>
    <x v="749"/>
    <n v="1326"/>
    <x v="1"/>
    <x v="1"/>
    <n v="30"/>
    <x v="455"/>
    <n v="2.72"/>
    <n v="29.95"/>
    <n v="0.81"/>
    <n v="87.24"/>
  </r>
  <r>
    <x v="750"/>
    <n v="1327"/>
    <x v="0"/>
    <x v="1"/>
    <n v="15"/>
    <x v="54"/>
    <n v="3.01"/>
    <n v="31.83"/>
    <n v="0.79"/>
    <n v="88.5"/>
  </r>
  <r>
    <x v="751"/>
    <n v="1327"/>
    <x v="0"/>
    <x v="1"/>
    <n v="19"/>
    <x v="154"/>
    <n v="2.76"/>
    <n v="30.86"/>
    <n v="0.81"/>
    <n v="83.44"/>
  </r>
  <r>
    <x v="752"/>
    <n v="1327"/>
    <x v="0"/>
    <x v="0"/>
    <n v="71"/>
    <x v="444"/>
    <n v="12.1"/>
    <n v="34.729999999999997"/>
    <n v="1.03"/>
    <n v="415.86"/>
  </r>
  <r>
    <x v="753"/>
    <n v="1327"/>
    <x v="0"/>
    <x v="0"/>
    <n v="35"/>
    <x v="456"/>
    <n v="11.05"/>
    <n v="33.08"/>
    <n v="1.05"/>
    <n v="377.63"/>
  </r>
  <r>
    <x v="754"/>
    <n v="1327"/>
    <x v="0"/>
    <x v="1"/>
    <n v="9"/>
    <x v="154"/>
    <n v="2.99"/>
    <n v="29.56"/>
    <n v="0.84"/>
    <n v="87.91"/>
  </r>
  <r>
    <x v="755"/>
    <n v="1327"/>
    <x v="0"/>
    <x v="0"/>
    <n v="12"/>
    <x v="16"/>
    <n v="11.74"/>
    <n v="28.56"/>
    <n v="1.05"/>
    <n v="385.13"/>
  </r>
  <r>
    <x v="756"/>
    <n v="1327"/>
    <x v="0"/>
    <x v="0"/>
    <n v="13"/>
    <x v="152"/>
    <n v="11.3"/>
    <n v="34.200000000000003"/>
    <n v="0.95"/>
    <n v="375.17"/>
  </r>
  <r>
    <x v="757"/>
    <n v="1327"/>
    <x v="0"/>
    <x v="0"/>
    <n v="16"/>
    <x v="457"/>
    <n v="11.14"/>
    <n v="31.3"/>
    <n v="0.97"/>
    <n v="348.32"/>
  </r>
  <r>
    <x v="758"/>
    <n v="1327"/>
    <x v="0"/>
    <x v="1"/>
    <n v="25"/>
    <x v="458"/>
    <n v="3.09"/>
    <n v="31.62"/>
    <n v="0.77"/>
    <n v="97.61"/>
  </r>
  <r>
    <x v="759"/>
    <n v="1327"/>
    <x v="0"/>
    <x v="0"/>
    <n v="18"/>
    <x v="459"/>
    <n v="12.3"/>
    <n v="32.61"/>
    <n v="1.0900000000000001"/>
    <n v="387.73"/>
  </r>
  <r>
    <x v="760"/>
    <n v="1327"/>
    <x v="0"/>
    <x v="1"/>
    <n v="117"/>
    <x v="460"/>
    <n v="2.93"/>
    <n v="30.44"/>
    <n v="0.79"/>
    <n v="74.349999999999994"/>
  </r>
  <r>
    <x v="761"/>
    <n v="1327"/>
    <x v="0"/>
    <x v="0"/>
    <n v="34"/>
    <x v="106"/>
    <n v="11.24"/>
    <n v="32.130000000000003"/>
    <n v="1.04"/>
    <n v="358.44"/>
  </r>
  <r>
    <x v="762"/>
    <n v="1327"/>
    <x v="0"/>
    <x v="0"/>
    <n v="31"/>
    <x v="370"/>
    <n v="10.1"/>
    <n v="30.24"/>
    <n v="1.1200000000000001"/>
    <n v="341.68"/>
  </r>
  <r>
    <x v="763"/>
    <n v="1328"/>
    <x v="2"/>
    <x v="0"/>
    <n v="9"/>
    <x v="14"/>
    <n v="11.14"/>
    <n v="29.68"/>
    <n v="1.1100000000000001"/>
    <n v="361.5"/>
  </r>
  <r>
    <x v="764"/>
    <n v="1328"/>
    <x v="2"/>
    <x v="1"/>
    <n v="12"/>
    <x v="324"/>
    <n v="2.76"/>
    <n v="29.39"/>
    <n v="0.8"/>
    <n v="82.98"/>
  </r>
  <r>
    <x v="765"/>
    <n v="1328"/>
    <x v="2"/>
    <x v="1"/>
    <n v="15"/>
    <x v="324"/>
    <n v="2.84"/>
    <n v="28.47"/>
    <n v="0.81"/>
    <n v="84.14"/>
  </r>
  <r>
    <x v="766"/>
    <n v="1328"/>
    <x v="2"/>
    <x v="1"/>
    <n v="7"/>
    <x v="210"/>
    <n v="3"/>
    <n v="27.89"/>
    <n v="0.8"/>
    <n v="84.27"/>
  </r>
  <r>
    <x v="767"/>
    <n v="1328"/>
    <x v="2"/>
    <x v="0"/>
    <n v="18"/>
    <x v="461"/>
    <n v="10.67"/>
    <n v="38.74"/>
    <n v="0.98"/>
    <n v="356.58"/>
  </r>
  <r>
    <x v="768"/>
    <n v="1328"/>
    <x v="2"/>
    <x v="0"/>
    <n v="14"/>
    <x v="128"/>
    <n v="12.06"/>
    <n v="32.18"/>
    <n v="1.04"/>
    <n v="384.98"/>
  </r>
  <r>
    <x v="769"/>
    <n v="1328"/>
    <x v="2"/>
    <x v="1"/>
    <n v="21"/>
    <x v="462"/>
    <n v="3"/>
    <n v="30.63"/>
    <n v="0.8"/>
    <n v="98.19"/>
  </r>
  <r>
    <x v="770"/>
    <n v="1328"/>
    <x v="2"/>
    <x v="0"/>
    <n v="13"/>
    <x v="144"/>
    <n v="11.54"/>
    <n v="31.25"/>
    <n v="1.08"/>
    <n v="367.17"/>
  </r>
  <r>
    <x v="771"/>
    <n v="1328"/>
    <x v="2"/>
    <x v="0"/>
    <n v="37"/>
    <x v="176"/>
    <n v="10.09"/>
    <n v="31.11"/>
    <n v="1.1100000000000001"/>
    <n v="334.82"/>
  </r>
  <r>
    <x v="772"/>
    <n v="1328"/>
    <x v="2"/>
    <x v="0"/>
    <n v="21"/>
    <x v="318"/>
    <n v="11.34"/>
    <n v="32.93"/>
    <n v="1.02"/>
    <n v="374.47"/>
  </r>
  <r>
    <x v="773"/>
    <n v="1328"/>
    <x v="2"/>
    <x v="0"/>
    <n v="31"/>
    <x v="256"/>
    <n v="11.8"/>
    <n v="32.22"/>
    <n v="0.93"/>
    <n v="396.54"/>
  </r>
  <r>
    <x v="774"/>
    <n v="1329"/>
    <x v="0"/>
    <x v="0"/>
    <n v="13"/>
    <x v="463"/>
    <n v="10.98"/>
    <n v="33.409999999999997"/>
    <n v="1.05"/>
    <n v="387.35"/>
  </r>
  <r>
    <x v="775"/>
    <n v="1329"/>
    <x v="0"/>
    <x v="0"/>
    <n v="14"/>
    <x v="126"/>
    <n v="11.51"/>
    <n v="30.38"/>
    <n v="0.99"/>
    <n v="370"/>
  </r>
  <r>
    <x v="776"/>
    <n v="1329"/>
    <x v="0"/>
    <x v="1"/>
    <n v="31"/>
    <x v="464"/>
    <n v="2.69"/>
    <n v="25.18"/>
    <n v="0.8"/>
    <n v="78.3"/>
  </r>
  <r>
    <x v="777"/>
    <n v="1329"/>
    <x v="0"/>
    <x v="0"/>
    <n v="83"/>
    <x v="457"/>
    <n v="10.49"/>
    <n v="26.32"/>
    <n v="0.91"/>
    <n v="322.48"/>
  </r>
  <r>
    <x v="778"/>
    <n v="1329"/>
    <x v="0"/>
    <x v="0"/>
    <n v="16"/>
    <x v="284"/>
    <n v="10.26"/>
    <n v="30.74"/>
    <n v="0.99"/>
    <n v="325.88"/>
  </r>
  <r>
    <x v="779"/>
    <n v="1329"/>
    <x v="0"/>
    <x v="1"/>
    <n v="22"/>
    <x v="426"/>
    <n v="3.15"/>
    <n v="30.16"/>
    <n v="0.83"/>
    <n v="95.67"/>
  </r>
  <r>
    <x v="780"/>
    <n v="1329"/>
    <x v="0"/>
    <x v="0"/>
    <n v="16"/>
    <x v="312"/>
    <n v="10.89"/>
    <n v="35.049999999999997"/>
    <n v="1"/>
    <n v="380.1"/>
  </r>
  <r>
    <x v="781"/>
    <n v="1329"/>
    <x v="0"/>
    <x v="1"/>
    <n v="12"/>
    <x v="79"/>
    <n v="2.9"/>
    <n v="33.01"/>
    <n v="0.78"/>
    <n v="85.82"/>
  </r>
  <r>
    <x v="782"/>
    <n v="1330"/>
    <x v="2"/>
    <x v="0"/>
    <n v="33"/>
    <x v="168"/>
    <n v="11.25"/>
    <n v="35.229999999999997"/>
    <n v="1.06"/>
    <n v="352.35"/>
  </r>
  <r>
    <x v="783"/>
    <n v="1330"/>
    <x v="2"/>
    <x v="1"/>
    <n v="9"/>
    <x v="89"/>
    <n v="2.37"/>
    <n v="28.66"/>
    <n v="0.79"/>
    <n v="71.44"/>
  </r>
  <r>
    <x v="784"/>
    <n v="1330"/>
    <x v="2"/>
    <x v="1"/>
    <n v="12"/>
    <x v="465"/>
    <n v="2.83"/>
    <n v="29.64"/>
    <n v="0.8"/>
    <n v="77.88"/>
  </r>
  <r>
    <x v="785"/>
    <n v="1330"/>
    <x v="2"/>
    <x v="0"/>
    <n v="28"/>
    <x v="138"/>
    <n v="12.19"/>
    <n v="28.8"/>
    <n v="0.91"/>
    <n v="341.69"/>
  </r>
  <r>
    <x v="786"/>
    <n v="1330"/>
    <x v="2"/>
    <x v="0"/>
    <n v="19"/>
    <x v="403"/>
    <n v="9.7200000000000006"/>
    <n v="31.77"/>
    <n v="1.08"/>
    <n v="312.07"/>
  </r>
  <r>
    <x v="787"/>
    <n v="1330"/>
    <x v="2"/>
    <x v="1"/>
    <n v="12"/>
    <x v="466"/>
    <n v="2.8"/>
    <n v="31.33"/>
    <n v="0.82"/>
    <n v="78.16"/>
  </r>
  <r>
    <x v="788"/>
    <n v="1330"/>
    <x v="2"/>
    <x v="1"/>
    <n v="7"/>
    <x v="405"/>
    <n v="3.09"/>
    <n v="25.49"/>
    <n v="0.83"/>
    <n v="93.29"/>
  </r>
  <r>
    <x v="789"/>
    <n v="1330"/>
    <x v="2"/>
    <x v="1"/>
    <n v="13"/>
    <x v="467"/>
    <n v="2.91"/>
    <n v="31.41"/>
    <n v="0.83"/>
    <n v="86.16"/>
  </r>
  <r>
    <x v="790"/>
    <n v="1331"/>
    <x v="2"/>
    <x v="0"/>
    <n v="20"/>
    <x v="12"/>
    <n v="11.01"/>
    <n v="32.42"/>
    <n v="1.03"/>
    <n v="348.45"/>
  </r>
  <r>
    <x v="791"/>
    <n v="1331"/>
    <x v="2"/>
    <x v="0"/>
    <n v="13"/>
    <x v="235"/>
    <n v="12.12"/>
    <n v="30.24"/>
    <n v="0.96"/>
    <n v="393.31"/>
  </r>
  <r>
    <x v="792"/>
    <n v="1331"/>
    <x v="2"/>
    <x v="1"/>
    <n v="10"/>
    <x v="348"/>
    <n v="2.64"/>
    <n v="30.6"/>
    <n v="0.82"/>
    <n v="77.48"/>
  </r>
  <r>
    <x v="793"/>
    <n v="1331"/>
    <x v="2"/>
    <x v="1"/>
    <n v="6"/>
    <x v="249"/>
    <n v="2.54"/>
    <n v="32.26"/>
    <n v="0.82"/>
    <n v="82.29"/>
  </r>
  <r>
    <x v="794"/>
    <n v="1331"/>
    <x v="2"/>
    <x v="1"/>
    <n v="70"/>
    <x v="468"/>
    <n v="3.04"/>
    <n v="33.94"/>
    <n v="0.83"/>
    <n v="95.32"/>
  </r>
  <r>
    <x v="795"/>
    <n v="1331"/>
    <x v="2"/>
    <x v="0"/>
    <n v="8"/>
    <x v="98"/>
    <n v="11.34"/>
    <n v="34.15"/>
    <n v="1.04"/>
    <n v="370.69"/>
  </r>
  <r>
    <x v="796"/>
    <n v="1331"/>
    <x v="2"/>
    <x v="1"/>
    <n v="8"/>
    <x v="469"/>
    <n v="3.01"/>
    <n v="31.23"/>
    <n v="0.76"/>
    <n v="84.3"/>
  </r>
  <r>
    <x v="797"/>
    <n v="1331"/>
    <x v="2"/>
    <x v="1"/>
    <n v="12"/>
    <x v="262"/>
    <n v="2.78"/>
    <n v="33.729999999999997"/>
    <n v="0.82"/>
    <n v="88.03"/>
  </r>
  <r>
    <x v="798"/>
    <n v="1332"/>
    <x v="2"/>
    <x v="1"/>
    <n v="13"/>
    <x v="229"/>
    <n v="3.21"/>
    <n v="27.63"/>
    <n v="0.8"/>
    <n v="85.62"/>
  </r>
  <r>
    <x v="799"/>
    <n v="1332"/>
    <x v="2"/>
    <x v="0"/>
    <n v="20"/>
    <x v="275"/>
    <n v="10.87"/>
    <n v="30.92"/>
    <n v="0.87"/>
    <n v="349.9"/>
  </r>
  <r>
    <x v="800"/>
    <n v="1332"/>
    <x v="2"/>
    <x v="0"/>
    <n v="15"/>
    <x v="470"/>
    <n v="11.33"/>
    <n v="26.24"/>
    <n v="0.93"/>
    <n v="370.15"/>
  </r>
  <r>
    <x v="801"/>
    <n v="1332"/>
    <x v="2"/>
    <x v="1"/>
    <n v="17"/>
    <x v="351"/>
    <n v="2.68"/>
    <n v="31.56"/>
    <n v="0.81"/>
    <n v="83.91"/>
  </r>
  <r>
    <x v="802"/>
    <n v="1332"/>
    <x v="2"/>
    <x v="0"/>
    <n v="7"/>
    <x v="162"/>
    <n v="11.2"/>
    <n v="33.28"/>
    <n v="1.02"/>
    <n v="361.77"/>
  </r>
  <r>
    <x v="803"/>
    <n v="1332"/>
    <x v="2"/>
    <x v="1"/>
    <n v="21"/>
    <x v="471"/>
    <n v="2.89"/>
    <n v="29.26"/>
    <n v="0.78"/>
    <n v="87.21"/>
  </r>
  <r>
    <x v="804"/>
    <n v="1332"/>
    <x v="2"/>
    <x v="1"/>
    <n v="15"/>
    <x v="472"/>
    <n v="2.97"/>
    <n v="29.91"/>
    <n v="0.79"/>
    <n v="91.45"/>
  </r>
  <r>
    <x v="805"/>
    <n v="1332"/>
    <x v="2"/>
    <x v="0"/>
    <n v="9"/>
    <x v="473"/>
    <n v="11.89"/>
    <n v="25.56"/>
    <n v="1.01"/>
    <n v="358.8"/>
  </r>
  <r>
    <x v="806"/>
    <n v="1332"/>
    <x v="2"/>
    <x v="1"/>
    <n v="15"/>
    <x v="474"/>
    <n v="2.79"/>
    <n v="32.729999999999997"/>
    <n v="0.8"/>
    <n v="87.57"/>
  </r>
  <r>
    <x v="807"/>
    <n v="1332"/>
    <x v="2"/>
    <x v="1"/>
    <n v="12"/>
    <x v="72"/>
    <n v="2.84"/>
    <n v="32.520000000000003"/>
    <n v="0.78"/>
    <n v="83.55"/>
  </r>
  <r>
    <x v="808"/>
    <n v="1332"/>
    <x v="2"/>
    <x v="1"/>
    <n v="10"/>
    <x v="475"/>
    <n v="2.97"/>
    <n v="33.619999999999997"/>
    <n v="0.78"/>
    <n v="82.87"/>
  </r>
  <r>
    <x v="809"/>
    <n v="1333"/>
    <x v="3"/>
    <x v="1"/>
    <n v="18"/>
    <x v="386"/>
    <n v="3.03"/>
    <n v="26.74"/>
    <n v="0.76"/>
    <n v="84.56"/>
  </r>
  <r>
    <x v="810"/>
    <n v="1333"/>
    <x v="3"/>
    <x v="1"/>
    <n v="6"/>
    <x v="409"/>
    <n v="2.85"/>
    <n v="28.05"/>
    <n v="0.85"/>
    <n v="74.72"/>
  </r>
  <r>
    <x v="811"/>
    <n v="1333"/>
    <x v="3"/>
    <x v="1"/>
    <n v="31"/>
    <x v="34"/>
    <n v="2.71"/>
    <n v="34.79"/>
    <n v="0.75"/>
    <n v="81.650000000000006"/>
  </r>
  <r>
    <x v="812"/>
    <n v="1333"/>
    <x v="3"/>
    <x v="0"/>
    <n v="16"/>
    <x v="476"/>
    <n v="10.63"/>
    <n v="31.88"/>
    <n v="1.04"/>
    <n v="314.43"/>
  </r>
  <r>
    <x v="813"/>
    <n v="1333"/>
    <x v="3"/>
    <x v="1"/>
    <n v="13"/>
    <x v="477"/>
    <n v="2.73"/>
    <n v="27.52"/>
    <n v="0.81"/>
    <n v="75.459999999999994"/>
  </r>
  <r>
    <x v="814"/>
    <n v="1333"/>
    <x v="3"/>
    <x v="1"/>
    <n v="25"/>
    <x v="432"/>
    <n v="3.19"/>
    <n v="31.76"/>
    <n v="0.82"/>
    <n v="85.08"/>
  </r>
  <r>
    <x v="815"/>
    <n v="1333"/>
    <x v="3"/>
    <x v="0"/>
    <n v="22"/>
    <x v="190"/>
    <n v="12.42"/>
    <n v="32.049999999999997"/>
    <n v="1.01"/>
    <n v="395.08"/>
  </r>
  <r>
    <x v="816"/>
    <n v="1333"/>
    <x v="3"/>
    <x v="1"/>
    <n v="40"/>
    <x v="99"/>
    <n v="2.83"/>
    <n v="33.5"/>
    <n v="0.79"/>
    <n v="82.73"/>
  </r>
  <r>
    <x v="817"/>
    <n v="1333"/>
    <x v="3"/>
    <x v="1"/>
    <n v="13"/>
    <x v="478"/>
    <n v="2.95"/>
    <n v="34.78"/>
    <n v="0.78"/>
    <n v="74.36"/>
  </r>
  <r>
    <x v="818"/>
    <n v="1333"/>
    <x v="3"/>
    <x v="0"/>
    <n v="25"/>
    <x v="275"/>
    <n v="11.76"/>
    <n v="29.56"/>
    <n v="0.9"/>
    <n v="375.57"/>
  </r>
  <r>
    <x v="819"/>
    <n v="1334"/>
    <x v="2"/>
    <x v="0"/>
    <n v="34"/>
    <x v="479"/>
    <n v="11.14"/>
    <n v="30.98"/>
    <n v="1.02"/>
    <n v="335.38"/>
  </r>
  <r>
    <x v="820"/>
    <n v="1334"/>
    <x v="2"/>
    <x v="0"/>
    <n v="17"/>
    <x v="59"/>
    <n v="12.01"/>
    <n v="30.43"/>
    <n v="1.06"/>
    <n v="410.69"/>
  </r>
  <r>
    <x v="821"/>
    <n v="1334"/>
    <x v="2"/>
    <x v="0"/>
    <n v="13"/>
    <x v="480"/>
    <n v="11.59"/>
    <n v="31.48"/>
    <n v="1.01"/>
    <n v="393.67"/>
  </r>
  <r>
    <x v="822"/>
    <n v="1334"/>
    <x v="2"/>
    <x v="1"/>
    <n v="8"/>
    <x v="481"/>
    <n v="2.81"/>
    <n v="27.71"/>
    <n v="0.78"/>
    <n v="75.16"/>
  </r>
  <r>
    <x v="823"/>
    <n v="1334"/>
    <x v="2"/>
    <x v="0"/>
    <n v="16"/>
    <x v="171"/>
    <n v="10.1"/>
    <n v="31.66"/>
    <n v="1.0900000000000001"/>
    <n v="369.79"/>
  </r>
  <r>
    <x v="824"/>
    <n v="1334"/>
    <x v="2"/>
    <x v="0"/>
    <n v="16"/>
    <x v="482"/>
    <n v="11.24"/>
    <n v="30.49"/>
    <n v="0.98"/>
    <n v="400.88"/>
  </r>
  <r>
    <x v="825"/>
    <n v="1334"/>
    <x v="2"/>
    <x v="1"/>
    <n v="14"/>
    <x v="250"/>
    <n v="2.8"/>
    <n v="30.09"/>
    <n v="0.79"/>
    <n v="86.44"/>
  </r>
  <r>
    <x v="826"/>
    <n v="1334"/>
    <x v="2"/>
    <x v="0"/>
    <n v="10"/>
    <x v="448"/>
    <n v="11.51"/>
    <n v="33.17"/>
    <n v="0.91"/>
    <n v="386.05"/>
  </r>
  <r>
    <x v="827"/>
    <n v="1334"/>
    <x v="2"/>
    <x v="0"/>
    <n v="13"/>
    <x v="483"/>
    <n v="10.86"/>
    <n v="31.11"/>
    <n v="1.06"/>
    <n v="339.23"/>
  </r>
  <r>
    <x v="828"/>
    <n v="1334"/>
    <x v="2"/>
    <x v="1"/>
    <n v="15"/>
    <x v="18"/>
    <n v="3.01"/>
    <n v="29.27"/>
    <n v="0.79"/>
    <n v="87.14"/>
  </r>
  <r>
    <x v="829"/>
    <n v="1334"/>
    <x v="2"/>
    <x v="0"/>
    <n v="16"/>
    <x v="484"/>
    <n v="10.26"/>
    <n v="30.02"/>
    <n v="1.06"/>
    <n v="353.79"/>
  </r>
  <r>
    <x v="830"/>
    <n v="1334"/>
    <x v="2"/>
    <x v="0"/>
    <n v="58"/>
    <x v="395"/>
    <n v="11.68"/>
    <n v="38.4"/>
    <n v="0.99"/>
    <n v="394.8"/>
  </r>
  <r>
    <x v="831"/>
    <n v="1334"/>
    <x v="2"/>
    <x v="0"/>
    <n v="10"/>
    <x v="256"/>
    <n v="10.72"/>
    <n v="24.22"/>
    <n v="1.1000000000000001"/>
    <n v="359.55"/>
  </r>
  <r>
    <x v="832"/>
    <n v="1334"/>
    <x v="2"/>
    <x v="1"/>
    <n v="20"/>
    <x v="432"/>
    <n v="2.9"/>
    <n v="32.43"/>
    <n v="0.81"/>
    <n v="88.79"/>
  </r>
  <r>
    <x v="833"/>
    <n v="1334"/>
    <x v="2"/>
    <x v="1"/>
    <n v="33"/>
    <x v="150"/>
    <n v="2.66"/>
    <n v="33.1"/>
    <n v="0.79"/>
    <n v="86.74"/>
  </r>
  <r>
    <x v="834"/>
    <n v="1334"/>
    <x v="2"/>
    <x v="0"/>
    <n v="20"/>
    <x v="42"/>
    <n v="11.06"/>
    <n v="34.29"/>
    <n v="0.98"/>
    <n v="355.37"/>
  </r>
  <r>
    <x v="835"/>
    <n v="1334"/>
    <x v="2"/>
    <x v="1"/>
    <n v="23"/>
    <x v="485"/>
    <n v="3.1"/>
    <n v="34.03"/>
    <n v="0.78"/>
    <n v="82.98"/>
  </r>
  <r>
    <x v="836"/>
    <n v="1334"/>
    <x v="2"/>
    <x v="1"/>
    <n v="16"/>
    <x v="472"/>
    <n v="2.94"/>
    <n v="33.68"/>
    <n v="0.82"/>
    <n v="95.18"/>
  </r>
  <r>
    <x v="837"/>
    <n v="1334"/>
    <x v="2"/>
    <x v="1"/>
    <n v="10"/>
    <x v="486"/>
    <n v="3.16"/>
    <n v="29.64"/>
    <n v="0.78"/>
    <n v="97.08"/>
  </r>
  <r>
    <x v="838"/>
    <n v="1334"/>
    <x v="2"/>
    <x v="0"/>
    <n v="9"/>
    <x v="128"/>
    <n v="12.07"/>
    <n v="32.869999999999997"/>
    <n v="0.89"/>
    <n v="380.25"/>
  </r>
  <r>
    <x v="839"/>
    <n v="1334"/>
    <x v="2"/>
    <x v="1"/>
    <n v="24"/>
    <x v="47"/>
    <n v="2.77"/>
    <n v="31.38"/>
    <n v="0.77"/>
    <n v="72.42"/>
  </r>
  <r>
    <x v="840"/>
    <n v="1334"/>
    <x v="2"/>
    <x v="1"/>
    <n v="14"/>
    <x v="188"/>
    <n v="2.8"/>
    <n v="30.71"/>
    <n v="0.83"/>
    <n v="87.25"/>
  </r>
  <r>
    <x v="841"/>
    <n v="1334"/>
    <x v="2"/>
    <x v="0"/>
    <n v="78"/>
    <x v="435"/>
    <n v="11.36"/>
    <n v="29.69"/>
    <n v="1"/>
    <n v="351.66"/>
  </r>
  <r>
    <x v="842"/>
    <n v="1334"/>
    <x v="2"/>
    <x v="1"/>
    <n v="15"/>
    <x v="408"/>
    <n v="2.72"/>
    <n v="30.14"/>
    <n v="0.79"/>
    <n v="83.38"/>
  </r>
  <r>
    <x v="843"/>
    <n v="1334"/>
    <x v="2"/>
    <x v="0"/>
    <n v="15"/>
    <x v="487"/>
    <n v="11.09"/>
    <n v="29.74"/>
    <n v="1.01"/>
    <n v="378.54"/>
  </r>
  <r>
    <x v="844"/>
    <n v="1334"/>
    <x v="2"/>
    <x v="0"/>
    <n v="13"/>
    <x v="488"/>
    <n v="10.94"/>
    <n v="30.81"/>
    <n v="1.07"/>
    <n v="375.76"/>
  </r>
  <r>
    <x v="845"/>
    <n v="1334"/>
    <x v="2"/>
    <x v="0"/>
    <n v="18"/>
    <x v="83"/>
    <n v="11.48"/>
    <n v="27.67"/>
    <n v="1.05"/>
    <n v="312.45999999999998"/>
  </r>
  <r>
    <x v="846"/>
    <n v="1334"/>
    <x v="2"/>
    <x v="1"/>
    <n v="11"/>
    <x v="214"/>
    <n v="2.97"/>
    <n v="28.4"/>
    <n v="0.79"/>
    <n v="84.14"/>
  </r>
  <r>
    <x v="847"/>
    <n v="1335"/>
    <x v="1"/>
    <x v="0"/>
    <n v="13"/>
    <x v="384"/>
    <n v="10.52"/>
    <n v="33.04"/>
    <n v="0.96"/>
    <n v="349.31"/>
  </r>
  <r>
    <x v="848"/>
    <n v="1335"/>
    <x v="1"/>
    <x v="1"/>
    <n v="18"/>
    <x v="198"/>
    <n v="3.21"/>
    <n v="33.409999999999997"/>
    <n v="0.79"/>
    <n v="90.12"/>
  </r>
  <r>
    <x v="849"/>
    <n v="1335"/>
    <x v="1"/>
    <x v="0"/>
    <n v="20"/>
    <x v="489"/>
    <n v="11.24"/>
    <n v="35.36"/>
    <n v="1"/>
    <n v="385.16"/>
  </r>
  <r>
    <x v="850"/>
    <n v="1335"/>
    <x v="1"/>
    <x v="1"/>
    <n v="12"/>
    <x v="454"/>
    <n v="2.48"/>
    <n v="34.950000000000003"/>
    <n v="0.8"/>
    <n v="77.78"/>
  </r>
  <r>
    <x v="851"/>
    <n v="1335"/>
    <x v="1"/>
    <x v="0"/>
    <n v="7"/>
    <x v="293"/>
    <n v="10.46"/>
    <n v="29.52"/>
    <n v="1"/>
    <n v="359.07"/>
  </r>
  <r>
    <x v="852"/>
    <n v="1335"/>
    <x v="1"/>
    <x v="1"/>
    <n v="8"/>
    <x v="300"/>
    <n v="3.12"/>
    <n v="29.98"/>
    <n v="0.8"/>
    <n v="86.53"/>
  </r>
  <r>
    <x v="853"/>
    <n v="1335"/>
    <x v="1"/>
    <x v="1"/>
    <n v="17"/>
    <x v="245"/>
    <n v="2.79"/>
    <n v="30.92"/>
    <n v="0.81"/>
    <n v="84.94"/>
  </r>
  <r>
    <x v="854"/>
    <n v="1335"/>
    <x v="1"/>
    <x v="0"/>
    <n v="12"/>
    <x v="39"/>
    <n v="11.58"/>
    <n v="29.83"/>
    <n v="1"/>
    <n v="376.56"/>
  </r>
  <r>
    <x v="855"/>
    <n v="1335"/>
    <x v="1"/>
    <x v="1"/>
    <n v="10"/>
    <x v="201"/>
    <n v="2.78"/>
    <n v="31.65"/>
    <n v="0.8"/>
    <n v="79.3"/>
  </r>
  <r>
    <x v="856"/>
    <n v="1335"/>
    <x v="1"/>
    <x v="1"/>
    <n v="15"/>
    <x v="216"/>
    <n v="2.86"/>
    <n v="27.87"/>
    <n v="0.78"/>
    <n v="80.38"/>
  </r>
  <r>
    <x v="857"/>
    <n v="1335"/>
    <x v="1"/>
    <x v="0"/>
    <n v="10"/>
    <x v="33"/>
    <n v="10.85"/>
    <n v="24.8"/>
    <n v="0.98"/>
    <n v="353.32"/>
  </r>
  <r>
    <x v="858"/>
    <n v="1335"/>
    <x v="1"/>
    <x v="1"/>
    <n v="24"/>
    <x v="321"/>
    <n v="2.65"/>
    <n v="26.58"/>
    <n v="0.82"/>
    <n v="81.14"/>
  </r>
  <r>
    <x v="859"/>
    <n v="1335"/>
    <x v="1"/>
    <x v="1"/>
    <n v="19"/>
    <x v="75"/>
    <n v="2.9"/>
    <n v="27.84"/>
    <n v="0.81"/>
    <n v="83.1"/>
  </r>
  <r>
    <x v="860"/>
    <n v="1335"/>
    <x v="1"/>
    <x v="1"/>
    <n v="13"/>
    <x v="197"/>
    <n v="3.28"/>
    <n v="36.96"/>
    <n v="0.83"/>
    <n v="101.35"/>
  </r>
  <r>
    <x v="861"/>
    <n v="1335"/>
    <x v="1"/>
    <x v="0"/>
    <n v="15"/>
    <x v="211"/>
    <n v="11.95"/>
    <n v="29.64"/>
    <n v="0.91"/>
    <n v="385.65"/>
  </r>
  <r>
    <x v="862"/>
    <n v="1335"/>
    <x v="1"/>
    <x v="0"/>
    <n v="15"/>
    <x v="490"/>
    <n v="11.27"/>
    <n v="25.28"/>
    <n v="0.96"/>
    <n v="394"/>
  </r>
  <r>
    <x v="863"/>
    <n v="1335"/>
    <x v="1"/>
    <x v="1"/>
    <n v="15"/>
    <x v="297"/>
    <n v="2.85"/>
    <n v="31.27"/>
    <n v="0.8"/>
    <n v="86.42"/>
  </r>
  <r>
    <x v="864"/>
    <n v="1335"/>
    <x v="1"/>
    <x v="0"/>
    <n v="17"/>
    <x v="177"/>
    <n v="10.72"/>
    <n v="29.59"/>
    <n v="1.03"/>
    <n v="295.83"/>
  </r>
  <r>
    <x v="865"/>
    <n v="1335"/>
    <x v="1"/>
    <x v="1"/>
    <n v="11"/>
    <x v="130"/>
    <n v="2.82"/>
    <n v="29.38"/>
    <n v="0.81"/>
    <n v="81.239999999999995"/>
  </r>
  <r>
    <x v="866"/>
    <n v="1335"/>
    <x v="1"/>
    <x v="1"/>
    <n v="16"/>
    <x v="349"/>
    <n v="2.73"/>
    <n v="33.46"/>
    <n v="0.83"/>
    <n v="83.03"/>
  </r>
  <r>
    <x v="867"/>
    <n v="1335"/>
    <x v="1"/>
    <x v="1"/>
    <n v="17"/>
    <x v="146"/>
    <n v="2.84"/>
    <n v="31.33"/>
    <n v="0.78"/>
    <n v="84.68"/>
  </r>
  <r>
    <x v="868"/>
    <n v="1335"/>
    <x v="1"/>
    <x v="1"/>
    <n v="19"/>
    <x v="302"/>
    <n v="2.63"/>
    <n v="32.74"/>
    <n v="0.77"/>
    <n v="78.5"/>
  </r>
  <r>
    <x v="869"/>
    <n v="1335"/>
    <x v="1"/>
    <x v="1"/>
    <n v="20"/>
    <x v="491"/>
    <n v="3.29"/>
    <n v="32.54"/>
    <n v="0.82"/>
    <n v="105.35"/>
  </r>
  <r>
    <x v="870"/>
    <n v="1335"/>
    <x v="1"/>
    <x v="1"/>
    <n v="14"/>
    <x v="492"/>
    <n v="2.97"/>
    <n v="31.4"/>
    <n v="0.82"/>
    <n v="86.43"/>
  </r>
  <r>
    <x v="871"/>
    <n v="1335"/>
    <x v="1"/>
    <x v="0"/>
    <n v="15"/>
    <x v="147"/>
    <n v="10.46"/>
    <n v="29.35"/>
    <n v="0.98"/>
    <n v="355.68"/>
  </r>
  <r>
    <x v="872"/>
    <n v="1335"/>
    <x v="1"/>
    <x v="1"/>
    <n v="13"/>
    <x v="493"/>
    <n v="3.34"/>
    <n v="33.28"/>
    <n v="0.82"/>
    <n v="102.95"/>
  </r>
  <r>
    <x v="873"/>
    <n v="1335"/>
    <x v="1"/>
    <x v="1"/>
    <n v="16"/>
    <x v="351"/>
    <n v="2.8"/>
    <n v="28.66"/>
    <n v="0.81"/>
    <n v="83.82"/>
  </r>
  <r>
    <x v="874"/>
    <n v="1335"/>
    <x v="1"/>
    <x v="0"/>
    <n v="10"/>
    <x v="33"/>
    <n v="11.34"/>
    <n v="35"/>
    <n v="0.99"/>
    <n v="380.29"/>
  </r>
  <r>
    <x v="875"/>
    <n v="1335"/>
    <x v="1"/>
    <x v="1"/>
    <n v="11"/>
    <x v="197"/>
    <n v="2.61"/>
    <n v="30.54"/>
    <n v="0.8"/>
    <n v="71.87"/>
  </r>
  <r>
    <x v="876"/>
    <n v="1335"/>
    <x v="1"/>
    <x v="0"/>
    <n v="13"/>
    <x v="346"/>
    <n v="10.71"/>
    <n v="28.33"/>
    <n v="1.01"/>
    <n v="341.68"/>
  </r>
  <r>
    <x v="877"/>
    <n v="1335"/>
    <x v="1"/>
    <x v="0"/>
    <n v="12"/>
    <x v="42"/>
    <n v="10.95"/>
    <n v="31.76"/>
    <n v="1.03"/>
    <n v="351.17"/>
  </r>
  <r>
    <x v="878"/>
    <n v="1335"/>
    <x v="1"/>
    <x v="0"/>
    <n v="43"/>
    <x v="494"/>
    <n v="10.43"/>
    <n v="35.799999999999997"/>
    <n v="0.96"/>
    <n v="344.98"/>
  </r>
  <r>
    <x v="879"/>
    <n v="1335"/>
    <x v="1"/>
    <x v="1"/>
    <n v="14"/>
    <x v="495"/>
    <n v="2.91"/>
    <n v="28.18"/>
    <n v="0.81"/>
    <n v="88.37"/>
  </r>
  <r>
    <x v="880"/>
    <n v="1336"/>
    <x v="0"/>
    <x v="0"/>
    <n v="11"/>
    <x v="27"/>
    <n v="10.15"/>
    <n v="31.91"/>
    <n v="0.97"/>
    <n v="327.02"/>
  </r>
  <r>
    <x v="881"/>
    <n v="1336"/>
    <x v="0"/>
    <x v="1"/>
    <n v="12"/>
    <x v="496"/>
    <n v="2.98"/>
    <n v="33.82"/>
    <n v="0.78"/>
    <n v="97.24"/>
  </r>
  <r>
    <x v="882"/>
    <n v="1336"/>
    <x v="0"/>
    <x v="1"/>
    <n v="15"/>
    <x v="497"/>
    <n v="3.04"/>
    <n v="28.26"/>
    <n v="0.77"/>
    <n v="82.79"/>
  </r>
  <r>
    <x v="883"/>
    <n v="1336"/>
    <x v="0"/>
    <x v="1"/>
    <n v="12"/>
    <x v="498"/>
    <n v="2.88"/>
    <n v="32.69"/>
    <n v="0.81"/>
    <n v="88.53"/>
  </r>
  <r>
    <x v="884"/>
    <n v="1336"/>
    <x v="0"/>
    <x v="1"/>
    <n v="12"/>
    <x v="283"/>
    <n v="3.1"/>
    <n v="33.36"/>
    <n v="0.79"/>
    <n v="82.56"/>
  </r>
  <r>
    <x v="885"/>
    <n v="1336"/>
    <x v="0"/>
    <x v="1"/>
    <n v="26"/>
    <x v="208"/>
    <n v="2.93"/>
    <n v="24.68"/>
    <n v="0.81"/>
    <n v="83.03"/>
  </r>
  <r>
    <x v="886"/>
    <n v="1336"/>
    <x v="0"/>
    <x v="0"/>
    <n v="16"/>
    <x v="499"/>
    <n v="11.88"/>
    <n v="29.15"/>
    <n v="0.98"/>
    <n v="371.17"/>
  </r>
  <r>
    <x v="887"/>
    <n v="1336"/>
    <x v="0"/>
    <x v="0"/>
    <n v="13"/>
    <x v="129"/>
    <n v="10.39"/>
    <n v="30.54"/>
    <n v="1.1100000000000001"/>
    <n v="329.97"/>
  </r>
  <r>
    <x v="888"/>
    <n v="1337"/>
    <x v="0"/>
    <x v="1"/>
    <n v="10"/>
    <x v="500"/>
    <n v="2.79"/>
    <n v="30.43"/>
    <n v="0.78"/>
    <n v="87.95"/>
  </r>
  <r>
    <x v="889"/>
    <n v="1337"/>
    <x v="0"/>
    <x v="0"/>
    <n v="13"/>
    <x v="48"/>
    <n v="10.79"/>
    <n v="32.14"/>
    <n v="0.94"/>
    <n v="385.84"/>
  </r>
  <r>
    <x v="890"/>
    <n v="1337"/>
    <x v="0"/>
    <x v="0"/>
    <n v="69"/>
    <x v="98"/>
    <n v="10.68"/>
    <n v="31.13"/>
    <n v="1.01"/>
    <n v="346.73"/>
  </r>
  <r>
    <x v="891"/>
    <n v="1337"/>
    <x v="0"/>
    <x v="0"/>
    <n v="12"/>
    <x v="447"/>
    <n v="12.4"/>
    <n v="33.93"/>
    <n v="0.99"/>
    <n v="376.04"/>
  </r>
  <r>
    <x v="892"/>
    <n v="1337"/>
    <x v="0"/>
    <x v="0"/>
    <n v="14"/>
    <x v="501"/>
    <n v="11.05"/>
    <n v="27.41"/>
    <n v="1.01"/>
    <n v="342.12"/>
  </r>
  <r>
    <x v="893"/>
    <n v="1337"/>
    <x v="0"/>
    <x v="0"/>
    <n v="7"/>
    <x v="502"/>
    <n v="11.1"/>
    <n v="38.299999999999997"/>
    <n v="1.02"/>
    <n v="357.39"/>
  </r>
  <r>
    <x v="894"/>
    <n v="1337"/>
    <x v="0"/>
    <x v="0"/>
    <n v="14"/>
    <x v="82"/>
    <n v="10.3"/>
    <n v="29.77"/>
    <n v="0.99"/>
    <n v="346.4"/>
  </r>
  <r>
    <x v="895"/>
    <n v="1337"/>
    <x v="0"/>
    <x v="0"/>
    <n v="11"/>
    <x v="503"/>
    <n v="10.4"/>
    <n v="36.92"/>
    <n v="0.99"/>
    <n v="371"/>
  </r>
  <r>
    <x v="896"/>
    <n v="1337"/>
    <x v="0"/>
    <x v="0"/>
    <n v="17"/>
    <x v="504"/>
    <n v="10.7"/>
    <n v="30.5"/>
    <n v="1.02"/>
    <n v="299.10000000000002"/>
  </r>
  <r>
    <x v="897"/>
    <n v="1337"/>
    <x v="0"/>
    <x v="0"/>
    <n v="83"/>
    <x v="21"/>
    <n v="11.77"/>
    <n v="27.52"/>
    <n v="0.95"/>
    <n v="373.57"/>
  </r>
  <r>
    <x v="898"/>
    <n v="1337"/>
    <x v="0"/>
    <x v="1"/>
    <n v="38"/>
    <x v="401"/>
    <n v="2.64"/>
    <n v="32.69"/>
    <n v="0.76"/>
    <n v="78.33"/>
  </r>
  <r>
    <x v="899"/>
    <n v="1337"/>
    <x v="0"/>
    <x v="1"/>
    <n v="33"/>
    <x v="354"/>
    <n v="2.86"/>
    <n v="27.05"/>
    <n v="0.8"/>
    <n v="83.18"/>
  </r>
  <r>
    <x v="900"/>
    <n v="1337"/>
    <x v="0"/>
    <x v="0"/>
    <n v="12"/>
    <x v="505"/>
    <n v="12.03"/>
    <n v="29.79"/>
    <n v="0.95"/>
    <n v="328.94"/>
  </r>
  <r>
    <x v="901"/>
    <n v="1338"/>
    <x v="2"/>
    <x v="1"/>
    <n v="10"/>
    <x v="506"/>
    <n v="2.63"/>
    <n v="27.96"/>
    <n v="0.78"/>
    <n v="75.27"/>
  </r>
  <r>
    <x v="902"/>
    <n v="1338"/>
    <x v="2"/>
    <x v="1"/>
    <n v="17"/>
    <x v="140"/>
    <n v="2.94"/>
    <n v="35.79"/>
    <n v="0.81"/>
    <n v="91.8"/>
  </r>
  <r>
    <x v="903"/>
    <n v="1338"/>
    <x v="2"/>
    <x v="1"/>
    <n v="13"/>
    <x v="302"/>
    <n v="2.85"/>
    <n v="30.47"/>
    <n v="0.8"/>
    <n v="81.83"/>
  </r>
  <r>
    <x v="904"/>
    <n v="1338"/>
    <x v="2"/>
    <x v="1"/>
    <n v="7"/>
    <x v="408"/>
    <n v="3"/>
    <n v="31.61"/>
    <n v="0.81"/>
    <n v="91.24"/>
  </r>
  <r>
    <x v="905"/>
    <n v="1338"/>
    <x v="2"/>
    <x v="1"/>
    <n v="12"/>
    <x v="507"/>
    <n v="2.72"/>
    <n v="27.74"/>
    <n v="0.8"/>
    <n v="78.900000000000006"/>
  </r>
  <r>
    <x v="906"/>
    <n v="1338"/>
    <x v="2"/>
    <x v="0"/>
    <n v="17"/>
    <x v="508"/>
    <n v="10.24"/>
    <n v="33.72"/>
    <n v="0.92"/>
    <n v="360.29"/>
  </r>
  <r>
    <x v="907"/>
    <n v="1338"/>
    <x v="2"/>
    <x v="1"/>
    <n v="22"/>
    <x v="278"/>
    <n v="2.83"/>
    <n v="32.03"/>
    <n v="0.79"/>
    <n v="84.06"/>
  </r>
  <r>
    <x v="908"/>
    <n v="1339"/>
    <x v="0"/>
    <x v="1"/>
    <n v="12"/>
    <x v="386"/>
    <n v="3.2"/>
    <n v="34.799999999999997"/>
    <n v="0.79"/>
    <n v="95.93"/>
  </r>
  <r>
    <x v="909"/>
    <n v="1339"/>
    <x v="0"/>
    <x v="1"/>
    <n v="12"/>
    <x v="509"/>
    <n v="2.78"/>
    <n v="33.4"/>
    <n v="0.82"/>
    <n v="78.44"/>
  </r>
  <r>
    <x v="910"/>
    <n v="1339"/>
    <x v="0"/>
    <x v="1"/>
    <n v="17"/>
    <x v="34"/>
    <n v="2.95"/>
    <n v="29.77"/>
    <n v="0.81"/>
    <n v="84.16"/>
  </r>
  <r>
    <x v="911"/>
    <n v="1339"/>
    <x v="0"/>
    <x v="1"/>
    <n v="25"/>
    <x v="468"/>
    <n v="2.83"/>
    <n v="30.7"/>
    <n v="0.8"/>
    <n v="86.9"/>
  </r>
  <r>
    <x v="912"/>
    <n v="1339"/>
    <x v="0"/>
    <x v="1"/>
    <n v="14"/>
    <x v="165"/>
    <n v="3.03"/>
    <n v="30.66"/>
    <n v="0.78"/>
    <n v="86.8"/>
  </r>
  <r>
    <x v="913"/>
    <n v="1339"/>
    <x v="0"/>
    <x v="1"/>
    <n v="10"/>
    <x v="296"/>
    <n v="2.9"/>
    <n v="29.87"/>
    <n v="0.78"/>
    <n v="85.04"/>
  </r>
  <r>
    <x v="914"/>
    <n v="1339"/>
    <x v="0"/>
    <x v="0"/>
    <n v="21"/>
    <x v="367"/>
    <n v="11.74"/>
    <n v="32.31"/>
    <n v="1.04"/>
    <n v="308.07"/>
  </r>
  <r>
    <x v="915"/>
    <n v="1339"/>
    <x v="0"/>
    <x v="0"/>
    <n v="13"/>
    <x v="309"/>
    <n v="10.46"/>
    <n v="36.68"/>
    <n v="0.84"/>
    <n v="349.1"/>
  </r>
  <r>
    <x v="916"/>
    <n v="1339"/>
    <x v="0"/>
    <x v="1"/>
    <n v="14"/>
    <x v="510"/>
    <n v="3.06"/>
    <n v="31.82"/>
    <n v="0.8"/>
    <n v="94.94"/>
  </r>
  <r>
    <x v="917"/>
    <n v="1339"/>
    <x v="0"/>
    <x v="1"/>
    <n v="14"/>
    <x v="389"/>
    <n v="3.15"/>
    <n v="31.15"/>
    <n v="0.81"/>
    <n v="91.21"/>
  </r>
  <r>
    <x v="918"/>
    <n v="1339"/>
    <x v="0"/>
    <x v="1"/>
    <n v="6"/>
    <x v="115"/>
    <n v="3"/>
    <n v="28.22"/>
    <n v="0.78"/>
    <n v="86.62"/>
  </r>
  <r>
    <x v="919"/>
    <n v="1340"/>
    <x v="3"/>
    <x v="0"/>
    <n v="15"/>
    <x v="100"/>
    <n v="11.61"/>
    <n v="31.52"/>
    <n v="1.1200000000000001"/>
    <n v="385.34"/>
  </r>
  <r>
    <x v="920"/>
    <n v="1340"/>
    <x v="3"/>
    <x v="0"/>
    <n v="17"/>
    <x v="102"/>
    <n v="9.94"/>
    <n v="33.880000000000003"/>
    <n v="1.1399999999999999"/>
    <n v="323.93"/>
  </r>
  <r>
    <x v="921"/>
    <n v="1340"/>
    <x v="3"/>
    <x v="0"/>
    <n v="12"/>
    <x v="511"/>
    <n v="12.06"/>
    <n v="33.369999999999997"/>
    <n v="1"/>
    <n v="420.92"/>
  </r>
  <r>
    <x v="922"/>
    <n v="1340"/>
    <x v="3"/>
    <x v="1"/>
    <n v="20"/>
    <x v="321"/>
    <n v="2.94"/>
    <n v="27.14"/>
    <n v="0.8"/>
    <n v="87.31"/>
  </r>
  <r>
    <x v="923"/>
    <n v="1340"/>
    <x v="3"/>
    <x v="0"/>
    <n v="15"/>
    <x v="16"/>
    <n v="11.97"/>
    <n v="30.59"/>
    <n v="0.98"/>
    <n v="391.96"/>
  </r>
  <r>
    <x v="924"/>
    <n v="1340"/>
    <x v="3"/>
    <x v="1"/>
    <n v="21"/>
    <x v="512"/>
    <n v="2.82"/>
    <n v="30.6"/>
    <n v="0.78"/>
    <n v="77.94"/>
  </r>
  <r>
    <x v="925"/>
    <n v="1340"/>
    <x v="3"/>
    <x v="1"/>
    <n v="22"/>
    <x v="379"/>
    <n v="2.93"/>
    <n v="34.85"/>
    <n v="0.8"/>
    <n v="88.64"/>
  </r>
  <r>
    <x v="926"/>
    <n v="1340"/>
    <x v="3"/>
    <x v="1"/>
    <n v="9"/>
    <x v="174"/>
    <n v="2.91"/>
    <n v="32.83"/>
    <n v="0.8"/>
    <n v="77.78"/>
  </r>
  <r>
    <x v="927"/>
    <n v="1340"/>
    <x v="3"/>
    <x v="0"/>
    <n v="12"/>
    <x v="312"/>
    <n v="10.25"/>
    <n v="35"/>
    <n v="1"/>
    <n v="291.14999999999998"/>
  </r>
  <r>
    <x v="928"/>
    <n v="1340"/>
    <x v="3"/>
    <x v="1"/>
    <n v="12"/>
    <x v="50"/>
    <n v="2.89"/>
    <n v="30.69"/>
    <n v="0.79"/>
    <n v="81.900000000000006"/>
  </r>
  <r>
    <x v="929"/>
    <n v="1341"/>
    <x v="3"/>
    <x v="0"/>
    <n v="17"/>
    <x v="308"/>
    <n v="9.7899999999999991"/>
    <n v="34.869999999999997"/>
    <n v="1.08"/>
    <n v="324.85000000000002"/>
  </r>
  <r>
    <x v="930"/>
    <n v="1341"/>
    <x v="3"/>
    <x v="0"/>
    <n v="11"/>
    <x v="39"/>
    <n v="11.27"/>
    <n v="31.64"/>
    <n v="1.02"/>
    <n v="370.33"/>
  </r>
  <r>
    <x v="931"/>
    <n v="1341"/>
    <x v="3"/>
    <x v="0"/>
    <n v="18"/>
    <x v="513"/>
    <n v="9.77"/>
    <n v="28.53"/>
    <n v="0.89"/>
    <n v="352.12"/>
  </r>
  <r>
    <x v="932"/>
    <n v="1341"/>
    <x v="3"/>
    <x v="0"/>
    <n v="15"/>
    <x v="385"/>
    <n v="11.53"/>
    <n v="29.35"/>
    <n v="1.06"/>
    <n v="353.28"/>
  </r>
  <r>
    <x v="933"/>
    <n v="1341"/>
    <x v="3"/>
    <x v="1"/>
    <n v="14"/>
    <x v="327"/>
    <n v="3.12"/>
    <n v="33.39"/>
    <n v="0.79"/>
    <n v="97.18"/>
  </r>
  <r>
    <x v="934"/>
    <n v="1341"/>
    <x v="3"/>
    <x v="0"/>
    <n v="34"/>
    <x v="514"/>
    <n v="9.86"/>
    <n v="32.56"/>
    <n v="0.99"/>
    <n v="328.47"/>
  </r>
  <r>
    <x v="935"/>
    <n v="1341"/>
    <x v="3"/>
    <x v="1"/>
    <n v="7"/>
    <x v="515"/>
    <n v="2.68"/>
    <n v="29.13"/>
    <n v="0.8"/>
    <n v="86.88"/>
  </r>
  <r>
    <x v="936"/>
    <n v="1342"/>
    <x v="3"/>
    <x v="0"/>
    <n v="11"/>
    <x v="516"/>
    <n v="12.23"/>
    <n v="29.35"/>
    <n v="0.98"/>
    <n v="413.9"/>
  </r>
  <r>
    <x v="937"/>
    <n v="1342"/>
    <x v="3"/>
    <x v="0"/>
    <n v="12"/>
    <x v="370"/>
    <n v="12.22"/>
    <n v="25.15"/>
    <n v="0.98"/>
    <n v="393.96"/>
  </r>
  <r>
    <x v="938"/>
    <n v="1342"/>
    <x v="3"/>
    <x v="1"/>
    <n v="12"/>
    <x v="226"/>
    <n v="2.85"/>
    <n v="30.38"/>
    <n v="0.81"/>
    <n v="88"/>
  </r>
  <r>
    <x v="939"/>
    <n v="1342"/>
    <x v="3"/>
    <x v="1"/>
    <n v="14"/>
    <x v="517"/>
    <n v="2.88"/>
    <n v="31.18"/>
    <n v="0.79"/>
    <n v="86.97"/>
  </r>
  <r>
    <x v="940"/>
    <n v="1342"/>
    <x v="3"/>
    <x v="1"/>
    <n v="14"/>
    <x v="517"/>
    <n v="3.01"/>
    <n v="30.03"/>
    <n v="0.79"/>
    <n v="88.67"/>
  </r>
  <r>
    <x v="941"/>
    <n v="1342"/>
    <x v="3"/>
    <x v="1"/>
    <n v="15"/>
    <x v="77"/>
    <n v="2.5499999999999998"/>
    <n v="32.520000000000003"/>
    <n v="0.8"/>
    <n v="80.34"/>
  </r>
  <r>
    <x v="942"/>
    <n v="1342"/>
    <x v="3"/>
    <x v="0"/>
    <n v="15"/>
    <x v="235"/>
    <n v="10.18"/>
    <n v="32.229999999999997"/>
    <n v="1.03"/>
    <n v="340.84"/>
  </r>
  <r>
    <x v="943"/>
    <n v="1342"/>
    <x v="3"/>
    <x v="1"/>
    <n v="13"/>
    <x v="518"/>
    <n v="2.79"/>
    <n v="30.5"/>
    <n v="0.79"/>
    <n v="81.06"/>
  </r>
  <r>
    <x v="944"/>
    <n v="1343"/>
    <x v="0"/>
    <x v="0"/>
    <n v="12"/>
    <x v="254"/>
    <n v="9.9700000000000006"/>
    <n v="30.41"/>
    <n v="1.1200000000000001"/>
    <n v="330.17"/>
  </r>
  <r>
    <x v="945"/>
    <n v="1343"/>
    <x v="0"/>
    <x v="0"/>
    <n v="12"/>
    <x v="461"/>
    <n v="10.6"/>
    <n v="34.630000000000003"/>
    <n v="1.03"/>
    <n v="351.8"/>
  </r>
  <r>
    <x v="946"/>
    <n v="1343"/>
    <x v="0"/>
    <x v="1"/>
    <n v="16"/>
    <x v="365"/>
    <n v="3.2"/>
    <n v="29.47"/>
    <n v="0.79"/>
    <n v="87.08"/>
  </r>
  <r>
    <x v="947"/>
    <n v="1343"/>
    <x v="0"/>
    <x v="0"/>
    <n v="14"/>
    <x v="21"/>
    <n v="9.23"/>
    <n v="32.130000000000003"/>
    <n v="0.91"/>
    <n v="303.35000000000002"/>
  </r>
  <r>
    <x v="948"/>
    <n v="1343"/>
    <x v="0"/>
    <x v="0"/>
    <n v="10"/>
    <x v="215"/>
    <n v="11.37"/>
    <n v="27.81"/>
    <n v="1.01"/>
    <n v="372.53"/>
  </r>
  <r>
    <x v="949"/>
    <n v="1343"/>
    <x v="0"/>
    <x v="1"/>
    <n v="17"/>
    <x v="18"/>
    <n v="2.66"/>
    <n v="31.81"/>
    <n v="0.77"/>
    <n v="81.48"/>
  </r>
  <r>
    <x v="950"/>
    <n v="1343"/>
    <x v="0"/>
    <x v="1"/>
    <n v="13"/>
    <x v="345"/>
    <n v="3.01"/>
    <n v="30.07"/>
    <n v="0.79"/>
    <n v="91.11"/>
  </r>
  <r>
    <x v="951"/>
    <n v="1343"/>
    <x v="0"/>
    <x v="0"/>
    <n v="10"/>
    <x v="519"/>
    <n v="11.53"/>
    <n v="32.56"/>
    <n v="1.04"/>
    <n v="380.23"/>
  </r>
  <r>
    <x v="952"/>
    <n v="1343"/>
    <x v="0"/>
    <x v="0"/>
    <n v="12"/>
    <x v="269"/>
    <n v="10.97"/>
    <n v="28.83"/>
    <n v="1.01"/>
    <n v="358.4"/>
  </r>
  <r>
    <x v="953"/>
    <n v="1343"/>
    <x v="0"/>
    <x v="0"/>
    <n v="13"/>
    <x v="87"/>
    <n v="10.94"/>
    <n v="38.33"/>
    <n v="0.98"/>
    <n v="336.15"/>
  </r>
  <r>
    <x v="954"/>
    <n v="1343"/>
    <x v="0"/>
    <x v="0"/>
    <n v="34"/>
    <x v="392"/>
    <n v="10.79"/>
    <n v="28.42"/>
    <n v="0.98"/>
    <n v="342.43"/>
  </r>
  <r>
    <x v="955"/>
    <n v="1343"/>
    <x v="0"/>
    <x v="1"/>
    <n v="29"/>
    <x v="520"/>
    <n v="2.87"/>
    <n v="28.69"/>
    <n v="0.76"/>
    <n v="80.73"/>
  </r>
  <r>
    <x v="956"/>
    <n v="1343"/>
    <x v="0"/>
    <x v="1"/>
    <n v="6"/>
    <x v="452"/>
    <n v="3.03"/>
    <n v="32.69"/>
    <n v="0.78"/>
    <n v="80.89"/>
  </r>
  <r>
    <x v="957"/>
    <n v="1344"/>
    <x v="1"/>
    <x v="1"/>
    <n v="55"/>
    <x v="521"/>
    <n v="2.75"/>
    <n v="28.92"/>
    <n v="0.81"/>
    <n v="80.33"/>
  </r>
  <r>
    <x v="958"/>
    <n v="1344"/>
    <x v="1"/>
    <x v="0"/>
    <n v="19"/>
    <x v="370"/>
    <n v="9.9499999999999993"/>
    <n v="28.53"/>
    <n v="0.92"/>
    <n v="328.13"/>
  </r>
  <r>
    <x v="959"/>
    <n v="1344"/>
    <x v="1"/>
    <x v="0"/>
    <n v="45"/>
    <x v="31"/>
    <n v="11.5"/>
    <n v="30.79"/>
    <n v="0.95"/>
    <n v="369.06"/>
  </r>
  <r>
    <x v="960"/>
    <n v="1344"/>
    <x v="1"/>
    <x v="0"/>
    <n v="42"/>
    <x v="26"/>
    <n v="10.49"/>
    <n v="29.5"/>
    <n v="0.95"/>
    <n v="335.91"/>
  </r>
  <r>
    <x v="961"/>
    <n v="1344"/>
    <x v="1"/>
    <x v="0"/>
    <n v="21"/>
    <x v="522"/>
    <n v="11.15"/>
    <n v="30.95"/>
    <n v="1.0900000000000001"/>
    <n v="349.3"/>
  </r>
  <r>
    <x v="962"/>
    <n v="1344"/>
    <x v="1"/>
    <x v="0"/>
    <n v="23"/>
    <x v="523"/>
    <n v="10.15"/>
    <n v="36.39"/>
    <n v="1.03"/>
    <n v="347.62"/>
  </r>
  <r>
    <x v="963"/>
    <n v="1344"/>
    <x v="1"/>
    <x v="0"/>
    <n v="48"/>
    <x v="295"/>
    <n v="11.45"/>
    <n v="31.27"/>
    <n v="1.05"/>
    <n v="374.94"/>
  </r>
  <r>
    <x v="964"/>
    <n v="1344"/>
    <x v="1"/>
    <x v="1"/>
    <n v="13"/>
    <x v="380"/>
    <n v="3.01"/>
    <n v="32.96"/>
    <n v="0.81"/>
    <n v="86.11"/>
  </r>
  <r>
    <x v="965"/>
    <n v="1344"/>
    <x v="1"/>
    <x v="0"/>
    <n v="15"/>
    <x v="58"/>
    <n v="10.95"/>
    <n v="25.69"/>
    <n v="0.99"/>
    <n v="333.71"/>
  </r>
  <r>
    <x v="966"/>
    <n v="1344"/>
    <x v="1"/>
    <x v="0"/>
    <n v="13"/>
    <x v="423"/>
    <n v="10.17"/>
    <n v="28.93"/>
    <n v="1.01"/>
    <n v="333.85"/>
  </r>
  <r>
    <x v="967"/>
    <n v="1344"/>
    <x v="1"/>
    <x v="1"/>
    <n v="10"/>
    <x v="497"/>
    <n v="2.7"/>
    <n v="30.81"/>
    <n v="0.79"/>
    <n v="79.05"/>
  </r>
  <r>
    <x v="968"/>
    <n v="1344"/>
    <x v="1"/>
    <x v="0"/>
    <n v="23"/>
    <x v="332"/>
    <n v="11.57"/>
    <n v="28.35"/>
    <n v="1.01"/>
    <n v="372.26"/>
  </r>
  <r>
    <x v="969"/>
    <n v="1344"/>
    <x v="1"/>
    <x v="0"/>
    <n v="11"/>
    <x v="489"/>
    <n v="10.47"/>
    <n v="33.61"/>
    <n v="0.98"/>
    <n v="358.78"/>
  </r>
  <r>
    <x v="970"/>
    <n v="1344"/>
    <x v="1"/>
    <x v="1"/>
    <n v="9"/>
    <x v="4"/>
    <n v="2.87"/>
    <n v="31.26"/>
    <n v="0.85"/>
    <n v="91.85"/>
  </r>
  <r>
    <x v="971"/>
    <n v="1344"/>
    <x v="1"/>
    <x v="0"/>
    <n v="15"/>
    <x v="415"/>
    <n v="10.92"/>
    <n v="31.06"/>
    <n v="1.01"/>
    <n v="277.83"/>
  </r>
  <r>
    <x v="972"/>
    <n v="1344"/>
    <x v="1"/>
    <x v="1"/>
    <n v="21"/>
    <x v="524"/>
    <n v="2.83"/>
    <n v="29.71"/>
    <n v="0.79"/>
    <n v="84.54"/>
  </r>
  <r>
    <x v="973"/>
    <n v="1344"/>
    <x v="1"/>
    <x v="0"/>
    <n v="23"/>
    <x v="21"/>
    <n v="12.19"/>
    <n v="29.49"/>
    <n v="1.03"/>
    <n v="390.82"/>
  </r>
  <r>
    <x v="974"/>
    <n v="1344"/>
    <x v="1"/>
    <x v="0"/>
    <n v="11"/>
    <x v="525"/>
    <n v="12.49"/>
    <n v="34.880000000000003"/>
    <n v="1.04"/>
    <n v="424.03"/>
  </r>
  <r>
    <x v="975"/>
    <n v="1344"/>
    <x v="1"/>
    <x v="0"/>
    <n v="18"/>
    <x v="159"/>
    <n v="11.43"/>
    <n v="36.270000000000003"/>
    <n v="1.07"/>
    <n v="362.08"/>
  </r>
  <r>
    <x v="976"/>
    <n v="1344"/>
    <x v="1"/>
    <x v="0"/>
    <n v="9"/>
    <x v="526"/>
    <n v="10.59"/>
    <n v="29.26"/>
    <n v="1.06"/>
    <n v="321.08999999999997"/>
  </r>
  <r>
    <x v="977"/>
    <n v="1344"/>
    <x v="1"/>
    <x v="0"/>
    <n v="227"/>
    <x v="102"/>
    <n v="11.66"/>
    <n v="35.380000000000003"/>
    <n v="1.06"/>
    <n v="370.7"/>
  </r>
  <r>
    <x v="978"/>
    <n v="1344"/>
    <x v="1"/>
    <x v="1"/>
    <n v="24"/>
    <x v="441"/>
    <n v="2.72"/>
    <n v="29.24"/>
    <n v="0.81"/>
    <n v="84.7"/>
  </r>
  <r>
    <x v="979"/>
    <n v="1344"/>
    <x v="1"/>
    <x v="1"/>
    <n v="20"/>
    <x v="72"/>
    <n v="2.97"/>
    <n v="25.47"/>
    <n v="0.8"/>
    <n v="80.61"/>
  </r>
  <r>
    <x v="980"/>
    <n v="1344"/>
    <x v="1"/>
    <x v="0"/>
    <n v="15"/>
    <x v="8"/>
    <n v="10.4"/>
    <n v="26.25"/>
    <n v="1.04"/>
    <n v="281.83999999999997"/>
  </r>
  <r>
    <x v="981"/>
    <n v="1344"/>
    <x v="1"/>
    <x v="0"/>
    <n v="21"/>
    <x v="527"/>
    <n v="10.83"/>
    <n v="30.72"/>
    <n v="1"/>
    <n v="370.19"/>
  </r>
  <r>
    <x v="982"/>
    <n v="1344"/>
    <x v="1"/>
    <x v="1"/>
    <n v="3"/>
    <x v="528"/>
    <n v="3.09"/>
    <n v="31.34"/>
    <n v="0.82"/>
    <n v="100.12"/>
  </r>
  <r>
    <x v="983"/>
    <n v="1344"/>
    <x v="1"/>
    <x v="1"/>
    <n v="20"/>
    <x v="529"/>
    <n v="2.7"/>
    <n v="31.92"/>
    <n v="0.83"/>
    <n v="88.28"/>
  </r>
  <r>
    <x v="984"/>
    <n v="1344"/>
    <x v="1"/>
    <x v="0"/>
    <n v="12"/>
    <x v="530"/>
    <n v="12.37"/>
    <n v="28.25"/>
    <n v="0.95"/>
    <n v="442.08"/>
  </r>
  <r>
    <x v="985"/>
    <n v="1344"/>
    <x v="1"/>
    <x v="1"/>
    <n v="48"/>
    <x v="393"/>
    <n v="3.03"/>
    <n v="33.22"/>
    <n v="0.82"/>
    <n v="88.83"/>
  </r>
  <r>
    <x v="986"/>
    <n v="1344"/>
    <x v="1"/>
    <x v="0"/>
    <n v="34"/>
    <x v="309"/>
    <n v="10.97"/>
    <n v="26.66"/>
    <n v="1.04"/>
    <n v="360.66"/>
  </r>
  <r>
    <x v="987"/>
    <n v="1345"/>
    <x v="0"/>
    <x v="0"/>
    <n v="14"/>
    <x v="288"/>
    <n v="10.66"/>
    <n v="30.2"/>
    <n v="1.06"/>
    <n v="356.66"/>
  </r>
  <r>
    <x v="988"/>
    <n v="1345"/>
    <x v="0"/>
    <x v="0"/>
    <n v="10"/>
    <x v="390"/>
    <n v="10.14"/>
    <n v="38.119999999999997"/>
    <n v="1.01"/>
    <n v="367.24"/>
  </r>
  <r>
    <x v="989"/>
    <n v="1345"/>
    <x v="0"/>
    <x v="1"/>
    <n v="19"/>
    <x v="351"/>
    <n v="3.17"/>
    <n v="34.21"/>
    <n v="0.79"/>
    <n v="95.72"/>
  </r>
  <r>
    <x v="990"/>
    <n v="1345"/>
    <x v="0"/>
    <x v="1"/>
    <n v="8"/>
    <x v="432"/>
    <n v="3.02"/>
    <n v="32.58"/>
    <n v="0.8"/>
    <n v="91.04"/>
  </r>
  <r>
    <x v="991"/>
    <n v="1345"/>
    <x v="0"/>
    <x v="0"/>
    <n v="23"/>
    <x v="163"/>
    <n v="11.59"/>
    <n v="33.35"/>
    <n v="0.9"/>
    <n v="373.8"/>
  </r>
  <r>
    <x v="992"/>
    <n v="1345"/>
    <x v="0"/>
    <x v="0"/>
    <n v="11"/>
    <x v="525"/>
    <n v="11.91"/>
    <n v="30.78"/>
    <n v="0.84"/>
    <n v="393.95"/>
  </r>
  <r>
    <x v="993"/>
    <n v="1345"/>
    <x v="0"/>
    <x v="0"/>
    <n v="21"/>
    <x v="400"/>
    <n v="10.43"/>
    <n v="31.8"/>
    <n v="0.94"/>
    <n v="292.67"/>
  </r>
  <r>
    <x v="994"/>
    <n v="1346"/>
    <x v="2"/>
    <x v="0"/>
    <n v="37"/>
    <x v="190"/>
    <n v="10.89"/>
    <n v="32.75"/>
    <n v="1.06"/>
    <n v="353.95"/>
  </r>
  <r>
    <x v="995"/>
    <n v="1346"/>
    <x v="2"/>
    <x v="0"/>
    <n v="10"/>
    <x v="531"/>
    <n v="11.55"/>
    <n v="29.1"/>
    <n v="1.01"/>
    <n v="345.94"/>
  </r>
  <r>
    <x v="996"/>
    <n v="1346"/>
    <x v="2"/>
    <x v="1"/>
    <n v="20"/>
    <x v="380"/>
    <n v="2.86"/>
    <n v="32.94"/>
    <n v="0.79"/>
    <n v="82.54"/>
  </r>
  <r>
    <x v="997"/>
    <n v="1346"/>
    <x v="2"/>
    <x v="0"/>
    <n v="13"/>
    <x v="361"/>
    <n v="11.99"/>
    <n v="32.64"/>
    <n v="1.01"/>
    <n v="390.05"/>
  </r>
  <r>
    <x v="998"/>
    <n v="1346"/>
    <x v="2"/>
    <x v="0"/>
    <n v="12"/>
    <x v="156"/>
    <n v="10.86"/>
    <n v="27.95"/>
    <n v="1.1000000000000001"/>
    <n v="350.95"/>
  </r>
  <r>
    <x v="999"/>
    <n v="1346"/>
    <x v="2"/>
    <x v="1"/>
    <n v="13"/>
    <x v="532"/>
    <n v="2.68"/>
    <n v="25.34"/>
    <n v="0.81"/>
    <n v="66.62"/>
  </r>
  <r>
    <x v="1000"/>
    <n v="1346"/>
    <x v="2"/>
    <x v="0"/>
    <n v="14"/>
    <x v="533"/>
    <n v="11.58"/>
    <n v="31.18"/>
    <n v="0.97"/>
    <n v="339.16"/>
  </r>
  <r>
    <x v="1001"/>
    <n v="1347"/>
    <x v="1"/>
    <x v="1"/>
    <n v="19"/>
    <x v="198"/>
    <n v="2.84"/>
    <n v="28.92"/>
    <n v="0.79"/>
    <n v="79.180000000000007"/>
  </r>
  <r>
    <x v="1002"/>
    <n v="1347"/>
    <x v="1"/>
    <x v="1"/>
    <n v="24"/>
    <x v="149"/>
    <n v="2.74"/>
    <n v="30.13"/>
    <n v="0.77"/>
    <n v="79.66"/>
  </r>
  <r>
    <x v="1003"/>
    <n v="1347"/>
    <x v="1"/>
    <x v="1"/>
    <n v="11"/>
    <x v="534"/>
    <n v="3.13"/>
    <n v="31.9"/>
    <n v="0.84"/>
    <n v="76.83"/>
  </r>
  <r>
    <x v="1004"/>
    <n v="1347"/>
    <x v="1"/>
    <x v="0"/>
    <n v="14"/>
    <x v="0"/>
    <n v="11.17"/>
    <n v="27.3"/>
    <n v="0.99"/>
    <n v="355"/>
  </r>
  <r>
    <x v="1005"/>
    <n v="1347"/>
    <x v="1"/>
    <x v="0"/>
    <n v="21"/>
    <x v="2"/>
    <n v="12.18"/>
    <n v="35.25"/>
    <n v="1.1299999999999999"/>
    <n v="398.52"/>
  </r>
  <r>
    <x v="1006"/>
    <n v="1347"/>
    <x v="1"/>
    <x v="1"/>
    <n v="10"/>
    <x v="36"/>
    <n v="2.8"/>
    <n v="32.770000000000003"/>
    <n v="0.81"/>
    <n v="88.1"/>
  </r>
  <r>
    <x v="1007"/>
    <n v="1347"/>
    <x v="1"/>
    <x v="1"/>
    <n v="16"/>
    <x v="160"/>
    <n v="2.69"/>
    <n v="29.97"/>
    <n v="0.79"/>
    <n v="84.48"/>
  </r>
  <r>
    <x v="1008"/>
    <n v="1347"/>
    <x v="1"/>
    <x v="0"/>
    <n v="10"/>
    <x v="367"/>
    <n v="10.66"/>
    <n v="30.6"/>
    <n v="0.96"/>
    <n v="278.62"/>
  </r>
  <r>
    <x v="1009"/>
    <n v="1347"/>
    <x v="1"/>
    <x v="0"/>
    <n v="18"/>
    <x v="535"/>
    <n v="10.14"/>
    <n v="38.72"/>
    <n v="1.02"/>
    <n v="353.19"/>
  </r>
  <r>
    <x v="1010"/>
    <n v="1348"/>
    <x v="1"/>
    <x v="0"/>
    <n v="10"/>
    <x v="156"/>
    <n v="11.17"/>
    <n v="32.869999999999997"/>
    <n v="0.88"/>
    <n v="357.76"/>
  </r>
  <r>
    <x v="1011"/>
    <n v="1348"/>
    <x v="1"/>
    <x v="1"/>
    <n v="16"/>
    <x v="271"/>
    <n v="2.96"/>
    <n v="29.45"/>
    <n v="0.82"/>
    <n v="84.24"/>
  </r>
  <r>
    <x v="1012"/>
    <n v="1348"/>
    <x v="1"/>
    <x v="1"/>
    <n v="97"/>
    <x v="495"/>
    <n v="3.06"/>
    <n v="33.409999999999997"/>
    <n v="0.8"/>
    <n v="95.92"/>
  </r>
  <r>
    <x v="1013"/>
    <n v="1348"/>
    <x v="1"/>
    <x v="1"/>
    <n v="15"/>
    <x v="536"/>
    <n v="2.48"/>
    <n v="28.76"/>
    <n v="0.82"/>
    <n v="74.599999999999994"/>
  </r>
  <r>
    <x v="1014"/>
    <n v="1348"/>
    <x v="1"/>
    <x v="0"/>
    <n v="8"/>
    <x v="56"/>
    <n v="10.15"/>
    <n v="32.82"/>
    <n v="1.05"/>
    <n v="357.77"/>
  </r>
  <r>
    <x v="1015"/>
    <n v="1348"/>
    <x v="1"/>
    <x v="1"/>
    <n v="13"/>
    <x v="537"/>
    <n v="2.95"/>
    <n v="32.18"/>
    <n v="0.84"/>
    <n v="95.2"/>
  </r>
  <r>
    <x v="1016"/>
    <n v="1348"/>
    <x v="1"/>
    <x v="0"/>
    <n v="43"/>
    <x v="0"/>
    <n v="11.32"/>
    <n v="30.48"/>
    <n v="1.08"/>
    <n v="366.35"/>
  </r>
  <r>
    <x v="1017"/>
    <n v="1348"/>
    <x v="1"/>
    <x v="0"/>
    <n v="54"/>
    <x v="538"/>
    <n v="10.61"/>
    <n v="30.51"/>
    <n v="1.07"/>
    <n v="340.29"/>
  </r>
  <r>
    <x v="1018"/>
    <n v="1348"/>
    <x v="1"/>
    <x v="1"/>
    <n v="11"/>
    <x v="304"/>
    <n v="3.04"/>
    <n v="33.729999999999997"/>
    <n v="0.79"/>
    <n v="92.68"/>
  </r>
  <r>
    <x v="1019"/>
    <n v="1348"/>
    <x v="1"/>
    <x v="0"/>
    <n v="6"/>
    <x v="269"/>
    <n v="10.4"/>
    <n v="34.46"/>
    <n v="1.02"/>
    <n v="348.75"/>
  </r>
  <r>
    <x v="1020"/>
    <n v="1349"/>
    <x v="0"/>
    <x v="1"/>
    <n v="10"/>
    <x v="539"/>
    <n v="3.01"/>
    <n v="32.24"/>
    <n v="0.79"/>
    <n v="95.27"/>
  </r>
  <r>
    <x v="1021"/>
    <n v="1349"/>
    <x v="0"/>
    <x v="0"/>
    <n v="15"/>
    <x v="65"/>
    <n v="10.26"/>
    <n v="31.85"/>
    <n v="1.01"/>
    <n v="349.01"/>
  </r>
  <r>
    <x v="1022"/>
    <n v="1349"/>
    <x v="0"/>
    <x v="1"/>
    <n v="13"/>
    <x v="99"/>
    <n v="2.84"/>
    <n v="30.89"/>
    <n v="0.81"/>
    <n v="81.33"/>
  </r>
  <r>
    <x v="1023"/>
    <n v="1349"/>
    <x v="0"/>
    <x v="0"/>
    <n v="7"/>
    <x v="288"/>
    <n v="11.68"/>
    <n v="37.65"/>
    <n v="0.92"/>
    <n v="390.26"/>
  </r>
  <r>
    <x v="1024"/>
    <n v="1349"/>
    <x v="0"/>
    <x v="1"/>
    <n v="9"/>
    <x v="540"/>
    <n v="2.61"/>
    <n v="33.53"/>
    <n v="0.79"/>
    <n v="77.33"/>
  </r>
  <r>
    <x v="1025"/>
    <n v="1349"/>
    <x v="0"/>
    <x v="1"/>
    <n v="17"/>
    <x v="365"/>
    <n v="2.93"/>
    <n v="29.61"/>
    <n v="0.8"/>
    <n v="82.34"/>
  </r>
  <r>
    <x v="1026"/>
    <n v="1349"/>
    <x v="0"/>
    <x v="0"/>
    <n v="10"/>
    <x v="151"/>
    <n v="11.5"/>
    <n v="30.07"/>
    <n v="1.08"/>
    <n v="373.07"/>
  </r>
  <r>
    <x v="1027"/>
    <n v="1349"/>
    <x v="0"/>
    <x v="1"/>
    <n v="9"/>
    <x v="25"/>
    <n v="2.7"/>
    <n v="33.799999999999997"/>
    <n v="0.83"/>
    <n v="83.73"/>
  </r>
  <r>
    <x v="1028"/>
    <n v="1350"/>
    <x v="0"/>
    <x v="1"/>
    <n v="14"/>
    <x v="495"/>
    <n v="3.21"/>
    <n v="31.06"/>
    <n v="0.8"/>
    <n v="97.11"/>
  </r>
  <r>
    <x v="1029"/>
    <n v="1350"/>
    <x v="0"/>
    <x v="1"/>
    <n v="8"/>
    <x v="197"/>
    <n v="2.68"/>
    <n v="33.28"/>
    <n v="0.77"/>
    <n v="83.43"/>
  </r>
  <r>
    <x v="1030"/>
    <n v="1350"/>
    <x v="0"/>
    <x v="1"/>
    <n v="15"/>
    <x v="541"/>
    <n v="3.07"/>
    <n v="30.31"/>
    <n v="0.78"/>
    <n v="87.76"/>
  </r>
  <r>
    <x v="1031"/>
    <n v="1350"/>
    <x v="0"/>
    <x v="0"/>
    <n v="13"/>
    <x v="84"/>
    <n v="10.62"/>
    <n v="29.39"/>
    <n v="0.91"/>
    <n v="352.98"/>
  </r>
  <r>
    <x v="1032"/>
    <n v="1350"/>
    <x v="0"/>
    <x v="1"/>
    <n v="16"/>
    <x v="214"/>
    <n v="2.98"/>
    <n v="33.18"/>
    <n v="0.8"/>
    <n v="88.86"/>
  </r>
  <r>
    <x v="1033"/>
    <n v="1350"/>
    <x v="0"/>
    <x v="1"/>
    <n v="11"/>
    <x v="542"/>
    <n v="2.2799999999999998"/>
    <n v="31.11"/>
    <n v="0.8"/>
    <n v="80.89"/>
  </r>
  <r>
    <x v="1034"/>
    <n v="1350"/>
    <x v="0"/>
    <x v="1"/>
    <n v="26"/>
    <x v="146"/>
    <n v="2.94"/>
    <n v="32.24"/>
    <n v="0.79"/>
    <n v="87.85"/>
  </r>
  <r>
    <x v="1035"/>
    <n v="1350"/>
    <x v="0"/>
    <x v="0"/>
    <n v="7"/>
    <x v="461"/>
    <n v="10.95"/>
    <n v="27.32"/>
    <n v="1.04"/>
    <n v="353.38"/>
  </r>
  <r>
    <x v="1036"/>
    <n v="1350"/>
    <x v="0"/>
    <x v="0"/>
    <n v="10"/>
    <x v="391"/>
    <n v="10.18"/>
    <n v="36.590000000000003"/>
    <n v="0.93"/>
    <n v="339.56"/>
  </r>
  <r>
    <x v="1037"/>
    <n v="1350"/>
    <x v="0"/>
    <x v="0"/>
    <n v="13"/>
    <x v="91"/>
    <n v="11.76"/>
    <n v="38.46"/>
    <n v="0.99"/>
    <n v="366.83"/>
  </r>
  <r>
    <x v="1038"/>
    <n v="1351"/>
    <x v="1"/>
    <x v="0"/>
    <n v="9"/>
    <x v="392"/>
    <n v="11.01"/>
    <n v="30.3"/>
    <n v="1.01"/>
    <n v="352.01"/>
  </r>
  <r>
    <x v="1039"/>
    <n v="1351"/>
    <x v="1"/>
    <x v="1"/>
    <n v="24"/>
    <x v="351"/>
    <n v="2.93"/>
    <n v="27.74"/>
    <n v="0.83"/>
    <n v="86.32"/>
  </r>
  <r>
    <x v="1040"/>
    <n v="1351"/>
    <x v="1"/>
    <x v="1"/>
    <n v="11"/>
    <x v="543"/>
    <n v="3.05"/>
    <n v="33.549999999999997"/>
    <n v="0.79"/>
    <n v="93.61"/>
  </r>
  <r>
    <x v="1041"/>
    <n v="1351"/>
    <x v="1"/>
    <x v="0"/>
    <n v="7"/>
    <x v="433"/>
    <n v="11.56"/>
    <n v="26.68"/>
    <n v="1.03"/>
    <n v="394.32"/>
  </r>
  <r>
    <x v="1042"/>
    <n v="1351"/>
    <x v="1"/>
    <x v="1"/>
    <n v="11"/>
    <x v="112"/>
    <n v="2.72"/>
    <n v="33.33"/>
    <n v="0.8"/>
    <n v="84.98"/>
  </r>
  <r>
    <x v="1043"/>
    <n v="1351"/>
    <x v="1"/>
    <x v="1"/>
    <n v="15"/>
    <x v="259"/>
    <n v="2.94"/>
    <n v="33.119999999999997"/>
    <n v="0.78"/>
    <n v="87.48"/>
  </r>
  <r>
    <x v="1044"/>
    <n v="1351"/>
    <x v="1"/>
    <x v="0"/>
    <n v="13"/>
    <x v="329"/>
    <n v="11.29"/>
    <n v="34.6"/>
    <n v="1.1599999999999999"/>
    <n v="377.43"/>
  </r>
  <r>
    <x v="1045"/>
    <n v="1351"/>
    <x v="1"/>
    <x v="0"/>
    <n v="13"/>
    <x v="100"/>
    <n v="11.06"/>
    <n v="32.19"/>
    <n v="1.01"/>
    <n v="365.75"/>
  </r>
  <r>
    <x v="1046"/>
    <n v="1351"/>
    <x v="1"/>
    <x v="1"/>
    <n v="20"/>
    <x v="543"/>
    <n v="2.64"/>
    <n v="32.08"/>
    <n v="0.85"/>
    <n v="85.79"/>
  </r>
  <r>
    <x v="1047"/>
    <n v="1351"/>
    <x v="1"/>
    <x v="1"/>
    <n v="13"/>
    <x v="36"/>
    <n v="2.65"/>
    <n v="32.76"/>
    <n v="0.8"/>
    <n v="84.58"/>
  </r>
  <r>
    <x v="1048"/>
    <n v="1351"/>
    <x v="1"/>
    <x v="1"/>
    <n v="17"/>
    <x v="544"/>
    <n v="2.86"/>
    <n v="33.79"/>
    <n v="0.78"/>
    <n v="82"/>
  </r>
  <r>
    <x v="1049"/>
    <n v="1351"/>
    <x v="1"/>
    <x v="0"/>
    <n v="22"/>
    <x v="158"/>
    <n v="11.16"/>
    <n v="29.61"/>
    <n v="1.03"/>
    <n v="357.01"/>
  </r>
  <r>
    <x v="1050"/>
    <n v="1351"/>
    <x v="1"/>
    <x v="1"/>
    <n v="10"/>
    <x v="277"/>
    <n v="3.06"/>
    <n v="29.22"/>
    <n v="0.78"/>
    <n v="86.46"/>
  </r>
  <r>
    <x v="1051"/>
    <n v="1351"/>
    <x v="1"/>
    <x v="1"/>
    <n v="11"/>
    <x v="208"/>
    <n v="2.64"/>
    <n v="34.35"/>
    <n v="0.78"/>
    <n v="84.47"/>
  </r>
  <r>
    <x v="1052"/>
    <n v="1351"/>
    <x v="1"/>
    <x v="0"/>
    <n v="18"/>
    <x v="330"/>
    <n v="10.98"/>
    <n v="37.85"/>
    <n v="1.05"/>
    <n v="362.19"/>
  </r>
  <r>
    <x v="1053"/>
    <n v="1351"/>
    <x v="1"/>
    <x v="0"/>
    <n v="11"/>
    <x v="375"/>
    <n v="9.7200000000000006"/>
    <n v="31.48"/>
    <n v="0.97"/>
    <n v="310.89999999999998"/>
  </r>
  <r>
    <x v="1054"/>
    <n v="1351"/>
    <x v="1"/>
    <x v="1"/>
    <n v="14"/>
    <x v="545"/>
    <n v="3.1"/>
    <n v="32.44"/>
    <n v="0.78"/>
    <n v="84.4"/>
  </r>
  <r>
    <x v="1055"/>
    <n v="1351"/>
    <x v="1"/>
    <x v="0"/>
    <n v="17"/>
    <x v="252"/>
    <n v="10.82"/>
    <n v="27.24"/>
    <n v="1.06"/>
    <n v="369.29"/>
  </r>
  <r>
    <x v="1056"/>
    <n v="1351"/>
    <x v="1"/>
    <x v="1"/>
    <n v="11"/>
    <x v="222"/>
    <n v="2.91"/>
    <n v="30.23"/>
    <n v="0.82"/>
    <n v="84.49"/>
  </r>
  <r>
    <x v="1057"/>
    <n v="1351"/>
    <x v="1"/>
    <x v="1"/>
    <n v="6"/>
    <x v="541"/>
    <n v="2.89"/>
    <n v="32.840000000000003"/>
    <n v="0.82"/>
    <n v="78.98"/>
  </r>
  <r>
    <x v="1058"/>
    <n v="1351"/>
    <x v="1"/>
    <x v="0"/>
    <n v="14"/>
    <x v="546"/>
    <n v="11.56"/>
    <n v="25.55"/>
    <n v="1.04"/>
    <n v="355.24"/>
  </r>
  <r>
    <x v="1059"/>
    <n v="1351"/>
    <x v="1"/>
    <x v="0"/>
    <n v="13"/>
    <x v="403"/>
    <n v="10.54"/>
    <n v="33.9"/>
    <n v="0.96"/>
    <n v="332.85"/>
  </r>
  <r>
    <x v="1060"/>
    <n v="1351"/>
    <x v="1"/>
    <x v="1"/>
    <n v="17"/>
    <x v="547"/>
    <n v="2.98"/>
    <n v="31.84"/>
    <n v="0.79"/>
    <n v="84.79"/>
  </r>
  <r>
    <x v="1061"/>
    <n v="1351"/>
    <x v="1"/>
    <x v="0"/>
    <n v="10"/>
    <x v="70"/>
    <n v="12.78"/>
    <n v="30.82"/>
    <n v="1.01"/>
    <n v="384.36"/>
  </r>
  <r>
    <x v="1062"/>
    <n v="1351"/>
    <x v="1"/>
    <x v="0"/>
    <n v="8"/>
    <x v="514"/>
    <n v="11.03"/>
    <n v="27.09"/>
    <n v="0.99"/>
    <n v="356.45"/>
  </r>
  <r>
    <x v="1063"/>
    <n v="1351"/>
    <x v="1"/>
    <x v="1"/>
    <n v="13"/>
    <x v="548"/>
    <n v="2.59"/>
    <n v="28.33"/>
    <n v="0.8"/>
    <n v="81.41"/>
  </r>
  <r>
    <x v="1064"/>
    <n v="1351"/>
    <x v="1"/>
    <x v="1"/>
    <n v="18"/>
    <x v="549"/>
    <n v="2.85"/>
    <n v="26.97"/>
    <n v="0.83"/>
    <n v="81.48"/>
  </r>
  <r>
    <x v="1065"/>
    <n v="1351"/>
    <x v="1"/>
    <x v="1"/>
    <n v="12"/>
    <x v="267"/>
    <n v="3.06"/>
    <n v="26.42"/>
    <n v="0.8"/>
    <n v="92.25"/>
  </r>
  <r>
    <x v="1066"/>
    <n v="1351"/>
    <x v="1"/>
    <x v="0"/>
    <n v="10"/>
    <x v="550"/>
    <n v="11.49"/>
    <n v="30.27"/>
    <n v="1.06"/>
    <n v="372.83"/>
  </r>
  <r>
    <x v="1067"/>
    <n v="1351"/>
    <x v="1"/>
    <x v="0"/>
    <n v="10"/>
    <x v="346"/>
    <n v="12.83"/>
    <n v="28.91"/>
    <n v="1"/>
    <n v="402.93"/>
  </r>
  <r>
    <x v="1068"/>
    <n v="1351"/>
    <x v="1"/>
    <x v="1"/>
    <n v="10"/>
    <x v="115"/>
    <n v="3.17"/>
    <n v="29.57"/>
    <n v="0.8"/>
    <n v="91.97"/>
  </r>
  <r>
    <x v="1069"/>
    <n v="1351"/>
    <x v="1"/>
    <x v="1"/>
    <n v="21"/>
    <x v="422"/>
    <n v="2.69"/>
    <n v="31.65"/>
    <n v="0.78"/>
    <n v="74.83"/>
  </r>
  <r>
    <x v="1070"/>
    <n v="1351"/>
    <x v="1"/>
    <x v="0"/>
    <n v="14"/>
    <x v="551"/>
    <n v="11.53"/>
    <n v="31.23"/>
    <n v="1.06"/>
    <n v="339.19"/>
  </r>
  <r>
    <x v="1071"/>
    <n v="1351"/>
    <x v="1"/>
    <x v="0"/>
    <n v="18"/>
    <x v="21"/>
    <n v="10.73"/>
    <n v="33.54"/>
    <n v="0.9"/>
    <n v="348.12"/>
  </r>
  <r>
    <x v="1072"/>
    <n v="1351"/>
    <x v="1"/>
    <x v="0"/>
    <n v="9"/>
    <x v="142"/>
    <n v="10.65"/>
    <n v="28.18"/>
    <n v="1.02"/>
    <n v="341.06"/>
  </r>
  <r>
    <x v="1073"/>
    <n v="1352"/>
    <x v="0"/>
    <x v="0"/>
    <n v="19"/>
    <x v="552"/>
    <n v="10.63"/>
    <n v="33.49"/>
    <n v="0.97"/>
    <n v="333.55"/>
  </r>
  <r>
    <x v="1074"/>
    <n v="1352"/>
    <x v="0"/>
    <x v="0"/>
    <n v="31"/>
    <x v="80"/>
    <n v="10.85"/>
    <n v="37.11"/>
    <n v="0.94"/>
    <n v="363.17"/>
  </r>
  <r>
    <x v="1075"/>
    <n v="1352"/>
    <x v="0"/>
    <x v="0"/>
    <n v="21"/>
    <x v="448"/>
    <n v="10.42"/>
    <n v="34.380000000000003"/>
    <n v="1.1000000000000001"/>
    <n v="361.97"/>
  </r>
  <r>
    <x v="1076"/>
    <n v="1352"/>
    <x v="0"/>
    <x v="1"/>
    <n v="14"/>
    <x v="79"/>
    <n v="2.93"/>
    <n v="32.9"/>
    <n v="0.78"/>
    <n v="86.32"/>
  </r>
  <r>
    <x v="1077"/>
    <n v="1352"/>
    <x v="0"/>
    <x v="0"/>
    <n v="17"/>
    <x v="417"/>
    <n v="11.33"/>
    <n v="34.979999999999997"/>
    <n v="1.06"/>
    <n v="367.37"/>
  </r>
  <r>
    <x v="1078"/>
    <n v="1352"/>
    <x v="0"/>
    <x v="0"/>
    <n v="15"/>
    <x v="553"/>
    <n v="11.86"/>
    <n v="31.77"/>
    <n v="1"/>
    <n v="367.88"/>
  </r>
  <r>
    <x v="1079"/>
    <n v="1352"/>
    <x v="0"/>
    <x v="0"/>
    <n v="10"/>
    <x v="237"/>
    <n v="10.72"/>
    <n v="31.27"/>
    <n v="1.05"/>
    <n v="368.36"/>
  </r>
  <r>
    <x v="1080"/>
    <n v="1353"/>
    <x v="2"/>
    <x v="1"/>
    <n v="20"/>
    <x v="68"/>
    <n v="2.61"/>
    <n v="28.83"/>
    <n v="0.78"/>
    <n v="80.25"/>
  </r>
  <r>
    <x v="1081"/>
    <n v="1353"/>
    <x v="2"/>
    <x v="1"/>
    <n v="38"/>
    <x v="207"/>
    <n v="2.72"/>
    <n v="29.63"/>
    <n v="0.8"/>
    <n v="80.19"/>
  </r>
  <r>
    <x v="1082"/>
    <n v="1353"/>
    <x v="2"/>
    <x v="0"/>
    <n v="9"/>
    <x v="392"/>
    <n v="11.36"/>
    <n v="30.47"/>
    <n v="0.96"/>
    <n v="360.43"/>
  </r>
  <r>
    <x v="1083"/>
    <n v="1353"/>
    <x v="2"/>
    <x v="1"/>
    <n v="16"/>
    <x v="296"/>
    <n v="3.11"/>
    <n v="36.72"/>
    <n v="0.8"/>
    <n v="96.03"/>
  </r>
  <r>
    <x v="1084"/>
    <n v="1353"/>
    <x v="2"/>
    <x v="0"/>
    <n v="14"/>
    <x v="181"/>
    <n v="11.23"/>
    <n v="32.909999999999997"/>
    <n v="1"/>
    <n v="349.87"/>
  </r>
  <r>
    <x v="1085"/>
    <n v="1353"/>
    <x v="2"/>
    <x v="0"/>
    <n v="13"/>
    <x v="181"/>
    <n v="11.49"/>
    <n v="29.7"/>
    <n v="1.04"/>
    <n v="354.66"/>
  </r>
  <r>
    <x v="1086"/>
    <n v="1353"/>
    <x v="2"/>
    <x v="0"/>
    <n v="10"/>
    <x v="66"/>
    <n v="11.13"/>
    <n v="30.37"/>
    <n v="0.92"/>
    <n v="335.06"/>
  </r>
  <r>
    <x v="1087"/>
    <n v="1354"/>
    <x v="1"/>
    <x v="0"/>
    <n v="14"/>
    <x v="270"/>
    <n v="10.51"/>
    <n v="37"/>
    <n v="0.87"/>
    <n v="341.76"/>
  </r>
  <r>
    <x v="1088"/>
    <n v="1354"/>
    <x v="1"/>
    <x v="1"/>
    <n v="290"/>
    <x v="498"/>
    <n v="2.77"/>
    <n v="26.72"/>
    <n v="0.79"/>
    <n v="80.349999999999994"/>
  </r>
  <r>
    <x v="1089"/>
    <n v="1354"/>
    <x v="1"/>
    <x v="1"/>
    <n v="25"/>
    <x v="431"/>
    <n v="2.67"/>
    <n v="26.63"/>
    <n v="0.79"/>
    <n v="80.930000000000007"/>
  </r>
  <r>
    <x v="1090"/>
    <n v="1354"/>
    <x v="1"/>
    <x v="0"/>
    <n v="17"/>
    <x v="24"/>
    <n v="11.01"/>
    <n v="31.25"/>
    <n v="0.97"/>
    <n v="317.76"/>
  </r>
  <r>
    <x v="1091"/>
    <n v="1354"/>
    <x v="1"/>
    <x v="1"/>
    <n v="15"/>
    <x v="60"/>
    <n v="3.05"/>
    <n v="30.94"/>
    <n v="0.8"/>
    <n v="89.17"/>
  </r>
  <r>
    <x v="1092"/>
    <n v="1354"/>
    <x v="1"/>
    <x v="1"/>
    <n v="96"/>
    <x v="243"/>
    <n v="3.28"/>
    <n v="34.15"/>
    <n v="0.8"/>
    <n v="81.28"/>
  </r>
  <r>
    <x v="1093"/>
    <n v="1354"/>
    <x v="1"/>
    <x v="0"/>
    <n v="15"/>
    <x v="554"/>
    <n v="11.51"/>
    <n v="33.04"/>
    <n v="0.96"/>
    <n v="354.49"/>
  </r>
  <r>
    <x v="1094"/>
    <n v="1354"/>
    <x v="1"/>
    <x v="0"/>
    <n v="14"/>
    <x v="126"/>
    <n v="11.32"/>
    <n v="33.630000000000003"/>
    <n v="0.94"/>
    <n v="366.31"/>
  </r>
  <r>
    <x v="1095"/>
    <n v="1354"/>
    <x v="1"/>
    <x v="1"/>
    <n v="14"/>
    <x v="401"/>
    <n v="2.93"/>
    <n v="27.1"/>
    <n v="0.76"/>
    <n v="79.260000000000005"/>
  </r>
  <r>
    <x v="1096"/>
    <n v="1354"/>
    <x v="1"/>
    <x v="1"/>
    <n v="9"/>
    <x v="438"/>
    <n v="2.9"/>
    <n v="32.35"/>
    <n v="0.85"/>
    <n v="84.4"/>
  </r>
  <r>
    <x v="1097"/>
    <n v="1354"/>
    <x v="1"/>
    <x v="0"/>
    <n v="12"/>
    <x v="364"/>
    <n v="10.72"/>
    <n v="31.4"/>
    <n v="1.05"/>
    <n v="331.36"/>
  </r>
  <r>
    <x v="1098"/>
    <n v="1354"/>
    <x v="1"/>
    <x v="1"/>
    <n v="10"/>
    <x v="555"/>
    <n v="3.04"/>
    <n v="27.9"/>
    <n v="0.79"/>
    <n v="82.89"/>
  </r>
  <r>
    <x v="1099"/>
    <n v="1354"/>
    <x v="1"/>
    <x v="1"/>
    <n v="12"/>
    <x v="92"/>
    <n v="2.85"/>
    <n v="29.87"/>
    <n v="0.8"/>
    <n v="85.81"/>
  </r>
  <r>
    <x v="1100"/>
    <n v="1354"/>
    <x v="1"/>
    <x v="0"/>
    <n v="46"/>
    <x v="163"/>
    <n v="11.18"/>
    <n v="33.619999999999997"/>
    <n v="0.88"/>
    <n v="361.33"/>
  </r>
  <r>
    <x v="1101"/>
    <n v="1355"/>
    <x v="1"/>
    <x v="1"/>
    <n v="8"/>
    <x v="104"/>
    <n v="2.8"/>
    <n v="33"/>
    <n v="0.82"/>
    <n v="87.67"/>
  </r>
  <r>
    <x v="1102"/>
    <n v="1355"/>
    <x v="1"/>
    <x v="0"/>
    <n v="30"/>
    <x v="215"/>
    <n v="10.92"/>
    <n v="33.35"/>
    <n v="1.06"/>
    <n v="367.75"/>
  </r>
  <r>
    <x v="1103"/>
    <n v="1355"/>
    <x v="1"/>
    <x v="0"/>
    <n v="14"/>
    <x v="395"/>
    <n v="11.04"/>
    <n v="27.89"/>
    <n v="0.92"/>
    <n v="360.94"/>
  </r>
  <r>
    <x v="1104"/>
    <n v="1355"/>
    <x v="1"/>
    <x v="0"/>
    <n v="9"/>
    <x v="110"/>
    <n v="10.59"/>
    <n v="26.71"/>
    <n v="1.03"/>
    <n v="346.53"/>
  </r>
  <r>
    <x v="1105"/>
    <n v="1355"/>
    <x v="1"/>
    <x v="1"/>
    <n v="11"/>
    <x v="357"/>
    <n v="2.75"/>
    <n v="33.17"/>
    <n v="0.8"/>
    <n v="83.41"/>
  </r>
  <r>
    <x v="1106"/>
    <n v="1355"/>
    <x v="1"/>
    <x v="0"/>
    <n v="17"/>
    <x v="499"/>
    <n v="11.38"/>
    <n v="34.82"/>
    <n v="0.99"/>
    <n v="364"/>
  </r>
  <r>
    <x v="1107"/>
    <n v="1355"/>
    <x v="1"/>
    <x v="0"/>
    <n v="13"/>
    <x v="102"/>
    <n v="10.69"/>
    <n v="30.85"/>
    <n v="1.03"/>
    <n v="336.76"/>
  </r>
  <r>
    <x v="1108"/>
    <n v="1355"/>
    <x v="1"/>
    <x v="0"/>
    <n v="12"/>
    <x v="511"/>
    <n v="10.61"/>
    <n v="29.91"/>
    <n v="1.04"/>
    <n v="372.39"/>
  </r>
  <r>
    <x v="1109"/>
    <n v="1355"/>
    <x v="1"/>
    <x v="0"/>
    <n v="10"/>
    <x v="553"/>
    <n v="10.66"/>
    <n v="29.69"/>
    <n v="1.04"/>
    <n v="333.42"/>
  </r>
  <r>
    <x v="1110"/>
    <n v="1356"/>
    <x v="0"/>
    <x v="0"/>
    <n v="11"/>
    <x v="556"/>
    <n v="9.5399999999999991"/>
    <n v="29.37"/>
    <n v="0.95"/>
    <n v="254.32"/>
  </r>
  <r>
    <x v="1111"/>
    <n v="1356"/>
    <x v="0"/>
    <x v="1"/>
    <n v="10"/>
    <x v="174"/>
    <n v="2.73"/>
    <n v="28.74"/>
    <n v="0.75"/>
    <n v="78.52"/>
  </r>
  <r>
    <x v="1112"/>
    <n v="1356"/>
    <x v="0"/>
    <x v="0"/>
    <n v="11"/>
    <x v="84"/>
    <n v="10.94"/>
    <n v="32.81"/>
    <n v="0.94"/>
    <n v="367.54"/>
  </r>
  <r>
    <x v="1113"/>
    <n v="1356"/>
    <x v="0"/>
    <x v="1"/>
    <n v="13"/>
    <x v="305"/>
    <n v="3.21"/>
    <n v="29.48"/>
    <n v="0.8"/>
    <n v="90.29"/>
  </r>
  <r>
    <x v="1114"/>
    <n v="1356"/>
    <x v="0"/>
    <x v="1"/>
    <n v="37"/>
    <x v="336"/>
    <n v="2.87"/>
    <n v="29.72"/>
    <n v="0.83"/>
    <n v="89.41"/>
  </r>
  <r>
    <x v="1115"/>
    <n v="1356"/>
    <x v="0"/>
    <x v="0"/>
    <n v="14"/>
    <x v="260"/>
    <n v="12.17"/>
    <n v="33.5"/>
    <n v="0.99"/>
    <n v="398.08"/>
  </r>
  <r>
    <x v="1116"/>
    <n v="1356"/>
    <x v="0"/>
    <x v="1"/>
    <n v="11"/>
    <x v="557"/>
    <n v="2.89"/>
    <n v="31.92"/>
    <n v="0.81"/>
    <n v="85.23"/>
  </r>
  <r>
    <x v="1117"/>
    <n v="1356"/>
    <x v="0"/>
    <x v="1"/>
    <n v="17"/>
    <x v="558"/>
    <n v="2.78"/>
    <n v="30.91"/>
    <n v="0.79"/>
    <n v="79.459999999999994"/>
  </r>
  <r>
    <x v="1118"/>
    <n v="1356"/>
    <x v="0"/>
    <x v="0"/>
    <n v="15"/>
    <x v="371"/>
    <n v="11.33"/>
    <n v="34.17"/>
    <n v="1.06"/>
    <n v="385.06"/>
  </r>
  <r>
    <x v="1119"/>
    <n v="1356"/>
    <x v="0"/>
    <x v="1"/>
    <n v="11"/>
    <x v="559"/>
    <n v="3.18"/>
    <n v="31.32"/>
    <n v="0.8"/>
    <n v="77.22"/>
  </r>
  <r>
    <x v="1120"/>
    <n v="1356"/>
    <x v="0"/>
    <x v="0"/>
    <n v="11"/>
    <x v="16"/>
    <n v="10.17"/>
    <n v="29.44"/>
    <n v="1.1100000000000001"/>
    <n v="341.6"/>
  </r>
  <r>
    <x v="1121"/>
    <n v="1356"/>
    <x v="0"/>
    <x v="1"/>
    <n v="12"/>
    <x v="560"/>
    <n v="3.11"/>
    <n v="31.11"/>
    <n v="0.79"/>
    <n v="92.12"/>
  </r>
  <r>
    <x v="1122"/>
    <n v="1356"/>
    <x v="0"/>
    <x v="1"/>
    <n v="148"/>
    <x v="477"/>
    <n v="2.63"/>
    <n v="30.38"/>
    <n v="0.82"/>
    <n v="68.83"/>
  </r>
  <r>
    <x v="1123"/>
    <n v="1356"/>
    <x v="0"/>
    <x v="0"/>
    <n v="17"/>
    <x v="561"/>
    <n v="11.17"/>
    <n v="26.27"/>
    <n v="1.02"/>
    <n v="343.92"/>
  </r>
  <r>
    <x v="1124"/>
    <n v="1356"/>
    <x v="0"/>
    <x v="0"/>
    <n v="15"/>
    <x v="546"/>
    <n v="11.64"/>
    <n v="30.35"/>
    <n v="1"/>
    <n v="361.97"/>
  </r>
  <r>
    <x v="1125"/>
    <n v="1356"/>
    <x v="0"/>
    <x v="1"/>
    <n v="23"/>
    <x v="75"/>
    <n v="2.88"/>
    <n v="27.19"/>
    <n v="0.83"/>
    <n v="82.72"/>
  </r>
  <r>
    <x v="1126"/>
    <n v="1356"/>
    <x v="0"/>
    <x v="1"/>
    <n v="21"/>
    <x v="143"/>
    <n v="3"/>
    <n v="28.26"/>
    <n v="0.78"/>
    <n v="89.5"/>
  </r>
  <r>
    <x v="1127"/>
    <n v="1356"/>
    <x v="0"/>
    <x v="0"/>
    <n v="12"/>
    <x v="53"/>
    <n v="11.35"/>
    <n v="31.19"/>
    <n v="1.02"/>
    <n v="356.44"/>
  </r>
  <r>
    <x v="1128"/>
    <n v="1356"/>
    <x v="0"/>
    <x v="0"/>
    <n v="17"/>
    <x v="170"/>
    <n v="10.46"/>
    <n v="31.4"/>
    <n v="1.1100000000000001"/>
    <n v="364.02"/>
  </r>
  <r>
    <x v="1129"/>
    <n v="1356"/>
    <x v="0"/>
    <x v="1"/>
    <n v="36"/>
    <x v="217"/>
    <n v="2.42"/>
    <n v="26.5"/>
    <n v="0.81"/>
    <n v="72.430000000000007"/>
  </r>
  <r>
    <x v="1130"/>
    <n v="1356"/>
    <x v="0"/>
    <x v="0"/>
    <n v="17"/>
    <x v="449"/>
    <n v="12.23"/>
    <n v="30.2"/>
    <n v="0.99"/>
    <n v="378.68"/>
  </r>
  <r>
    <x v="1131"/>
    <n v="1356"/>
    <x v="0"/>
    <x v="1"/>
    <n v="13"/>
    <x v="562"/>
    <n v="2.92"/>
    <n v="33.6"/>
    <n v="0.79"/>
    <n v="94.68"/>
  </r>
  <r>
    <x v="1132"/>
    <n v="1356"/>
    <x v="0"/>
    <x v="1"/>
    <n v="18"/>
    <x v="563"/>
    <n v="3.1"/>
    <n v="29.67"/>
    <n v="0.83"/>
    <n v="91.75"/>
  </r>
  <r>
    <x v="1133"/>
    <n v="1356"/>
    <x v="0"/>
    <x v="1"/>
    <n v="18"/>
    <x v="130"/>
    <n v="2.67"/>
    <n v="32.11"/>
    <n v="0.81"/>
    <n v="80.739999999999995"/>
  </r>
  <r>
    <x v="1134"/>
    <n v="1356"/>
    <x v="0"/>
    <x v="0"/>
    <n v="17"/>
    <x v="0"/>
    <n v="10.25"/>
    <n v="34.76"/>
    <n v="1.1299999999999999"/>
    <n v="342.99"/>
  </r>
  <r>
    <x v="1135"/>
    <n v="1356"/>
    <x v="0"/>
    <x v="0"/>
    <n v="12"/>
    <x v="564"/>
    <n v="11.27"/>
    <n v="28.81"/>
    <n v="0.95"/>
    <n v="343.71"/>
  </r>
  <r>
    <x v="1136"/>
    <n v="1356"/>
    <x v="0"/>
    <x v="0"/>
    <n v="36"/>
    <x v="381"/>
    <n v="10.88"/>
    <n v="32.78"/>
    <n v="1.1000000000000001"/>
    <n v="372.09"/>
  </r>
  <r>
    <x v="1137"/>
    <n v="1356"/>
    <x v="0"/>
    <x v="0"/>
    <n v="15"/>
    <x v="26"/>
    <n v="10.26"/>
    <n v="34.19"/>
    <n v="0.99"/>
    <n v="336.2"/>
  </r>
  <r>
    <x v="1138"/>
    <n v="1356"/>
    <x v="0"/>
    <x v="1"/>
    <n v="9"/>
    <x v="165"/>
    <n v="2.75"/>
    <n v="27.88"/>
    <n v="0.82"/>
    <n v="80.05"/>
  </r>
  <r>
    <x v="1139"/>
    <n v="1356"/>
    <x v="0"/>
    <x v="0"/>
    <n v="8"/>
    <x v="565"/>
    <n v="12.14"/>
    <n v="26.93"/>
    <n v="1.2"/>
    <n v="428.88"/>
  </r>
  <r>
    <x v="1140"/>
    <n v="1356"/>
    <x v="0"/>
    <x v="0"/>
    <n v="13"/>
    <x v="156"/>
    <n v="11.25"/>
    <n v="33.78"/>
    <n v="1.08"/>
    <n v="369.06"/>
  </r>
  <r>
    <x v="1141"/>
    <n v="1356"/>
    <x v="0"/>
    <x v="0"/>
    <n v="27"/>
    <x v="280"/>
    <n v="8.92"/>
    <n v="27.46"/>
    <n v="0.96"/>
    <n v="282.14999999999998"/>
  </r>
  <r>
    <x v="1142"/>
    <n v="1356"/>
    <x v="0"/>
    <x v="0"/>
    <n v="15"/>
    <x v="35"/>
    <n v="11.38"/>
    <n v="31.47"/>
    <n v="0.92"/>
    <n v="389.94"/>
  </r>
  <r>
    <x v="1143"/>
    <n v="1356"/>
    <x v="0"/>
    <x v="1"/>
    <n v="12"/>
    <x v="566"/>
    <n v="2.62"/>
    <n v="25.19"/>
    <n v="0.81"/>
    <n v="80.12"/>
  </r>
  <r>
    <x v="1144"/>
    <n v="1356"/>
    <x v="0"/>
    <x v="1"/>
    <n v="15"/>
    <x v="63"/>
    <n v="2.8"/>
    <n v="31.87"/>
    <n v="0.82"/>
    <n v="85.96"/>
  </r>
  <r>
    <x v="1145"/>
    <n v="1356"/>
    <x v="0"/>
    <x v="1"/>
    <n v="16"/>
    <x v="79"/>
    <n v="3.03"/>
    <n v="31.12"/>
    <n v="0.79"/>
    <n v="87.12"/>
  </r>
  <r>
    <x v="1146"/>
    <n v="1356"/>
    <x v="0"/>
    <x v="0"/>
    <n v="19"/>
    <x v="116"/>
    <n v="11.64"/>
    <n v="32.11"/>
    <n v="1.04"/>
    <n v="359.88"/>
  </r>
  <r>
    <x v="1147"/>
    <n v="1356"/>
    <x v="0"/>
    <x v="1"/>
    <n v="18"/>
    <x v="86"/>
    <n v="3.05"/>
    <n v="31.98"/>
    <n v="0.83"/>
    <n v="91.1"/>
  </r>
  <r>
    <x v="1148"/>
    <n v="1356"/>
    <x v="0"/>
    <x v="1"/>
    <n v="18"/>
    <x v="164"/>
    <n v="2.63"/>
    <n v="31.37"/>
    <n v="0.79"/>
    <n v="67.95"/>
  </r>
  <r>
    <x v="1149"/>
    <n v="1356"/>
    <x v="0"/>
    <x v="1"/>
    <n v="21"/>
    <x v="368"/>
    <n v="2.6"/>
    <n v="30.09"/>
    <n v="0.8"/>
    <n v="79.709999999999994"/>
  </r>
  <r>
    <x v="1150"/>
    <n v="1356"/>
    <x v="0"/>
    <x v="0"/>
    <n v="15"/>
    <x v="553"/>
    <n v="11.33"/>
    <n v="36.369999999999997"/>
    <n v="0.94"/>
    <n v="356.01"/>
  </r>
  <r>
    <x v="1151"/>
    <n v="1356"/>
    <x v="0"/>
    <x v="1"/>
    <n v="11"/>
    <x v="263"/>
    <n v="2.57"/>
    <n v="30.64"/>
    <n v="0.78"/>
    <n v="81.45"/>
  </r>
  <r>
    <x v="1152"/>
    <n v="1356"/>
    <x v="0"/>
    <x v="1"/>
    <n v="7"/>
    <x v="567"/>
    <n v="2.44"/>
    <n v="29.95"/>
    <n v="0.82"/>
    <n v="80.56"/>
  </r>
  <r>
    <x v="1153"/>
    <n v="1356"/>
    <x v="0"/>
    <x v="0"/>
    <n v="10"/>
    <x v="568"/>
    <n v="11.17"/>
    <n v="24.37"/>
    <n v="1.08"/>
    <n v="280.93"/>
  </r>
  <r>
    <x v="1154"/>
    <n v="1356"/>
    <x v="0"/>
    <x v="0"/>
    <n v="13"/>
    <x v="163"/>
    <n v="9.9499999999999993"/>
    <n v="29.85"/>
    <n v="0.98"/>
    <n v="325.05"/>
  </r>
  <r>
    <x v="1155"/>
    <n v="1356"/>
    <x v="0"/>
    <x v="0"/>
    <n v="59"/>
    <x v="26"/>
    <n v="9.6"/>
    <n v="30.49"/>
    <n v="0.91"/>
    <n v="255.48"/>
  </r>
  <r>
    <x v="1156"/>
    <n v="1356"/>
    <x v="0"/>
    <x v="0"/>
    <n v="11"/>
    <x v="514"/>
    <n v="10.43"/>
    <n v="30.08"/>
    <n v="1.04"/>
    <n v="344.11"/>
  </r>
  <r>
    <x v="1157"/>
    <n v="1356"/>
    <x v="0"/>
    <x v="1"/>
    <n v="13"/>
    <x v="368"/>
    <n v="3.03"/>
    <n v="28.35"/>
    <n v="0.84"/>
    <n v="88.23"/>
  </r>
  <r>
    <x v="1158"/>
    <n v="1356"/>
    <x v="0"/>
    <x v="1"/>
    <n v="19"/>
    <x v="440"/>
    <n v="2.98"/>
    <n v="32.03"/>
    <n v="0.8"/>
    <n v="95.88"/>
  </r>
  <r>
    <x v="1159"/>
    <n v="1356"/>
    <x v="0"/>
    <x v="0"/>
    <n v="18"/>
    <x v="569"/>
    <n v="10.73"/>
    <n v="32.520000000000003"/>
    <n v="1.04"/>
    <n v="323.39"/>
  </r>
  <r>
    <x v="1160"/>
    <n v="1356"/>
    <x v="0"/>
    <x v="0"/>
    <n v="21"/>
    <x v="131"/>
    <n v="11.36"/>
    <n v="33.82"/>
    <n v="0.95"/>
    <n v="398.5"/>
  </r>
  <r>
    <x v="1161"/>
    <n v="1356"/>
    <x v="0"/>
    <x v="1"/>
    <n v="12"/>
    <x v="67"/>
    <n v="2.75"/>
    <n v="35.369999999999997"/>
    <n v="0.81"/>
    <n v="81.209999999999994"/>
  </r>
  <r>
    <x v="1162"/>
    <n v="1356"/>
    <x v="0"/>
    <x v="0"/>
    <n v="24"/>
    <x v="73"/>
    <n v="10.09"/>
    <n v="33.270000000000003"/>
    <n v="0.94"/>
    <n v="335.14"/>
  </r>
  <r>
    <x v="1163"/>
    <n v="1356"/>
    <x v="0"/>
    <x v="0"/>
    <n v="15"/>
    <x v="435"/>
    <n v="11.27"/>
    <n v="34.44"/>
    <n v="0.93"/>
    <n v="351.94"/>
  </r>
  <r>
    <x v="1164"/>
    <n v="1356"/>
    <x v="0"/>
    <x v="0"/>
    <n v="18"/>
    <x v="90"/>
    <n v="11.43"/>
    <n v="26.33"/>
    <n v="1.03"/>
    <n v="388.81"/>
  </r>
  <r>
    <x v="1165"/>
    <n v="1356"/>
    <x v="0"/>
    <x v="0"/>
    <n v="14"/>
    <x v="570"/>
    <n v="10.87"/>
    <n v="26.11"/>
    <n v="1.06"/>
    <n v="287.26"/>
  </r>
  <r>
    <x v="1166"/>
    <n v="1356"/>
    <x v="0"/>
    <x v="0"/>
    <n v="15"/>
    <x v="80"/>
    <n v="10.62"/>
    <n v="32.049999999999997"/>
    <n v="1"/>
    <n v="352.98"/>
  </r>
  <r>
    <x v="1167"/>
    <n v="1356"/>
    <x v="0"/>
    <x v="0"/>
    <n v="34"/>
    <x v="571"/>
    <n v="11.75"/>
    <n v="29.41"/>
    <n v="1.05"/>
    <n v="385.96"/>
  </r>
  <r>
    <x v="1168"/>
    <n v="1356"/>
    <x v="0"/>
    <x v="1"/>
    <n v="16"/>
    <x v="86"/>
    <n v="2.89"/>
    <n v="32.72"/>
    <n v="0.78"/>
    <n v="86.73"/>
  </r>
  <r>
    <x v="1169"/>
    <n v="1356"/>
    <x v="0"/>
    <x v="0"/>
    <n v="15"/>
    <x v="572"/>
    <n v="11.28"/>
    <n v="28.72"/>
    <n v="1.1200000000000001"/>
    <n v="384.43"/>
  </r>
  <r>
    <x v="1170"/>
    <n v="1356"/>
    <x v="0"/>
    <x v="0"/>
    <n v="10"/>
    <x v="415"/>
    <n v="10.69"/>
    <n v="32.090000000000003"/>
    <n v="0.93"/>
    <n v="328.9"/>
  </r>
  <r>
    <x v="1171"/>
    <n v="1356"/>
    <x v="0"/>
    <x v="1"/>
    <n v="16"/>
    <x v="573"/>
    <n v="2.86"/>
    <n v="36.08"/>
    <n v="0.77"/>
    <n v="85.14"/>
  </r>
  <r>
    <x v="1172"/>
    <n v="1356"/>
    <x v="0"/>
    <x v="1"/>
    <n v="16"/>
    <x v="72"/>
    <n v="3.11"/>
    <n v="31.3"/>
    <n v="0.8"/>
    <n v="88.48"/>
  </r>
  <r>
    <x v="1173"/>
    <n v="1356"/>
    <x v="0"/>
    <x v="1"/>
    <n v="74"/>
    <x v="468"/>
    <n v="2.86"/>
    <n v="29.58"/>
    <n v="0.8"/>
    <n v="86.55"/>
  </r>
  <r>
    <x v="1174"/>
    <n v="1356"/>
    <x v="0"/>
    <x v="1"/>
    <n v="24"/>
    <x v="296"/>
    <n v="2.79"/>
    <n v="30.81"/>
    <n v="0.76"/>
    <n v="82.92"/>
  </r>
  <r>
    <x v="1175"/>
    <n v="1356"/>
    <x v="0"/>
    <x v="0"/>
    <n v="17"/>
    <x v="546"/>
    <n v="10.68"/>
    <n v="32.33"/>
    <n v="0.91"/>
    <n v="333.99"/>
  </r>
  <r>
    <x v="1176"/>
    <n v="1356"/>
    <x v="0"/>
    <x v="0"/>
    <n v="14"/>
    <x v="574"/>
    <n v="10.83"/>
    <n v="31.03"/>
    <n v="0.98"/>
    <n v="343.72"/>
  </r>
  <r>
    <x v="1177"/>
    <n v="1356"/>
    <x v="0"/>
    <x v="1"/>
    <n v="8"/>
    <x v="286"/>
    <n v="2.65"/>
    <n v="33.270000000000003"/>
    <n v="0.8"/>
    <n v="85.79"/>
  </r>
  <r>
    <x v="1178"/>
    <n v="1356"/>
    <x v="0"/>
    <x v="1"/>
    <n v="13"/>
    <x v="303"/>
    <n v="2.75"/>
    <n v="32.409999999999997"/>
    <n v="0.81"/>
    <n v="81.099999999999994"/>
  </r>
  <r>
    <x v="1179"/>
    <n v="1356"/>
    <x v="0"/>
    <x v="0"/>
    <n v="15"/>
    <x v="83"/>
    <n v="11.86"/>
    <n v="41.5"/>
    <n v="0.97"/>
    <n v="411.5"/>
  </r>
  <r>
    <x v="1180"/>
    <n v="1356"/>
    <x v="0"/>
    <x v="0"/>
    <n v="13"/>
    <x v="240"/>
    <n v="11.56"/>
    <n v="36.479999999999997"/>
    <n v="1.05"/>
    <n v="379.86"/>
  </r>
  <r>
    <x v="1181"/>
    <n v="1356"/>
    <x v="0"/>
    <x v="1"/>
    <n v="27"/>
    <x v="345"/>
    <n v="2.68"/>
    <n v="33.43"/>
    <n v="0.82"/>
    <n v="88.01"/>
  </r>
  <r>
    <x v="1182"/>
    <n v="1356"/>
    <x v="0"/>
    <x v="1"/>
    <n v="43"/>
    <x v="506"/>
    <n v="3.03"/>
    <n v="32.51"/>
    <n v="0.79"/>
    <n v="87.33"/>
  </r>
  <r>
    <x v="1183"/>
    <n v="1356"/>
    <x v="0"/>
    <x v="0"/>
    <n v="35"/>
    <x v="84"/>
    <n v="11.71"/>
    <n v="31.44"/>
    <n v="0.98"/>
    <n v="390.79"/>
  </r>
  <r>
    <x v="1184"/>
    <n v="1356"/>
    <x v="0"/>
    <x v="0"/>
    <n v="14"/>
    <x v="309"/>
    <n v="11.93"/>
    <n v="37.119999999999997"/>
    <n v="0.95"/>
    <n v="398.3"/>
  </r>
  <r>
    <x v="1185"/>
    <n v="1356"/>
    <x v="0"/>
    <x v="0"/>
    <n v="14"/>
    <x v="148"/>
    <n v="11.77"/>
    <n v="33.42"/>
    <n v="1.07"/>
    <n v="383.78"/>
  </r>
  <r>
    <x v="1186"/>
    <n v="1356"/>
    <x v="0"/>
    <x v="1"/>
    <n v="14"/>
    <x v="178"/>
    <n v="2.93"/>
    <n v="29.03"/>
    <n v="0.78"/>
    <n v="81.75"/>
  </r>
  <r>
    <x v="1187"/>
    <n v="1356"/>
    <x v="0"/>
    <x v="1"/>
    <n v="51"/>
    <x v="143"/>
    <n v="2.87"/>
    <n v="28.89"/>
    <n v="0.8"/>
    <n v="78.27"/>
  </r>
  <r>
    <x v="1188"/>
    <n v="1356"/>
    <x v="0"/>
    <x v="1"/>
    <n v="11"/>
    <x v="11"/>
    <n v="2.75"/>
    <n v="31.99"/>
    <n v="0.82"/>
    <n v="94.73"/>
  </r>
  <r>
    <x v="1189"/>
    <n v="1356"/>
    <x v="0"/>
    <x v="0"/>
    <n v="94"/>
    <x v="352"/>
    <n v="9.26"/>
    <n v="32.25"/>
    <n v="0.94"/>
    <n v="242.18"/>
  </r>
  <r>
    <x v="1190"/>
    <n v="1356"/>
    <x v="0"/>
    <x v="0"/>
    <n v="21"/>
    <x v="415"/>
    <n v="11.63"/>
    <n v="26.86"/>
    <n v="1.1000000000000001"/>
    <n v="354.34"/>
  </r>
  <r>
    <x v="1191"/>
    <n v="1356"/>
    <x v="0"/>
    <x v="1"/>
    <n v="9"/>
    <x v="498"/>
    <n v="2.94"/>
    <n v="30.81"/>
    <n v="0.79"/>
    <n v="87.41"/>
  </r>
  <r>
    <x v="1192"/>
    <n v="1356"/>
    <x v="0"/>
    <x v="0"/>
    <n v="12"/>
    <x v="550"/>
    <n v="10.11"/>
    <n v="28.46"/>
    <n v="0.88"/>
    <n v="324.26"/>
  </r>
  <r>
    <x v="1193"/>
    <n v="1356"/>
    <x v="0"/>
    <x v="1"/>
    <n v="13"/>
    <x v="324"/>
    <n v="2.77"/>
    <n v="29.74"/>
    <n v="0.84"/>
    <n v="84.8"/>
  </r>
  <r>
    <x v="1194"/>
    <n v="1356"/>
    <x v="0"/>
    <x v="1"/>
    <n v="19"/>
    <x v="575"/>
    <n v="2.96"/>
    <n v="33.159999999999997"/>
    <n v="0.79"/>
    <n v="91.62"/>
  </r>
  <r>
    <x v="1195"/>
    <n v="1356"/>
    <x v="0"/>
    <x v="1"/>
    <n v="9"/>
    <x v="3"/>
    <n v="2.9"/>
    <n v="28.05"/>
    <n v="0.8"/>
    <n v="83.22"/>
  </r>
  <r>
    <x v="1196"/>
    <n v="1356"/>
    <x v="0"/>
    <x v="1"/>
    <n v="8"/>
    <x v="441"/>
    <n v="2.83"/>
    <n v="32.29"/>
    <n v="0.84"/>
    <n v="90.85"/>
  </r>
  <r>
    <x v="1197"/>
    <n v="1356"/>
    <x v="0"/>
    <x v="1"/>
    <n v="11"/>
    <x v="576"/>
    <n v="2.83"/>
    <n v="32.47"/>
    <n v="0.8"/>
    <n v="79.33"/>
  </r>
  <r>
    <x v="1198"/>
    <n v="1356"/>
    <x v="0"/>
    <x v="1"/>
    <n v="32"/>
    <x v="315"/>
    <n v="2.48"/>
    <n v="27.78"/>
    <n v="0.81"/>
    <n v="73.55"/>
  </r>
  <r>
    <x v="1199"/>
    <n v="1356"/>
    <x v="0"/>
    <x v="0"/>
    <n v="12"/>
    <x v="52"/>
    <n v="10.79"/>
    <n v="27.06"/>
    <n v="0.96"/>
    <n v="338.92"/>
  </r>
  <r>
    <x v="1200"/>
    <n v="1356"/>
    <x v="0"/>
    <x v="1"/>
    <n v="23"/>
    <x v="559"/>
    <n v="2.96"/>
    <n v="28.39"/>
    <n v="0.81"/>
    <n v="80.319999999999993"/>
  </r>
  <r>
    <x v="1201"/>
    <n v="1356"/>
    <x v="0"/>
    <x v="0"/>
    <n v="16"/>
    <x v="17"/>
    <n v="11.84"/>
    <n v="31.31"/>
    <n v="0.98"/>
    <n v="403.72"/>
  </r>
  <r>
    <x v="1202"/>
    <n v="1356"/>
    <x v="0"/>
    <x v="0"/>
    <n v="17"/>
    <x v="204"/>
    <n v="10.28"/>
    <n v="33.119999999999997"/>
    <n v="0.94"/>
    <n v="289.33999999999997"/>
  </r>
  <r>
    <x v="1203"/>
    <n v="1356"/>
    <x v="0"/>
    <x v="1"/>
    <n v="14"/>
    <x v="485"/>
    <n v="2.44"/>
    <n v="28.49"/>
    <n v="0.77"/>
    <n v="73.72"/>
  </r>
  <r>
    <x v="1204"/>
    <n v="1356"/>
    <x v="0"/>
    <x v="0"/>
    <n v="10"/>
    <x v="513"/>
    <n v="12.05"/>
    <n v="28.59"/>
    <n v="1"/>
    <n v="431.05"/>
  </r>
  <r>
    <x v="1205"/>
    <n v="1356"/>
    <x v="0"/>
    <x v="0"/>
    <n v="37"/>
    <x v="91"/>
    <n v="11.04"/>
    <n v="31.33"/>
    <n v="0.96"/>
    <n v="337.63"/>
  </r>
  <r>
    <x v="1206"/>
    <n v="1356"/>
    <x v="0"/>
    <x v="1"/>
    <n v="16"/>
    <x v="577"/>
    <n v="3.14"/>
    <n v="33.369999999999997"/>
    <n v="0.76"/>
    <n v="88.3"/>
  </r>
  <r>
    <x v="1207"/>
    <n v="1356"/>
    <x v="0"/>
    <x v="1"/>
    <n v="13"/>
    <x v="234"/>
    <n v="3.11"/>
    <n v="33.64"/>
    <n v="0.78"/>
    <n v="89.54"/>
  </r>
  <r>
    <x v="1208"/>
    <n v="1356"/>
    <x v="0"/>
    <x v="0"/>
    <n v="19"/>
    <x v="451"/>
    <n v="10.69"/>
    <n v="34.07"/>
    <n v="1.0900000000000001"/>
    <n v="365.24"/>
  </r>
  <r>
    <x v="1209"/>
    <n v="1356"/>
    <x v="0"/>
    <x v="1"/>
    <n v="16"/>
    <x v="578"/>
    <n v="3.29"/>
    <n v="29.01"/>
    <n v="0.78"/>
    <n v="95.78"/>
  </r>
  <r>
    <x v="1210"/>
    <n v="1356"/>
    <x v="0"/>
    <x v="0"/>
    <n v="19"/>
    <x v="411"/>
    <n v="10.63"/>
    <n v="33.65"/>
    <n v="0.94"/>
    <n v="340.29"/>
  </r>
  <r>
    <x v="1211"/>
    <n v="1356"/>
    <x v="0"/>
    <x v="1"/>
    <n v="32"/>
    <x v="579"/>
    <n v="2.46"/>
    <n v="31.6"/>
    <n v="0.79"/>
    <n v="68.489999999999995"/>
  </r>
  <r>
    <x v="1212"/>
    <n v="1356"/>
    <x v="0"/>
    <x v="1"/>
    <n v="14"/>
    <x v="580"/>
    <n v="2.72"/>
    <n v="31.04"/>
    <n v="0.8"/>
    <n v="82.07"/>
  </r>
  <r>
    <x v="1213"/>
    <n v="1356"/>
    <x v="0"/>
    <x v="0"/>
    <n v="12"/>
    <x v="581"/>
    <n v="11.23"/>
    <n v="33.79"/>
    <n v="0.96"/>
    <n v="368.35"/>
  </r>
  <r>
    <x v="1214"/>
    <n v="1356"/>
    <x v="0"/>
    <x v="0"/>
    <n v="20"/>
    <x v="33"/>
    <n v="12.27"/>
    <n v="29.04"/>
    <n v="1.17"/>
    <n v="407.29"/>
  </r>
  <r>
    <x v="1215"/>
    <n v="1356"/>
    <x v="0"/>
    <x v="1"/>
    <n v="12"/>
    <x v="426"/>
    <n v="2.92"/>
    <n v="29.69"/>
    <n v="0.75"/>
    <n v="87.65"/>
  </r>
  <r>
    <x v="1216"/>
    <n v="1356"/>
    <x v="0"/>
    <x v="1"/>
    <n v="45"/>
    <x v="285"/>
    <n v="3.13"/>
    <n v="30.47"/>
    <n v="0.79"/>
    <n v="90.48"/>
  </r>
  <r>
    <x v="1217"/>
    <n v="1356"/>
    <x v="0"/>
    <x v="1"/>
    <n v="14"/>
    <x v="77"/>
    <n v="2.82"/>
    <n v="31.2"/>
    <n v="0.8"/>
    <n v="84.65"/>
  </r>
  <r>
    <x v="1218"/>
    <n v="1356"/>
    <x v="0"/>
    <x v="1"/>
    <n v="16"/>
    <x v="135"/>
    <n v="2.78"/>
    <n v="33.82"/>
    <n v="0.8"/>
    <n v="85.38"/>
  </r>
  <r>
    <x v="1219"/>
    <n v="1356"/>
    <x v="0"/>
    <x v="1"/>
    <n v="36"/>
    <x v="198"/>
    <n v="3"/>
    <n v="34.78"/>
    <n v="0.73"/>
    <n v="85.02"/>
  </r>
  <r>
    <x v="1220"/>
    <n v="1356"/>
    <x v="0"/>
    <x v="0"/>
    <n v="12"/>
    <x v="582"/>
    <n v="11.87"/>
    <n v="33.15"/>
    <n v="0.99"/>
    <n v="408.78"/>
  </r>
  <r>
    <x v="1221"/>
    <n v="1356"/>
    <x v="0"/>
    <x v="1"/>
    <n v="24"/>
    <x v="583"/>
    <n v="3.08"/>
    <n v="31.87"/>
    <n v="0.81"/>
    <n v="95.9"/>
  </r>
  <r>
    <x v="1222"/>
    <n v="1356"/>
    <x v="0"/>
    <x v="1"/>
    <n v="15"/>
    <x v="575"/>
    <n v="2.5099999999999998"/>
    <n v="30.69"/>
    <n v="0.81"/>
    <n v="80.599999999999994"/>
  </r>
  <r>
    <x v="1223"/>
    <n v="1356"/>
    <x v="0"/>
    <x v="0"/>
    <n v="13"/>
    <x v="295"/>
    <n v="10.89"/>
    <n v="29.05"/>
    <n v="0.93"/>
    <n v="351.59"/>
  </r>
  <r>
    <x v="1224"/>
    <n v="1356"/>
    <x v="0"/>
    <x v="0"/>
    <n v="9"/>
    <x v="318"/>
    <n v="12.12"/>
    <n v="30.62"/>
    <n v="1.05"/>
    <n v="395.76"/>
  </r>
  <r>
    <x v="1225"/>
    <n v="1356"/>
    <x v="0"/>
    <x v="1"/>
    <n v="48"/>
    <x v="521"/>
    <n v="2.75"/>
    <n v="32.15"/>
    <n v="0.76"/>
    <n v="81.44"/>
  </r>
  <r>
    <x v="1226"/>
    <n v="1356"/>
    <x v="0"/>
    <x v="1"/>
    <n v="13"/>
    <x v="517"/>
    <n v="3"/>
    <n v="34.409999999999997"/>
    <n v="0.8"/>
    <n v="83.39"/>
  </r>
  <r>
    <x v="1227"/>
    <n v="1356"/>
    <x v="0"/>
    <x v="0"/>
    <n v="16"/>
    <x v="470"/>
    <n v="11.11"/>
    <n v="36.26"/>
    <n v="1.03"/>
    <n v="378.93"/>
  </r>
  <r>
    <x v="1228"/>
    <n v="1356"/>
    <x v="0"/>
    <x v="1"/>
    <n v="17"/>
    <x v="245"/>
    <n v="2.71"/>
    <n v="30.95"/>
    <n v="0.79"/>
    <n v="82.64"/>
  </r>
  <r>
    <x v="1229"/>
    <n v="1356"/>
    <x v="0"/>
    <x v="1"/>
    <n v="12"/>
    <x v="325"/>
    <n v="2.6"/>
    <n v="30.09"/>
    <n v="0.8"/>
    <n v="81.709999999999994"/>
  </r>
  <r>
    <x v="1230"/>
    <n v="1356"/>
    <x v="0"/>
    <x v="0"/>
    <n v="12"/>
    <x v="211"/>
    <n v="10.88"/>
    <n v="30.25"/>
    <n v="0.97"/>
    <n v="356.82"/>
  </r>
  <r>
    <x v="1231"/>
    <n v="1356"/>
    <x v="0"/>
    <x v="0"/>
    <n v="22"/>
    <x v="38"/>
    <n v="10.039999999999999"/>
    <n v="31.49"/>
    <n v="0.99"/>
    <n v="319.95999999999998"/>
  </r>
  <r>
    <x v="1232"/>
    <n v="1356"/>
    <x v="0"/>
    <x v="1"/>
    <n v="12"/>
    <x v="22"/>
    <n v="2.85"/>
    <n v="27.11"/>
    <n v="0.79"/>
    <n v="85.12"/>
  </r>
  <r>
    <x v="1233"/>
    <n v="1356"/>
    <x v="0"/>
    <x v="1"/>
    <n v="15"/>
    <x v="584"/>
    <n v="2.77"/>
    <n v="37.200000000000003"/>
    <n v="0.79"/>
    <n v="99.32"/>
  </r>
  <r>
    <x v="1234"/>
    <n v="1356"/>
    <x v="0"/>
    <x v="0"/>
    <n v="15"/>
    <x v="585"/>
    <n v="11.43"/>
    <n v="28.73"/>
    <n v="0.96"/>
    <n v="339.88"/>
  </r>
  <r>
    <x v="1235"/>
    <n v="1356"/>
    <x v="0"/>
    <x v="1"/>
    <n v="17"/>
    <x v="112"/>
    <n v="3.06"/>
    <n v="31.5"/>
    <n v="0.78"/>
    <n v="89.63"/>
  </r>
  <r>
    <x v="1236"/>
    <n v="1356"/>
    <x v="0"/>
    <x v="0"/>
    <n v="16"/>
    <x v="128"/>
    <n v="11.11"/>
    <n v="30.18"/>
    <n v="0.97"/>
    <n v="352.8"/>
  </r>
  <r>
    <x v="1237"/>
    <n v="1356"/>
    <x v="0"/>
    <x v="0"/>
    <n v="19"/>
    <x v="586"/>
    <n v="10.67"/>
    <n v="30.84"/>
    <n v="0.92"/>
    <n v="303.26"/>
  </r>
  <r>
    <x v="1238"/>
    <n v="1356"/>
    <x v="0"/>
    <x v="1"/>
    <n v="11"/>
    <x v="539"/>
    <n v="2.79"/>
    <n v="30.99"/>
    <n v="0.8"/>
    <n v="89.61"/>
  </r>
  <r>
    <x v="1239"/>
    <n v="1356"/>
    <x v="0"/>
    <x v="1"/>
    <n v="16"/>
    <x v="587"/>
    <n v="3.07"/>
    <n v="31.7"/>
    <n v="0.8"/>
    <n v="86.99"/>
  </r>
  <r>
    <x v="1240"/>
    <n v="1356"/>
    <x v="0"/>
    <x v="0"/>
    <n v="12"/>
    <x v="328"/>
    <n v="12.48"/>
    <n v="29.37"/>
    <n v="1.01"/>
    <n v="401.2"/>
  </r>
  <r>
    <x v="1241"/>
    <n v="1356"/>
    <x v="0"/>
    <x v="1"/>
    <n v="12"/>
    <x v="77"/>
    <n v="2.95"/>
    <n v="33.69"/>
    <n v="0.78"/>
    <n v="88.74"/>
  </r>
  <r>
    <x v="1242"/>
    <n v="1356"/>
    <x v="0"/>
    <x v="1"/>
    <n v="12"/>
    <x v="311"/>
    <n v="2.9"/>
    <n v="31.08"/>
    <n v="0.79"/>
    <n v="85.74"/>
  </r>
  <r>
    <x v="1243"/>
    <n v="1356"/>
    <x v="0"/>
    <x v="1"/>
    <n v="9"/>
    <x v="439"/>
    <n v="2.92"/>
    <n v="32"/>
    <n v="0.78"/>
    <n v="81.3"/>
  </r>
  <r>
    <x v="1244"/>
    <n v="1356"/>
    <x v="0"/>
    <x v="1"/>
    <n v="15"/>
    <x v="253"/>
    <n v="2.98"/>
    <n v="29"/>
    <n v="0.83"/>
    <n v="89.09"/>
  </r>
  <r>
    <x v="1245"/>
    <n v="1356"/>
    <x v="0"/>
    <x v="1"/>
    <n v="10"/>
    <x v="45"/>
    <n v="2.9"/>
    <n v="32.81"/>
    <n v="0.77"/>
    <n v="83.02"/>
  </r>
  <r>
    <x v="1246"/>
    <n v="1356"/>
    <x v="0"/>
    <x v="1"/>
    <n v="54"/>
    <x v="286"/>
    <n v="2.95"/>
    <n v="32.950000000000003"/>
    <n v="0.79"/>
    <n v="91.55"/>
  </r>
  <r>
    <x v="1247"/>
    <n v="1356"/>
    <x v="0"/>
    <x v="0"/>
    <n v="65"/>
    <x v="588"/>
    <n v="10.51"/>
    <n v="28.8"/>
    <n v="0.98"/>
    <n v="345.48"/>
  </r>
  <r>
    <x v="1248"/>
    <n v="1356"/>
    <x v="0"/>
    <x v="1"/>
    <n v="12"/>
    <x v="557"/>
    <n v="2.84"/>
    <n v="31.39"/>
    <n v="0.78"/>
    <n v="82.74"/>
  </r>
  <r>
    <x v="1249"/>
    <n v="1356"/>
    <x v="0"/>
    <x v="1"/>
    <n v="43"/>
    <x v="278"/>
    <n v="2.98"/>
    <n v="28.97"/>
    <n v="0.8"/>
    <n v="84.7"/>
  </r>
  <r>
    <x v="1250"/>
    <n v="1356"/>
    <x v="0"/>
    <x v="0"/>
    <n v="9"/>
    <x v="73"/>
    <n v="11.11"/>
    <n v="27.54"/>
    <n v="0.92"/>
    <n v="358.19"/>
  </r>
  <r>
    <x v="1251"/>
    <n v="1356"/>
    <x v="0"/>
    <x v="0"/>
    <n v="11"/>
    <x v="176"/>
    <n v="11.21"/>
    <n v="29.8"/>
    <n v="0.98"/>
    <n v="361.08"/>
  </r>
  <r>
    <x v="1252"/>
    <n v="1356"/>
    <x v="0"/>
    <x v="0"/>
    <n v="15"/>
    <x v="589"/>
    <n v="10.64"/>
    <n v="28.55"/>
    <n v="0.98"/>
    <n v="373.42"/>
  </r>
  <r>
    <x v="1253"/>
    <n v="1356"/>
    <x v="0"/>
    <x v="1"/>
    <n v="9"/>
    <x v="590"/>
    <n v="2.94"/>
    <n v="28.33"/>
    <n v="0.83"/>
    <n v="92"/>
  </r>
  <r>
    <x v="1254"/>
    <n v="1356"/>
    <x v="0"/>
    <x v="0"/>
    <n v="11"/>
    <x v="494"/>
    <n v="11.07"/>
    <n v="28.84"/>
    <n v="1.03"/>
    <n v="358.09"/>
  </r>
  <r>
    <x v="1255"/>
    <n v="1356"/>
    <x v="0"/>
    <x v="1"/>
    <n v="27"/>
    <x v="311"/>
    <n v="2.95"/>
    <n v="27.94"/>
    <n v="0.79"/>
    <n v="84.03"/>
  </r>
  <r>
    <x v="1256"/>
    <n v="1356"/>
    <x v="0"/>
    <x v="0"/>
    <n v="16"/>
    <x v="346"/>
    <n v="10.31"/>
    <n v="31.38"/>
    <n v="0.97"/>
    <n v="332.36"/>
  </r>
  <r>
    <x v="1257"/>
    <n v="1356"/>
    <x v="0"/>
    <x v="1"/>
    <n v="11"/>
    <x v="560"/>
    <n v="3.08"/>
    <n v="31.25"/>
    <n v="0.8"/>
    <n v="91.96"/>
  </r>
  <r>
    <x v="1258"/>
    <n v="1356"/>
    <x v="0"/>
    <x v="0"/>
    <n v="11"/>
    <x v="391"/>
    <n v="10.3"/>
    <n v="37.67"/>
    <n v="1"/>
    <n v="347.42"/>
  </r>
  <r>
    <x v="1259"/>
    <n v="1356"/>
    <x v="0"/>
    <x v="1"/>
    <n v="20"/>
    <x v="344"/>
    <n v="2.92"/>
    <n v="28.2"/>
    <n v="0.79"/>
    <n v="83.37"/>
  </r>
  <r>
    <x v="1260"/>
    <n v="1356"/>
    <x v="0"/>
    <x v="0"/>
    <n v="16"/>
    <x v="483"/>
    <n v="11.61"/>
    <n v="26.93"/>
    <n v="0.87"/>
    <n v="348.58"/>
  </r>
  <r>
    <x v="1261"/>
    <n v="1356"/>
    <x v="0"/>
    <x v="1"/>
    <n v="15"/>
    <x v="548"/>
    <n v="2.93"/>
    <n v="30.56"/>
    <n v="0.78"/>
    <n v="90.12"/>
  </r>
  <r>
    <x v="1262"/>
    <n v="1356"/>
    <x v="0"/>
    <x v="1"/>
    <n v="8"/>
    <x v="520"/>
    <n v="3.01"/>
    <n v="25.83"/>
    <n v="0.82"/>
    <n v="74.53"/>
  </r>
  <r>
    <x v="1263"/>
    <n v="1356"/>
    <x v="0"/>
    <x v="1"/>
    <n v="17"/>
    <x v="591"/>
    <n v="2.88"/>
    <n v="29.04"/>
    <n v="0.83"/>
    <n v="92.13"/>
  </r>
  <r>
    <x v="1264"/>
    <n v="1356"/>
    <x v="0"/>
    <x v="1"/>
    <n v="17"/>
    <x v="592"/>
    <n v="3.13"/>
    <n v="33.130000000000003"/>
    <n v="0.79"/>
    <n v="74.69"/>
  </r>
  <r>
    <x v="1265"/>
    <n v="1356"/>
    <x v="0"/>
    <x v="0"/>
    <n v="8"/>
    <x v="593"/>
    <n v="11.36"/>
    <n v="28.83"/>
    <n v="1.01"/>
    <n v="355.21"/>
  </r>
  <r>
    <x v="1266"/>
    <n v="1356"/>
    <x v="0"/>
    <x v="0"/>
    <n v="14"/>
    <x v="411"/>
    <n v="11.11"/>
    <n v="36.64"/>
    <n v="1.04"/>
    <n v="361.66"/>
  </r>
  <r>
    <x v="1267"/>
    <n v="1356"/>
    <x v="0"/>
    <x v="0"/>
    <n v="15"/>
    <x v="594"/>
    <n v="11.39"/>
    <n v="31.9"/>
    <n v="1.02"/>
    <n v="396.55"/>
  </r>
  <r>
    <x v="1268"/>
    <n v="1356"/>
    <x v="0"/>
    <x v="0"/>
    <n v="13"/>
    <x v="179"/>
    <n v="10.93"/>
    <n v="32.74"/>
    <n v="0.96"/>
    <n v="344.52"/>
  </r>
  <r>
    <x v="1269"/>
    <n v="1356"/>
    <x v="0"/>
    <x v="1"/>
    <n v="14"/>
    <x v="595"/>
    <n v="3.15"/>
    <n v="30.4"/>
    <n v="0.8"/>
    <n v="99.73"/>
  </r>
  <r>
    <x v="1270"/>
    <n v="1356"/>
    <x v="0"/>
    <x v="1"/>
    <n v="18"/>
    <x v="305"/>
    <n v="3.03"/>
    <n v="25.79"/>
    <n v="0.81"/>
    <n v="83.72"/>
  </r>
  <r>
    <x v="1271"/>
    <n v="1356"/>
    <x v="0"/>
    <x v="1"/>
    <n v="27"/>
    <x v="135"/>
    <n v="2.71"/>
    <n v="31.63"/>
    <n v="0.78"/>
    <n v="81.36"/>
  </r>
  <r>
    <x v="1272"/>
    <n v="1356"/>
    <x v="0"/>
    <x v="0"/>
    <n v="11"/>
    <x v="39"/>
    <n v="12.05"/>
    <n v="31.22"/>
    <n v="1.1200000000000001"/>
    <n v="396.51"/>
  </r>
  <r>
    <x v="1273"/>
    <n v="1356"/>
    <x v="0"/>
    <x v="1"/>
    <n v="12"/>
    <x v="305"/>
    <n v="2.97"/>
    <n v="35.4"/>
    <n v="0.77"/>
    <n v="89.52"/>
  </r>
  <r>
    <x v="1274"/>
    <n v="1356"/>
    <x v="0"/>
    <x v="1"/>
    <n v="14"/>
    <x v="264"/>
    <n v="2.66"/>
    <n v="28.01"/>
    <n v="0.81"/>
    <n v="78.69"/>
  </r>
  <r>
    <x v="1275"/>
    <n v="1356"/>
    <x v="0"/>
    <x v="1"/>
    <n v="16"/>
    <x v="30"/>
    <n v="2.84"/>
    <n v="35.86"/>
    <n v="0.82"/>
    <n v="82.39"/>
  </r>
  <r>
    <x v="1276"/>
    <n v="1356"/>
    <x v="0"/>
    <x v="0"/>
    <n v="11"/>
    <x v="424"/>
    <n v="10.75"/>
    <n v="25.67"/>
    <n v="0.99"/>
    <n v="342.22"/>
  </r>
  <r>
    <x v="1277"/>
    <n v="1356"/>
    <x v="0"/>
    <x v="0"/>
    <n v="100"/>
    <x v="316"/>
    <n v="11.53"/>
    <n v="26.04"/>
    <n v="0.99"/>
    <n v="285.02"/>
  </r>
  <r>
    <x v="1278"/>
    <n v="1356"/>
    <x v="0"/>
    <x v="1"/>
    <n v="18"/>
    <x v="543"/>
    <n v="2.76"/>
    <n v="31.66"/>
    <n v="0.79"/>
    <n v="85.84"/>
  </r>
  <r>
    <x v="1279"/>
    <n v="1356"/>
    <x v="0"/>
    <x v="0"/>
    <n v="169"/>
    <x v="596"/>
    <n v="10.46"/>
    <n v="33.71"/>
    <n v="0.99"/>
    <n v="321.49"/>
  </r>
  <r>
    <x v="1280"/>
    <n v="1356"/>
    <x v="0"/>
    <x v="1"/>
    <n v="11"/>
    <x v="335"/>
    <n v="3.07"/>
    <n v="35.5"/>
    <n v="0.8"/>
    <n v="92.03"/>
  </r>
  <r>
    <x v="1281"/>
    <n v="1356"/>
    <x v="0"/>
    <x v="1"/>
    <n v="16"/>
    <x v="101"/>
    <n v="3.07"/>
    <n v="28.91"/>
    <n v="0.82"/>
    <n v="91.42"/>
  </r>
  <r>
    <x v="1282"/>
    <n v="1356"/>
    <x v="0"/>
    <x v="0"/>
    <n v="14"/>
    <x v="504"/>
    <n v="10.82"/>
    <n v="24.53"/>
    <n v="0.99"/>
    <n v="358.36"/>
  </r>
  <r>
    <x v="1283"/>
    <n v="1356"/>
    <x v="0"/>
    <x v="1"/>
    <n v="29"/>
    <x v="597"/>
    <n v="3.17"/>
    <n v="27.38"/>
    <n v="0.78"/>
    <n v="96.5"/>
  </r>
  <r>
    <x v="1284"/>
    <n v="1356"/>
    <x v="0"/>
    <x v="0"/>
    <n v="8"/>
    <x v="330"/>
    <n v="10.41"/>
    <n v="30.12"/>
    <n v="1.03"/>
    <n v="335.47"/>
  </r>
  <r>
    <x v="1285"/>
    <n v="1356"/>
    <x v="0"/>
    <x v="0"/>
    <n v="22"/>
    <x v="158"/>
    <n v="10.7"/>
    <n v="28.33"/>
    <n v="0.95"/>
    <n v="339.53"/>
  </r>
  <r>
    <x v="1286"/>
    <n v="1356"/>
    <x v="0"/>
    <x v="1"/>
    <n v="9"/>
    <x v="365"/>
    <n v="2.65"/>
    <n v="34.07"/>
    <n v="0.77"/>
    <n v="79.760000000000005"/>
  </r>
  <r>
    <x v="1287"/>
    <n v="1356"/>
    <x v="0"/>
    <x v="1"/>
    <n v="37"/>
    <x v="598"/>
    <n v="2.62"/>
    <n v="33.1"/>
    <n v="0.81"/>
    <n v="89.29"/>
  </r>
  <r>
    <x v="1288"/>
    <n v="1356"/>
    <x v="0"/>
    <x v="0"/>
    <n v="12"/>
    <x v="526"/>
    <n v="10.76"/>
    <n v="39.049999999999997"/>
    <n v="0.97"/>
    <n v="333.81"/>
  </r>
  <r>
    <x v="1289"/>
    <n v="1356"/>
    <x v="0"/>
    <x v="1"/>
    <n v="10"/>
    <x v="389"/>
    <n v="2.6"/>
    <n v="28.31"/>
    <n v="0.8"/>
    <n v="77.290000000000006"/>
  </r>
  <r>
    <x v="1290"/>
    <n v="1356"/>
    <x v="0"/>
    <x v="1"/>
    <n v="15"/>
    <x v="493"/>
    <n v="2.87"/>
    <n v="32.340000000000003"/>
    <n v="0.79"/>
    <n v="90.77"/>
  </r>
  <r>
    <x v="1291"/>
    <n v="1356"/>
    <x v="0"/>
    <x v="0"/>
    <n v="22"/>
    <x v="599"/>
    <n v="10.050000000000001"/>
    <n v="31.24"/>
    <n v="0.93"/>
    <n v="298.88"/>
  </r>
  <r>
    <x v="1292"/>
    <n v="1356"/>
    <x v="0"/>
    <x v="1"/>
    <n v="18"/>
    <x v="224"/>
    <n v="2.93"/>
    <n v="28.45"/>
    <n v="0.83"/>
    <n v="79.150000000000006"/>
  </r>
  <r>
    <x v="1293"/>
    <n v="1356"/>
    <x v="0"/>
    <x v="0"/>
    <n v="15"/>
    <x v="240"/>
    <n v="11.32"/>
    <n v="33"/>
    <n v="1"/>
    <n v="366.61"/>
  </r>
  <r>
    <x v="1294"/>
    <n v="1357"/>
    <x v="3"/>
    <x v="0"/>
    <n v="13"/>
    <x v="522"/>
    <n v="11.61"/>
    <n v="25.25"/>
    <n v="0.94"/>
    <n v="350.16"/>
  </r>
  <r>
    <x v="1295"/>
    <n v="1357"/>
    <x v="3"/>
    <x v="1"/>
    <n v="14"/>
    <x v="600"/>
    <n v="3.1"/>
    <n v="30.97"/>
    <n v="0.82"/>
    <n v="83.73"/>
  </r>
  <r>
    <x v="1296"/>
    <n v="1357"/>
    <x v="3"/>
    <x v="0"/>
    <n v="56"/>
    <x v="574"/>
    <n v="10.08"/>
    <n v="35.57"/>
    <n v="0.92"/>
    <n v="325.18"/>
  </r>
  <r>
    <x v="1297"/>
    <n v="1357"/>
    <x v="3"/>
    <x v="1"/>
    <n v="11"/>
    <x v="539"/>
    <n v="3.3"/>
    <n v="26.38"/>
    <n v="0.84"/>
    <n v="98.11"/>
  </r>
  <r>
    <x v="1298"/>
    <n v="1357"/>
    <x v="3"/>
    <x v="1"/>
    <n v="15"/>
    <x v="521"/>
    <n v="2.7"/>
    <n v="29.25"/>
    <n v="0.8"/>
    <n v="79.31"/>
  </r>
  <r>
    <x v="1299"/>
    <n v="1357"/>
    <x v="3"/>
    <x v="0"/>
    <n v="17"/>
    <x v="15"/>
    <n v="11.45"/>
    <n v="32.729999999999997"/>
    <n v="1.03"/>
    <n v="367.13"/>
  </r>
  <r>
    <x v="1300"/>
    <n v="1357"/>
    <x v="3"/>
    <x v="0"/>
    <n v="11"/>
    <x v="71"/>
    <n v="10.68"/>
    <n v="22.11"/>
    <n v="0.99"/>
    <n v="321.85000000000002"/>
  </r>
  <r>
    <x v="1301"/>
    <n v="1358"/>
    <x v="0"/>
    <x v="0"/>
    <n v="11"/>
    <x v="371"/>
    <n v="12.32"/>
    <n v="35.56"/>
    <n v="1.01"/>
    <n v="414.57"/>
  </r>
  <r>
    <x v="1302"/>
    <n v="1358"/>
    <x v="0"/>
    <x v="0"/>
    <n v="10"/>
    <x v="292"/>
    <n v="10.55"/>
    <n v="30.99"/>
    <n v="1"/>
    <n v="346.5"/>
  </r>
  <r>
    <x v="1303"/>
    <n v="1358"/>
    <x v="0"/>
    <x v="0"/>
    <n v="15"/>
    <x v="78"/>
    <n v="10.91"/>
    <n v="35.67"/>
    <n v="1.08"/>
    <n v="349.8"/>
  </r>
  <r>
    <x v="1304"/>
    <n v="1358"/>
    <x v="0"/>
    <x v="1"/>
    <n v="16"/>
    <x v="562"/>
    <n v="3.04"/>
    <n v="24.46"/>
    <n v="0.79"/>
    <n v="89.43"/>
  </r>
  <r>
    <x v="1305"/>
    <n v="1358"/>
    <x v="0"/>
    <x v="0"/>
    <n v="13"/>
    <x v="601"/>
    <n v="11.15"/>
    <n v="29.81"/>
    <n v="1.1100000000000001"/>
    <n v="402.44"/>
  </r>
  <r>
    <x v="1306"/>
    <n v="1358"/>
    <x v="0"/>
    <x v="1"/>
    <n v="15"/>
    <x v="602"/>
    <n v="2.83"/>
    <n v="33.93"/>
    <n v="0.81"/>
    <n v="76.8"/>
  </r>
  <r>
    <x v="1307"/>
    <n v="1358"/>
    <x v="0"/>
    <x v="1"/>
    <n v="13"/>
    <x v="603"/>
    <n v="2.6"/>
    <n v="30.45"/>
    <n v="0.79"/>
    <n v="75.400000000000006"/>
  </r>
  <r>
    <x v="1308"/>
    <n v="1358"/>
    <x v="0"/>
    <x v="1"/>
    <n v="18"/>
    <x v="604"/>
    <n v="2.74"/>
    <n v="29.77"/>
    <n v="0.8"/>
    <n v="86.36"/>
  </r>
  <r>
    <x v="1309"/>
    <n v="1358"/>
    <x v="0"/>
    <x v="1"/>
    <n v="14"/>
    <x v="30"/>
    <n v="2.89"/>
    <n v="32.18"/>
    <n v="0.8"/>
    <n v="89.51"/>
  </r>
  <r>
    <x v="1310"/>
    <n v="1358"/>
    <x v="0"/>
    <x v="1"/>
    <n v="19"/>
    <x v="605"/>
    <n v="2.78"/>
    <n v="32.75"/>
    <n v="0.81"/>
    <n v="86.75"/>
  </r>
  <r>
    <x v="1311"/>
    <n v="1358"/>
    <x v="0"/>
    <x v="1"/>
    <n v="17"/>
    <x v="606"/>
    <n v="3"/>
    <n v="27.82"/>
    <n v="0.76"/>
    <n v="81.58"/>
  </r>
  <r>
    <x v="1312"/>
    <n v="1358"/>
    <x v="0"/>
    <x v="1"/>
    <n v="13"/>
    <x v="300"/>
    <n v="3.1"/>
    <n v="31.59"/>
    <n v="0.79"/>
    <n v="87.21"/>
  </r>
  <r>
    <x v="1313"/>
    <n v="1358"/>
    <x v="0"/>
    <x v="1"/>
    <n v="10"/>
    <x v="140"/>
    <n v="2.86"/>
    <n v="34.799999999999997"/>
    <n v="0.84"/>
    <n v="80.569999999999993"/>
  </r>
  <r>
    <x v="1314"/>
    <n v="1358"/>
    <x v="0"/>
    <x v="1"/>
    <n v="18"/>
    <x v="104"/>
    <n v="2.84"/>
    <n v="27.3"/>
    <n v="0.82"/>
    <n v="74.260000000000005"/>
  </r>
  <r>
    <x v="1315"/>
    <n v="1359"/>
    <x v="3"/>
    <x v="1"/>
    <n v="23"/>
    <x v="24"/>
    <n v="2.91"/>
    <n v="33.25"/>
    <n v="0.81"/>
    <n v="98.45"/>
  </r>
  <r>
    <x v="1316"/>
    <n v="1359"/>
    <x v="3"/>
    <x v="0"/>
    <n v="21"/>
    <x v="106"/>
    <n v="11.41"/>
    <n v="28.15"/>
    <n v="1.01"/>
    <n v="357.33"/>
  </r>
  <r>
    <x v="1317"/>
    <n v="1359"/>
    <x v="3"/>
    <x v="0"/>
    <n v="16"/>
    <x v="553"/>
    <n v="10.25"/>
    <n v="31.53"/>
    <n v="1.01"/>
    <n v="323.16000000000003"/>
  </r>
  <r>
    <x v="1318"/>
    <n v="1359"/>
    <x v="3"/>
    <x v="0"/>
    <n v="22"/>
    <x v="163"/>
    <n v="11.12"/>
    <n v="30.1"/>
    <n v="0.91"/>
    <n v="356.96"/>
  </r>
  <r>
    <x v="1319"/>
    <n v="1359"/>
    <x v="3"/>
    <x v="1"/>
    <n v="16"/>
    <x v="178"/>
    <n v="3.05"/>
    <n v="30.12"/>
    <n v="0.83"/>
    <n v="86.67"/>
  </r>
  <r>
    <x v="1320"/>
    <n v="1359"/>
    <x v="3"/>
    <x v="0"/>
    <n v="14"/>
    <x v="38"/>
    <n v="12.64"/>
    <n v="28.63"/>
    <n v="1.02"/>
    <n v="322.20999999999998"/>
  </r>
  <r>
    <x v="1321"/>
    <n v="1359"/>
    <x v="3"/>
    <x v="1"/>
    <n v="18"/>
    <x v="380"/>
    <n v="2.89"/>
    <n v="31.65"/>
    <n v="0.79"/>
    <n v="81.98"/>
  </r>
  <r>
    <x v="1322"/>
    <n v="1359"/>
    <x v="3"/>
    <x v="1"/>
    <n v="12"/>
    <x v="421"/>
    <n v="2.54"/>
    <n v="29.23"/>
    <n v="0.78"/>
    <n v="76.73"/>
  </r>
  <r>
    <x v="1323"/>
    <n v="1359"/>
    <x v="3"/>
    <x v="0"/>
    <n v="11"/>
    <x v="607"/>
    <n v="12.38"/>
    <n v="28.59"/>
    <n v="1.07"/>
    <n v="409.86"/>
  </r>
  <r>
    <x v="1324"/>
    <n v="1359"/>
    <x v="3"/>
    <x v="0"/>
    <n v="9"/>
    <x v="200"/>
    <n v="11.78"/>
    <n v="35.74"/>
    <n v="0.94"/>
    <n v="392.89"/>
  </r>
  <r>
    <x v="1325"/>
    <n v="1359"/>
    <x v="3"/>
    <x v="0"/>
    <n v="43"/>
    <x v="254"/>
    <n v="11.48"/>
    <n v="35.229999999999997"/>
    <n v="0.99"/>
    <n v="309.14999999999998"/>
  </r>
  <r>
    <x v="1326"/>
    <n v="1360"/>
    <x v="2"/>
    <x v="0"/>
    <n v="37"/>
    <x v="69"/>
    <n v="10.32"/>
    <n v="37.74"/>
    <n v="0.93"/>
    <n v="279.3"/>
  </r>
  <r>
    <x v="1327"/>
    <n v="1360"/>
    <x v="2"/>
    <x v="1"/>
    <n v="12"/>
    <x v="265"/>
    <n v="2.8"/>
    <n v="33.47"/>
    <n v="0.82"/>
    <n v="86.13"/>
  </r>
  <r>
    <x v="1328"/>
    <n v="1360"/>
    <x v="2"/>
    <x v="1"/>
    <n v="15"/>
    <x v="253"/>
    <n v="2.38"/>
    <n v="28.67"/>
    <n v="0.85"/>
    <n v="76.81"/>
  </r>
  <r>
    <x v="1329"/>
    <n v="1360"/>
    <x v="2"/>
    <x v="0"/>
    <n v="12"/>
    <x v="242"/>
    <n v="10.17"/>
    <n v="32.79"/>
    <n v="0.95"/>
    <n v="361.71"/>
  </r>
  <r>
    <x v="1330"/>
    <n v="1360"/>
    <x v="2"/>
    <x v="0"/>
    <n v="10"/>
    <x v="318"/>
    <n v="10.51"/>
    <n v="31.28"/>
    <n v="0.97"/>
    <n v="346.12"/>
  </r>
  <r>
    <x v="1331"/>
    <n v="1360"/>
    <x v="2"/>
    <x v="0"/>
    <n v="11"/>
    <x v="608"/>
    <n v="10.46"/>
    <n v="26.39"/>
    <n v="1.07"/>
    <n v="329.23"/>
  </r>
  <r>
    <x v="1332"/>
    <n v="1360"/>
    <x v="2"/>
    <x v="0"/>
    <n v="11"/>
    <x v="609"/>
    <n v="11.68"/>
    <n v="31.98"/>
    <n v="0.98"/>
    <n v="393.29"/>
  </r>
  <r>
    <x v="1333"/>
    <n v="1360"/>
    <x v="2"/>
    <x v="1"/>
    <n v="13"/>
    <x v="610"/>
    <n v="2.76"/>
    <n v="30.81"/>
    <n v="0.78"/>
    <n v="76.260000000000005"/>
  </r>
  <r>
    <x v="1334"/>
    <n v="1361"/>
    <x v="3"/>
    <x v="0"/>
    <n v="14"/>
    <x v="415"/>
    <n v="11.84"/>
    <n v="31.23"/>
    <n v="0.98"/>
    <n v="361.36"/>
  </r>
  <r>
    <x v="1335"/>
    <n v="1361"/>
    <x v="3"/>
    <x v="1"/>
    <n v="13"/>
    <x v="611"/>
    <n v="2.65"/>
    <n v="32.380000000000003"/>
    <n v="0.79"/>
    <n v="76.78"/>
  </r>
  <r>
    <x v="1336"/>
    <n v="1361"/>
    <x v="3"/>
    <x v="0"/>
    <n v="13"/>
    <x v="292"/>
    <n v="11.45"/>
    <n v="28.75"/>
    <n v="1.08"/>
    <n v="372.99"/>
  </r>
  <r>
    <x v="1337"/>
    <n v="1361"/>
    <x v="3"/>
    <x v="0"/>
    <n v="16"/>
    <x v="339"/>
    <n v="10.92"/>
    <n v="32.840000000000003"/>
    <n v="1.07"/>
    <n v="370.75"/>
  </r>
  <r>
    <x v="1338"/>
    <n v="1361"/>
    <x v="3"/>
    <x v="1"/>
    <n v="13"/>
    <x v="298"/>
    <n v="2.96"/>
    <n v="29.29"/>
    <n v="0.81"/>
    <n v="80.72"/>
  </r>
  <r>
    <x v="1339"/>
    <n v="1361"/>
    <x v="3"/>
    <x v="1"/>
    <n v="22"/>
    <x v="229"/>
    <n v="2.56"/>
    <n v="29.79"/>
    <n v="0.78"/>
    <n v="74.45"/>
  </r>
  <r>
    <x v="1340"/>
    <n v="1361"/>
    <x v="3"/>
    <x v="0"/>
    <n v="16"/>
    <x v="494"/>
    <n v="11.76"/>
    <n v="30.08"/>
    <n v="1"/>
    <n v="378.66"/>
  </r>
  <r>
    <x v="1341"/>
    <n v="1362"/>
    <x v="2"/>
    <x v="0"/>
    <n v="15"/>
    <x v="328"/>
    <n v="11.42"/>
    <n v="35.26"/>
    <n v="1.06"/>
    <n v="379.3"/>
  </r>
  <r>
    <x v="1342"/>
    <n v="1362"/>
    <x v="2"/>
    <x v="1"/>
    <n v="15"/>
    <x v="63"/>
    <n v="3.24"/>
    <n v="28.98"/>
    <n v="0.83"/>
    <n v="92.66"/>
  </r>
  <r>
    <x v="1343"/>
    <n v="1362"/>
    <x v="2"/>
    <x v="0"/>
    <n v="16"/>
    <x v="76"/>
    <n v="12.2"/>
    <n v="29.34"/>
    <n v="0.98"/>
    <n v="393.36"/>
  </r>
  <r>
    <x v="1344"/>
    <n v="1362"/>
    <x v="2"/>
    <x v="0"/>
    <n v="12"/>
    <x v="118"/>
    <n v="11.47"/>
    <n v="36.43"/>
    <n v="0.96"/>
    <n v="382.68"/>
  </r>
  <r>
    <x v="1345"/>
    <n v="1362"/>
    <x v="2"/>
    <x v="0"/>
    <n v="13"/>
    <x v="0"/>
    <n v="11.05"/>
    <n v="32.18"/>
    <n v="1.03"/>
    <n v="358.81"/>
  </r>
  <r>
    <x v="1346"/>
    <n v="1362"/>
    <x v="2"/>
    <x v="1"/>
    <n v="9"/>
    <x v="520"/>
    <n v="2.81"/>
    <n v="32.32"/>
    <n v="0.8"/>
    <n v="84"/>
  </r>
  <r>
    <x v="1347"/>
    <n v="1362"/>
    <x v="2"/>
    <x v="0"/>
    <n v="18"/>
    <x v="159"/>
    <n v="11.46"/>
    <n v="34.71"/>
    <n v="0.94"/>
    <n v="355.56"/>
  </r>
  <r>
    <x v="1348"/>
    <n v="1362"/>
    <x v="2"/>
    <x v="0"/>
    <n v="15"/>
    <x v="0"/>
    <n v="11.06"/>
    <n v="31.39"/>
    <n v="1.01"/>
    <n v="357.39"/>
  </r>
  <r>
    <x v="1349"/>
    <n v="1363"/>
    <x v="1"/>
    <x v="0"/>
    <n v="17"/>
    <x v="377"/>
    <n v="10.35"/>
    <n v="31.65"/>
    <n v="0.96"/>
    <n v="331.14"/>
  </r>
  <r>
    <x v="1350"/>
    <n v="1363"/>
    <x v="1"/>
    <x v="0"/>
    <n v="10"/>
    <x v="457"/>
    <n v="11.26"/>
    <n v="33.96"/>
    <n v="0.97"/>
    <n v="354.76"/>
  </r>
  <r>
    <x v="1351"/>
    <n v="1363"/>
    <x v="1"/>
    <x v="1"/>
    <n v="17"/>
    <x v="498"/>
    <n v="2.92"/>
    <n v="34.42"/>
    <n v="0.8"/>
    <n v="90.51"/>
  </r>
  <r>
    <x v="1352"/>
    <n v="1363"/>
    <x v="1"/>
    <x v="0"/>
    <n v="8"/>
    <x v="288"/>
    <n v="10.6"/>
    <n v="35.15"/>
    <n v="1.04"/>
    <n v="360.27"/>
  </r>
  <r>
    <x v="1353"/>
    <n v="1363"/>
    <x v="1"/>
    <x v="1"/>
    <n v="13"/>
    <x v="9"/>
    <n v="2.63"/>
    <n v="32.9"/>
    <n v="0.79"/>
    <n v="84.89"/>
  </r>
  <r>
    <x v="1354"/>
    <n v="1363"/>
    <x v="1"/>
    <x v="0"/>
    <n v="14"/>
    <x v="463"/>
    <n v="11.89"/>
    <n v="33.19"/>
    <n v="0.97"/>
    <n v="412.55"/>
  </r>
  <r>
    <x v="1355"/>
    <n v="1363"/>
    <x v="1"/>
    <x v="1"/>
    <n v="12"/>
    <x v="557"/>
    <n v="2.83"/>
    <n v="30.16"/>
    <n v="0.8"/>
    <n v="82.15"/>
  </r>
  <r>
    <x v="1356"/>
    <n v="1363"/>
    <x v="1"/>
    <x v="1"/>
    <n v="10"/>
    <x v="290"/>
    <n v="3.05"/>
    <n v="29.13"/>
    <n v="0.78"/>
    <n v="80.430000000000007"/>
  </r>
  <r>
    <x v="1357"/>
    <n v="1363"/>
    <x v="1"/>
    <x v="1"/>
    <n v="11"/>
    <x v="9"/>
    <n v="2.42"/>
    <n v="34.29"/>
    <n v="0.74"/>
    <n v="79.72"/>
  </r>
  <r>
    <x v="1358"/>
    <n v="1363"/>
    <x v="1"/>
    <x v="1"/>
    <n v="18"/>
    <x v="245"/>
    <n v="2.94"/>
    <n v="25.09"/>
    <n v="0.83"/>
    <n v="83.38"/>
  </r>
  <r>
    <x v="1359"/>
    <n v="1363"/>
    <x v="1"/>
    <x v="0"/>
    <n v="12"/>
    <x v="23"/>
    <n v="9.6"/>
    <n v="30.69"/>
    <n v="0.93"/>
    <n v="317.56"/>
  </r>
  <r>
    <x v="1360"/>
    <n v="1363"/>
    <x v="1"/>
    <x v="0"/>
    <n v="21"/>
    <x v="366"/>
    <n v="11.33"/>
    <n v="31.59"/>
    <n v="0.88"/>
    <n v="386.83"/>
  </r>
  <r>
    <x v="1361"/>
    <n v="1363"/>
    <x v="1"/>
    <x v="1"/>
    <n v="7"/>
    <x v="575"/>
    <n v="3.04"/>
    <n v="31.44"/>
    <n v="0.79"/>
    <n v="91.82"/>
  </r>
  <r>
    <x v="1362"/>
    <n v="1363"/>
    <x v="1"/>
    <x v="1"/>
    <n v="19"/>
    <x v="612"/>
    <n v="2.86"/>
    <n v="33.07"/>
    <n v="0.79"/>
    <n v="84.26"/>
  </r>
  <r>
    <x v="1363"/>
    <n v="1363"/>
    <x v="1"/>
    <x v="1"/>
    <n v="13"/>
    <x v="510"/>
    <n v="2.76"/>
    <n v="34.630000000000003"/>
    <n v="0.79"/>
    <n v="90.47"/>
  </r>
  <r>
    <x v="1364"/>
    <n v="1363"/>
    <x v="1"/>
    <x v="0"/>
    <n v="22"/>
    <x v="483"/>
    <n v="11.32"/>
    <n v="26.28"/>
    <n v="1.03"/>
    <n v="344.9"/>
  </r>
  <r>
    <x v="1365"/>
    <n v="1363"/>
    <x v="1"/>
    <x v="0"/>
    <n v="17"/>
    <x v="420"/>
    <n v="11.34"/>
    <n v="28.39"/>
    <n v="1.01"/>
    <n v="389.03"/>
  </r>
  <r>
    <x v="1366"/>
    <n v="1363"/>
    <x v="1"/>
    <x v="0"/>
    <n v="13"/>
    <x v="148"/>
    <n v="10.64"/>
    <n v="28.12"/>
    <n v="1.02"/>
    <n v="342.6"/>
  </r>
  <r>
    <x v="1367"/>
    <n v="1363"/>
    <x v="1"/>
    <x v="1"/>
    <n v="19"/>
    <x v="613"/>
    <n v="2.73"/>
    <n v="28.15"/>
    <n v="0.8"/>
    <n v="78.53"/>
  </r>
  <r>
    <x v="1368"/>
    <n v="1363"/>
    <x v="1"/>
    <x v="0"/>
    <n v="10"/>
    <x v="614"/>
    <n v="10.33"/>
    <n v="30.47"/>
    <n v="1.07"/>
    <n v="327.52"/>
  </r>
  <r>
    <x v="1369"/>
    <n v="1363"/>
    <x v="1"/>
    <x v="1"/>
    <n v="12"/>
    <x v="134"/>
    <n v="2.8"/>
    <n v="25.78"/>
    <n v="0.77"/>
    <n v="80.010000000000005"/>
  </r>
  <r>
    <x v="1370"/>
    <n v="1363"/>
    <x v="1"/>
    <x v="0"/>
    <n v="34"/>
    <x v="20"/>
    <n v="11.46"/>
    <n v="32.68"/>
    <n v="1.04"/>
    <n v="363.48"/>
  </r>
  <r>
    <x v="1371"/>
    <n v="1363"/>
    <x v="1"/>
    <x v="1"/>
    <n v="28"/>
    <x v="146"/>
    <n v="3.09"/>
    <n v="31.64"/>
    <n v="0.82"/>
    <n v="91.42"/>
  </r>
  <r>
    <x v="1372"/>
    <n v="1363"/>
    <x v="1"/>
    <x v="1"/>
    <n v="15"/>
    <x v="615"/>
    <n v="2.72"/>
    <n v="27.73"/>
    <n v="0.78"/>
    <n v="72.150000000000006"/>
  </r>
  <r>
    <x v="1373"/>
    <n v="1363"/>
    <x v="1"/>
    <x v="1"/>
    <n v="13"/>
    <x v="25"/>
    <n v="2.64"/>
    <n v="36.79"/>
    <n v="0.81"/>
    <n v="84.47"/>
  </r>
  <r>
    <x v="1374"/>
    <n v="1363"/>
    <x v="1"/>
    <x v="0"/>
    <n v="11"/>
    <x v="284"/>
    <n v="10.85"/>
    <n v="31.37"/>
    <n v="1.1000000000000001"/>
    <n v="347.39"/>
  </r>
  <r>
    <x v="1375"/>
    <n v="1363"/>
    <x v="1"/>
    <x v="0"/>
    <n v="11"/>
    <x v="352"/>
    <n v="12"/>
    <n v="31.52"/>
    <n v="0.96"/>
    <n v="377.48"/>
  </r>
  <r>
    <x v="1376"/>
    <n v="1363"/>
    <x v="1"/>
    <x v="0"/>
    <n v="12"/>
    <x v="616"/>
    <n v="11.11"/>
    <n v="25.53"/>
    <n v="1"/>
    <n v="325.54000000000002"/>
  </r>
  <r>
    <x v="1377"/>
    <n v="1363"/>
    <x v="1"/>
    <x v="1"/>
    <n v="12"/>
    <x v="617"/>
    <n v="3.16"/>
    <n v="28.1"/>
    <n v="0.82"/>
    <n v="98.21"/>
  </r>
  <r>
    <x v="1378"/>
    <n v="1363"/>
    <x v="1"/>
    <x v="0"/>
    <n v="21"/>
    <x v="430"/>
    <n v="9.92"/>
    <n v="32.79"/>
    <n v="0.99"/>
    <n v="321.20999999999998"/>
  </r>
  <r>
    <x v="1379"/>
    <n v="1363"/>
    <x v="1"/>
    <x v="0"/>
    <n v="17"/>
    <x v="269"/>
    <n v="10.38"/>
    <n v="30.34"/>
    <n v="1.1000000000000001"/>
    <n v="346.05"/>
  </r>
  <r>
    <x v="1380"/>
    <n v="1363"/>
    <x v="1"/>
    <x v="1"/>
    <n v="20"/>
    <x v="578"/>
    <n v="2.86"/>
    <n v="28.36"/>
    <n v="0.79"/>
    <n v="86.27"/>
  </r>
  <r>
    <x v="1381"/>
    <n v="1363"/>
    <x v="1"/>
    <x v="0"/>
    <n v="18"/>
    <x v="144"/>
    <n v="9.39"/>
    <n v="28.34"/>
    <n v="0.97"/>
    <n v="298.8"/>
  </r>
  <r>
    <x v="1382"/>
    <n v="1363"/>
    <x v="1"/>
    <x v="0"/>
    <n v="9"/>
    <x v="352"/>
    <n v="11.02"/>
    <n v="35.729999999999997"/>
    <n v="0.99"/>
    <n v="355.68"/>
  </r>
  <r>
    <x v="1383"/>
    <n v="1363"/>
    <x v="1"/>
    <x v="1"/>
    <n v="13"/>
    <x v="524"/>
    <n v="2.54"/>
    <n v="30.53"/>
    <n v="0.82"/>
    <n v="80.239999999999995"/>
  </r>
  <r>
    <x v="1384"/>
    <n v="1363"/>
    <x v="1"/>
    <x v="0"/>
    <n v="13"/>
    <x v="459"/>
    <n v="10.78"/>
    <n v="31.71"/>
    <n v="1.05"/>
    <n v="342.37"/>
  </r>
  <r>
    <x v="1385"/>
    <n v="1363"/>
    <x v="1"/>
    <x v="0"/>
    <n v="37"/>
    <x v="163"/>
    <n v="10.61"/>
    <n v="34.81"/>
    <n v="1.02"/>
    <n v="284.35000000000002"/>
  </r>
  <r>
    <x v="1386"/>
    <n v="1363"/>
    <x v="1"/>
    <x v="1"/>
    <n v="10"/>
    <x v="618"/>
    <n v="2.86"/>
    <n v="26.33"/>
    <n v="0.81"/>
    <n v="76.78"/>
  </r>
  <r>
    <x v="1387"/>
    <n v="1363"/>
    <x v="1"/>
    <x v="0"/>
    <n v="18"/>
    <x v="619"/>
    <n v="12.11"/>
    <n v="27.77"/>
    <n v="0.99"/>
    <n v="367.59"/>
  </r>
  <r>
    <x v="1388"/>
    <n v="1363"/>
    <x v="1"/>
    <x v="1"/>
    <n v="11"/>
    <x v="249"/>
    <n v="2.98"/>
    <n v="29.38"/>
    <n v="0.81"/>
    <n v="88.58"/>
  </r>
  <r>
    <x v="1389"/>
    <n v="1363"/>
    <x v="1"/>
    <x v="0"/>
    <n v="23"/>
    <x v="287"/>
    <n v="10.51"/>
    <n v="31.21"/>
    <n v="1.04"/>
    <n v="353.8"/>
  </r>
  <r>
    <x v="1390"/>
    <n v="1363"/>
    <x v="1"/>
    <x v="1"/>
    <n v="16"/>
    <x v="81"/>
    <n v="2.87"/>
    <n v="36.17"/>
    <n v="0.82"/>
    <n v="92.88"/>
  </r>
  <r>
    <x v="1391"/>
    <n v="1363"/>
    <x v="1"/>
    <x v="1"/>
    <n v="23"/>
    <x v="380"/>
    <n v="2.83"/>
    <n v="27.33"/>
    <n v="0.82"/>
    <n v="78"/>
  </r>
  <r>
    <x v="1392"/>
    <n v="1363"/>
    <x v="1"/>
    <x v="0"/>
    <n v="16"/>
    <x v="15"/>
    <n v="11.64"/>
    <n v="29.83"/>
    <n v="1.04"/>
    <n v="369.36"/>
  </r>
  <r>
    <x v="1393"/>
    <n v="1363"/>
    <x v="1"/>
    <x v="1"/>
    <n v="15"/>
    <x v="540"/>
    <n v="3.13"/>
    <n v="30.26"/>
    <n v="0.82"/>
    <n v="85.09"/>
  </r>
  <r>
    <x v="1394"/>
    <n v="1363"/>
    <x v="1"/>
    <x v="1"/>
    <n v="13"/>
    <x v="10"/>
    <n v="2.78"/>
    <n v="27.64"/>
    <n v="0.81"/>
    <n v="82.92"/>
  </r>
  <r>
    <x v="1395"/>
    <n v="1363"/>
    <x v="1"/>
    <x v="1"/>
    <n v="23"/>
    <x v="452"/>
    <n v="2.5299999999999998"/>
    <n v="29.08"/>
    <n v="0.82"/>
    <n v="77.849999999999994"/>
  </r>
  <r>
    <x v="1396"/>
    <n v="1363"/>
    <x v="1"/>
    <x v="0"/>
    <n v="45"/>
    <x v="620"/>
    <n v="11.08"/>
    <n v="31.25"/>
    <n v="1.01"/>
    <n v="265.26"/>
  </r>
  <r>
    <x v="1397"/>
    <n v="1363"/>
    <x v="1"/>
    <x v="1"/>
    <n v="12"/>
    <x v="621"/>
    <n v="2.78"/>
    <n v="32.93"/>
    <n v="0.81"/>
    <n v="70.38"/>
  </r>
  <r>
    <x v="1398"/>
    <n v="1363"/>
    <x v="1"/>
    <x v="0"/>
    <n v="25"/>
    <x v="288"/>
    <n v="10.3"/>
    <n v="27.2"/>
    <n v="1.07"/>
    <n v="342.44"/>
  </r>
  <r>
    <x v="1399"/>
    <n v="1363"/>
    <x v="1"/>
    <x v="0"/>
    <n v="17"/>
    <x v="328"/>
    <n v="11.74"/>
    <n v="32.96"/>
    <n v="1.06"/>
    <n v="385.78"/>
  </r>
  <r>
    <x v="1400"/>
    <n v="1363"/>
    <x v="1"/>
    <x v="0"/>
    <n v="11"/>
    <x v="444"/>
    <n v="10.29"/>
    <n v="31.24"/>
    <n v="1.01"/>
    <n v="355"/>
  </r>
  <r>
    <x v="1401"/>
    <n v="1363"/>
    <x v="1"/>
    <x v="1"/>
    <n v="15"/>
    <x v="194"/>
    <n v="3.38"/>
    <n v="30.12"/>
    <n v="0.76"/>
    <n v="95.27"/>
  </r>
  <r>
    <x v="1402"/>
    <n v="1363"/>
    <x v="1"/>
    <x v="1"/>
    <n v="12"/>
    <x v="262"/>
    <n v="2.5299999999999998"/>
    <n v="28.26"/>
    <n v="0.81"/>
    <n v="77.599999999999994"/>
  </r>
  <r>
    <x v="1403"/>
    <n v="1363"/>
    <x v="1"/>
    <x v="0"/>
    <n v="12"/>
    <x v="622"/>
    <n v="12.09"/>
    <n v="31.46"/>
    <n v="0.94"/>
    <n v="358.54"/>
  </r>
  <r>
    <x v="1404"/>
    <n v="1363"/>
    <x v="1"/>
    <x v="0"/>
    <n v="11"/>
    <x v="623"/>
    <n v="10.94"/>
    <n v="31.71"/>
    <n v="0.93"/>
    <n v="374.55"/>
  </r>
  <r>
    <x v="1405"/>
    <n v="1363"/>
    <x v="1"/>
    <x v="0"/>
    <n v="74"/>
    <x v="624"/>
    <n v="10.25"/>
    <n v="28.17"/>
    <n v="0.89"/>
    <n v="314.95"/>
  </r>
  <r>
    <x v="1406"/>
    <n v="1363"/>
    <x v="1"/>
    <x v="1"/>
    <n v="10"/>
    <x v="497"/>
    <n v="2.77"/>
    <n v="32.5"/>
    <n v="0.83"/>
    <n v="83.3"/>
  </r>
  <r>
    <x v="1407"/>
    <n v="1363"/>
    <x v="1"/>
    <x v="0"/>
    <n v="9"/>
    <x v="625"/>
    <n v="10.65"/>
    <n v="29.37"/>
    <n v="1.07"/>
    <n v="368.97"/>
  </r>
  <r>
    <x v="1408"/>
    <n v="1363"/>
    <x v="1"/>
    <x v="0"/>
    <n v="25"/>
    <x v="626"/>
    <n v="10.67"/>
    <n v="29.74"/>
    <n v="1.06"/>
    <n v="361.93"/>
  </r>
  <r>
    <x v="1409"/>
    <n v="1363"/>
    <x v="1"/>
    <x v="0"/>
    <n v="10"/>
    <x v="350"/>
    <n v="10.16"/>
    <n v="30.3"/>
    <n v="0.95"/>
    <n v="277.29000000000002"/>
  </r>
  <r>
    <x v="1410"/>
    <n v="1363"/>
    <x v="1"/>
    <x v="0"/>
    <n v="23"/>
    <x v="5"/>
    <n v="10.9"/>
    <n v="30.21"/>
    <n v="1.1100000000000001"/>
    <n v="366.94"/>
  </r>
  <r>
    <x v="1411"/>
    <n v="1363"/>
    <x v="1"/>
    <x v="0"/>
    <n v="11"/>
    <x v="627"/>
    <n v="11.53"/>
    <n v="29.93"/>
    <n v="1.04"/>
    <n v="404.07"/>
  </r>
  <r>
    <x v="1412"/>
    <n v="1363"/>
    <x v="1"/>
    <x v="0"/>
    <n v="12"/>
    <x v="83"/>
    <n v="10.79"/>
    <n v="28.98"/>
    <n v="1.17"/>
    <n v="371.14"/>
  </r>
  <r>
    <x v="1413"/>
    <n v="1363"/>
    <x v="1"/>
    <x v="1"/>
    <n v="12"/>
    <x v="421"/>
    <n v="2.87"/>
    <n v="33.43"/>
    <n v="0.8"/>
    <n v="87.78"/>
  </r>
  <r>
    <x v="1414"/>
    <n v="1363"/>
    <x v="1"/>
    <x v="0"/>
    <n v="19"/>
    <x v="94"/>
    <n v="11.31"/>
    <n v="34.56"/>
    <n v="0.98"/>
    <n v="374.59"/>
  </r>
  <r>
    <x v="1415"/>
    <n v="1363"/>
    <x v="1"/>
    <x v="1"/>
    <n v="16"/>
    <x v="493"/>
    <n v="2.56"/>
    <n v="30.57"/>
    <n v="0.79"/>
    <n v="82.46"/>
  </r>
  <r>
    <x v="1416"/>
    <n v="1363"/>
    <x v="1"/>
    <x v="0"/>
    <n v="10"/>
    <x v="628"/>
    <n v="11.13"/>
    <n v="31.5"/>
    <n v="0.89"/>
    <n v="382.03"/>
  </r>
  <r>
    <x v="1417"/>
    <n v="1363"/>
    <x v="1"/>
    <x v="0"/>
    <n v="15"/>
    <x v="599"/>
    <n v="10.98"/>
    <n v="32.159999999999997"/>
    <n v="1.05"/>
    <n v="328.95"/>
  </r>
  <r>
    <x v="1418"/>
    <n v="1363"/>
    <x v="1"/>
    <x v="0"/>
    <n v="8"/>
    <x v="609"/>
    <n v="11.85"/>
    <n v="31.36"/>
    <n v="0.97"/>
    <n v="397.37"/>
  </r>
  <r>
    <x v="1419"/>
    <n v="1363"/>
    <x v="1"/>
    <x v="1"/>
    <n v="16"/>
    <x v="387"/>
    <n v="3.48"/>
    <n v="31.06"/>
    <n v="0.8"/>
    <n v="105.18"/>
  </r>
  <r>
    <x v="1420"/>
    <n v="1363"/>
    <x v="1"/>
    <x v="0"/>
    <n v="14"/>
    <x v="501"/>
    <n v="11.37"/>
    <n v="30.95"/>
    <n v="1.03"/>
    <n v="356.07"/>
  </r>
  <r>
    <x v="1421"/>
    <n v="1363"/>
    <x v="1"/>
    <x v="0"/>
    <n v="14"/>
    <x v="428"/>
    <n v="10.25"/>
    <n v="27.34"/>
    <n v="1.1200000000000001"/>
    <n v="346.71"/>
  </r>
  <r>
    <x v="1422"/>
    <n v="1363"/>
    <x v="1"/>
    <x v="0"/>
    <n v="14"/>
    <x v="619"/>
    <n v="10.94"/>
    <n v="24.67"/>
    <n v="0.95"/>
    <n v="330.41"/>
  </r>
  <r>
    <x v="1423"/>
    <n v="1363"/>
    <x v="1"/>
    <x v="0"/>
    <n v="9"/>
    <x v="390"/>
    <n v="10.68"/>
    <n v="27.48"/>
    <n v="0.99"/>
    <n v="370.92"/>
  </r>
  <r>
    <x v="1424"/>
    <n v="1363"/>
    <x v="1"/>
    <x v="0"/>
    <n v="16"/>
    <x v="310"/>
    <n v="10.85"/>
    <n v="31.46"/>
    <n v="0.99"/>
    <n v="354.04"/>
  </r>
  <r>
    <x v="1425"/>
    <n v="1363"/>
    <x v="1"/>
    <x v="1"/>
    <n v="35"/>
    <x v="19"/>
    <n v="2.93"/>
    <n v="33.450000000000003"/>
    <n v="0.81"/>
    <n v="92.33"/>
  </r>
  <r>
    <x v="1426"/>
    <n v="1363"/>
    <x v="1"/>
    <x v="0"/>
    <n v="10"/>
    <x v="514"/>
    <n v="10.27"/>
    <n v="29.79"/>
    <n v="0.97"/>
    <n v="336.56"/>
  </r>
  <r>
    <x v="1427"/>
    <n v="1363"/>
    <x v="1"/>
    <x v="1"/>
    <n v="15"/>
    <x v="3"/>
    <n v="2.98"/>
    <n v="29.32"/>
    <n v="0.78"/>
    <n v="85.31"/>
  </r>
  <r>
    <x v="1428"/>
    <n v="1363"/>
    <x v="1"/>
    <x v="0"/>
    <n v="24"/>
    <x v="629"/>
    <n v="10.43"/>
    <n v="31.41"/>
    <n v="1.01"/>
    <n v="328.65"/>
  </r>
  <r>
    <x v="1429"/>
    <n v="1363"/>
    <x v="1"/>
    <x v="0"/>
    <n v="16"/>
    <x v="247"/>
    <n v="11.21"/>
    <n v="28.36"/>
    <n v="1.01"/>
    <n v="374.09"/>
  </r>
  <r>
    <x v="1430"/>
    <n v="1363"/>
    <x v="1"/>
    <x v="1"/>
    <n v="14"/>
    <x v="630"/>
    <n v="2.76"/>
    <n v="33.119999999999997"/>
    <n v="0.77"/>
    <n v="80.23"/>
  </r>
  <r>
    <x v="1431"/>
    <n v="1363"/>
    <x v="1"/>
    <x v="1"/>
    <n v="15"/>
    <x v="174"/>
    <n v="2.68"/>
    <n v="33.450000000000003"/>
    <n v="0.79"/>
    <n v="74.58"/>
  </r>
  <r>
    <x v="1432"/>
    <n v="1363"/>
    <x v="1"/>
    <x v="1"/>
    <n v="13"/>
    <x v="549"/>
    <n v="2.79"/>
    <n v="31.6"/>
    <n v="0.81"/>
    <n v="83.82"/>
  </r>
  <r>
    <x v="1433"/>
    <n v="1363"/>
    <x v="1"/>
    <x v="0"/>
    <n v="10"/>
    <x v="39"/>
    <n v="10.97"/>
    <n v="34.43"/>
    <n v="1.23"/>
    <n v="373.49"/>
  </r>
  <r>
    <x v="1434"/>
    <n v="1363"/>
    <x v="1"/>
    <x v="1"/>
    <n v="9"/>
    <x v="104"/>
    <n v="2.59"/>
    <n v="32.17"/>
    <n v="0.76"/>
    <n v="80.459999999999994"/>
  </r>
  <r>
    <x v="1435"/>
    <n v="1363"/>
    <x v="1"/>
    <x v="0"/>
    <n v="18"/>
    <x v="631"/>
    <n v="11.56"/>
    <n v="32.49"/>
    <n v="1.03"/>
    <n v="376.68"/>
  </r>
  <r>
    <x v="1436"/>
    <n v="1363"/>
    <x v="1"/>
    <x v="1"/>
    <n v="13"/>
    <x v="421"/>
    <n v="2.84"/>
    <n v="31.77"/>
    <n v="0.81"/>
    <n v="86.06"/>
  </r>
  <r>
    <x v="1437"/>
    <n v="1363"/>
    <x v="1"/>
    <x v="0"/>
    <n v="16"/>
    <x v="107"/>
    <n v="11.51"/>
    <n v="29.85"/>
    <n v="1.02"/>
    <n v="360.34"/>
  </r>
  <r>
    <x v="1438"/>
    <n v="1363"/>
    <x v="1"/>
    <x v="1"/>
    <n v="12"/>
    <x v="632"/>
    <n v="3.08"/>
    <n v="29.61"/>
    <n v="0.79"/>
    <n v="98.62"/>
  </r>
  <r>
    <x v="1439"/>
    <n v="1363"/>
    <x v="1"/>
    <x v="1"/>
    <n v="9"/>
    <x v="633"/>
    <n v="2.84"/>
    <n v="34.43"/>
    <n v="0.79"/>
    <n v="92.48"/>
  </r>
  <r>
    <x v="1440"/>
    <n v="1363"/>
    <x v="1"/>
    <x v="1"/>
    <n v="7"/>
    <x v="89"/>
    <n v="2.74"/>
    <n v="32.06"/>
    <n v="0.84"/>
    <n v="83.42"/>
  </r>
  <r>
    <x v="1441"/>
    <n v="1363"/>
    <x v="1"/>
    <x v="0"/>
    <n v="42"/>
    <x v="31"/>
    <n v="10.130000000000001"/>
    <n v="25.18"/>
    <n v="0.96"/>
    <n v="323.2"/>
  </r>
  <r>
    <x v="1442"/>
    <n v="1363"/>
    <x v="1"/>
    <x v="0"/>
    <n v="15"/>
    <x v="270"/>
    <n v="9.85"/>
    <n v="33.1"/>
    <n v="0.93"/>
    <n v="321.02"/>
  </r>
  <r>
    <x v="1443"/>
    <n v="1363"/>
    <x v="1"/>
    <x v="0"/>
    <n v="15"/>
    <x v="634"/>
    <n v="11.99"/>
    <n v="34.229999999999997"/>
    <n v="1.03"/>
    <n v="370.66"/>
  </r>
  <r>
    <x v="1444"/>
    <n v="1363"/>
    <x v="1"/>
    <x v="1"/>
    <n v="13"/>
    <x v="389"/>
    <n v="2.83"/>
    <n v="26.23"/>
    <n v="0.83"/>
    <n v="72.12"/>
  </r>
  <r>
    <x v="1445"/>
    <n v="1364"/>
    <x v="2"/>
    <x v="1"/>
    <n v="8"/>
    <x v="245"/>
    <n v="3.1"/>
    <n v="29.56"/>
    <n v="0.8"/>
    <n v="89.78"/>
  </r>
  <r>
    <x v="1446"/>
    <n v="1364"/>
    <x v="2"/>
    <x v="1"/>
    <n v="16"/>
    <x v="386"/>
    <n v="3.11"/>
    <n v="28.12"/>
    <n v="0.76"/>
    <n v="87.35"/>
  </r>
  <r>
    <x v="1447"/>
    <n v="1364"/>
    <x v="2"/>
    <x v="0"/>
    <n v="14"/>
    <x v="309"/>
    <n v="10.71"/>
    <n v="31.59"/>
    <n v="1.04"/>
    <n v="295.94"/>
  </r>
  <r>
    <x v="1448"/>
    <n v="1364"/>
    <x v="2"/>
    <x v="1"/>
    <n v="14"/>
    <x v="566"/>
    <n v="2.69"/>
    <n v="26.98"/>
    <n v="0.79"/>
    <n v="82.66"/>
  </r>
  <r>
    <x v="1449"/>
    <n v="1364"/>
    <x v="2"/>
    <x v="1"/>
    <n v="16"/>
    <x v="201"/>
    <n v="2.83"/>
    <n v="26.98"/>
    <n v="0.83"/>
    <n v="77.010000000000005"/>
  </r>
  <r>
    <x v="1450"/>
    <n v="1364"/>
    <x v="2"/>
    <x v="1"/>
    <n v="17"/>
    <x v="532"/>
    <n v="2.61"/>
    <n v="30.91"/>
    <n v="0.81"/>
    <n v="77.64"/>
  </r>
  <r>
    <x v="1451"/>
    <n v="1364"/>
    <x v="2"/>
    <x v="0"/>
    <n v="15"/>
    <x v="58"/>
    <n v="10.68"/>
    <n v="37.19"/>
    <n v="1.1100000000000001"/>
    <n v="345.09"/>
  </r>
  <r>
    <x v="1452"/>
    <n v="1364"/>
    <x v="2"/>
    <x v="1"/>
    <n v="23"/>
    <x v="224"/>
    <n v="2.87"/>
    <n v="29.04"/>
    <n v="0.8"/>
    <n v="69.88"/>
  </r>
  <r>
    <x v="1453"/>
    <n v="1364"/>
    <x v="2"/>
    <x v="0"/>
    <n v="13"/>
    <x v="635"/>
    <n v="10.81"/>
    <n v="30.33"/>
    <n v="1.1599999999999999"/>
    <n v="390.32"/>
  </r>
  <r>
    <x v="1454"/>
    <n v="1364"/>
    <x v="2"/>
    <x v="0"/>
    <n v="12"/>
    <x v="287"/>
    <n v="11.03"/>
    <n v="30.32"/>
    <n v="1.01"/>
    <n v="367.21"/>
  </r>
  <r>
    <x v="1455"/>
    <n v="1364"/>
    <x v="2"/>
    <x v="0"/>
    <n v="9"/>
    <x v="400"/>
    <n v="11.5"/>
    <n v="31.48"/>
    <n v="1.04"/>
    <n v="391.18"/>
  </r>
  <r>
    <x v="1456"/>
    <n v="1364"/>
    <x v="2"/>
    <x v="0"/>
    <n v="18"/>
    <x v="415"/>
    <n v="10.41"/>
    <n v="33.26"/>
    <n v="0.98"/>
    <n v="324.48"/>
  </r>
  <r>
    <x v="1457"/>
    <n v="1364"/>
    <x v="2"/>
    <x v="1"/>
    <n v="15"/>
    <x v="636"/>
    <n v="2.86"/>
    <n v="33.83"/>
    <n v="0.79"/>
    <n v="81.78"/>
  </r>
  <r>
    <x v="1458"/>
    <n v="1364"/>
    <x v="2"/>
    <x v="0"/>
    <n v="15"/>
    <x v="554"/>
    <n v="11.72"/>
    <n v="35.200000000000003"/>
    <n v="0.95"/>
    <n v="362.31"/>
  </r>
  <r>
    <x v="1459"/>
    <n v="1365"/>
    <x v="2"/>
    <x v="1"/>
    <n v="20"/>
    <x v="637"/>
    <n v="3.02"/>
    <n v="29.92"/>
    <n v="0.78"/>
    <n v="77.73"/>
  </r>
  <r>
    <x v="1460"/>
    <n v="1365"/>
    <x v="2"/>
    <x v="0"/>
    <n v="27"/>
    <x v="306"/>
    <n v="11.71"/>
    <n v="32.85"/>
    <n v="0.94"/>
    <n v="361.78"/>
  </r>
  <r>
    <x v="1461"/>
    <n v="1365"/>
    <x v="2"/>
    <x v="0"/>
    <n v="21"/>
    <x v="638"/>
    <n v="12.29"/>
    <n v="25.1"/>
    <n v="1.06"/>
    <n v="425.81"/>
  </r>
  <r>
    <x v="1462"/>
    <n v="1365"/>
    <x v="2"/>
    <x v="0"/>
    <n v="31"/>
    <x v="404"/>
    <n v="10.75"/>
    <n v="29.96"/>
    <n v="1.08"/>
    <n v="334.65"/>
  </r>
  <r>
    <x v="1463"/>
    <n v="1365"/>
    <x v="2"/>
    <x v="0"/>
    <n v="16"/>
    <x v="473"/>
    <n v="11.49"/>
    <n v="27.98"/>
    <n v="1.05"/>
    <n v="352.01"/>
  </r>
  <r>
    <x v="1464"/>
    <n v="1365"/>
    <x v="2"/>
    <x v="0"/>
    <n v="16"/>
    <x v="341"/>
    <n v="11.71"/>
    <n v="26.03"/>
    <n v="1.1000000000000001"/>
    <n v="369.56"/>
  </r>
  <r>
    <x v="1465"/>
    <n v="1365"/>
    <x v="2"/>
    <x v="0"/>
    <n v="16"/>
    <x v="570"/>
    <n v="10.24"/>
    <n v="30.6"/>
    <n v="1.01"/>
    <n v="340.5"/>
  </r>
  <r>
    <x v="1466"/>
    <n v="1365"/>
    <x v="2"/>
    <x v="0"/>
    <n v="31"/>
    <x v="117"/>
    <n v="10.95"/>
    <n v="34.979999999999997"/>
    <n v="1.1000000000000001"/>
    <n v="375.79"/>
  </r>
  <r>
    <x v="1467"/>
    <n v="1366"/>
    <x v="3"/>
    <x v="1"/>
    <n v="14"/>
    <x v="639"/>
    <n v="3.03"/>
    <n v="31.95"/>
    <n v="0.81"/>
    <n v="96.29"/>
  </r>
  <r>
    <x v="1468"/>
    <n v="1366"/>
    <x v="3"/>
    <x v="0"/>
    <n v="16"/>
    <x v="200"/>
    <n v="10.119999999999999"/>
    <n v="32.61"/>
    <n v="1.03"/>
    <n v="343.15"/>
  </r>
  <r>
    <x v="1469"/>
    <n v="1366"/>
    <x v="3"/>
    <x v="0"/>
    <n v="9"/>
    <x v="428"/>
    <n v="9.83"/>
    <n v="28.22"/>
    <n v="0.94"/>
    <n v="329.13"/>
  </r>
  <r>
    <x v="1470"/>
    <n v="1366"/>
    <x v="3"/>
    <x v="0"/>
    <n v="30"/>
    <x v="364"/>
    <n v="10.58"/>
    <n v="31.85"/>
    <n v="0.93"/>
    <n v="323.56"/>
  </r>
  <r>
    <x v="1471"/>
    <n v="1366"/>
    <x v="3"/>
    <x v="1"/>
    <n v="17"/>
    <x v="18"/>
    <n v="2.88"/>
    <n v="34.270000000000003"/>
    <n v="0.79"/>
    <n v="88.82"/>
  </r>
  <r>
    <x v="1472"/>
    <n v="1366"/>
    <x v="3"/>
    <x v="1"/>
    <n v="42"/>
    <x v="506"/>
    <n v="2.59"/>
    <n v="35.14"/>
    <n v="0.8"/>
    <n v="73.28"/>
  </r>
  <r>
    <x v="1473"/>
    <n v="1366"/>
    <x v="3"/>
    <x v="1"/>
    <n v="12"/>
    <x v="431"/>
    <n v="2.59"/>
    <n v="32.04"/>
    <n v="0.8"/>
    <n v="84.25"/>
  </r>
  <r>
    <x v="1474"/>
    <n v="1366"/>
    <x v="3"/>
    <x v="0"/>
    <n v="8"/>
    <x v="608"/>
    <n v="10.61"/>
    <n v="31.82"/>
    <n v="1.03"/>
    <n v="338.87"/>
  </r>
  <r>
    <x v="1475"/>
    <n v="1366"/>
    <x v="3"/>
    <x v="0"/>
    <n v="15"/>
    <x v="640"/>
    <n v="11.83"/>
    <n v="26.28"/>
    <n v="1.03"/>
    <n v="394.19"/>
  </r>
  <r>
    <x v="1476"/>
    <n v="1366"/>
    <x v="3"/>
    <x v="1"/>
    <n v="19"/>
    <x v="604"/>
    <n v="2.98"/>
    <n v="29.75"/>
    <n v="0.79"/>
    <n v="91.29"/>
  </r>
  <r>
    <x v="1477"/>
    <n v="1366"/>
    <x v="3"/>
    <x v="0"/>
    <n v="14"/>
    <x v="346"/>
    <n v="10.45"/>
    <n v="33.090000000000003"/>
    <n v="1.02"/>
    <n v="340.33"/>
  </r>
  <r>
    <x v="1478"/>
    <n v="1366"/>
    <x v="3"/>
    <x v="1"/>
    <n v="146"/>
    <x v="146"/>
    <n v="2.84"/>
    <n v="29.09"/>
    <n v="0.8"/>
    <n v="83.39"/>
  </r>
  <r>
    <x v="1479"/>
    <n v="1366"/>
    <x v="3"/>
    <x v="1"/>
    <n v="10"/>
    <x v="506"/>
    <n v="2.54"/>
    <n v="29.62"/>
    <n v="0.78"/>
    <n v="74.94"/>
  </r>
  <r>
    <x v="1480"/>
    <n v="1366"/>
    <x v="3"/>
    <x v="0"/>
    <n v="22"/>
    <x v="280"/>
    <n v="11.06"/>
    <n v="29.42"/>
    <n v="1.05"/>
    <n v="281.08"/>
  </r>
  <r>
    <x v="1481"/>
    <n v="1366"/>
    <x v="3"/>
    <x v="1"/>
    <n v="29"/>
    <x v="115"/>
    <n v="3"/>
    <n v="34.909999999999997"/>
    <n v="0.8"/>
    <n v="93.13"/>
  </r>
  <r>
    <x v="1482"/>
    <n v="1366"/>
    <x v="3"/>
    <x v="1"/>
    <n v="67"/>
    <x v="286"/>
    <n v="3.01"/>
    <n v="33.229999999999997"/>
    <n v="0.78"/>
    <n v="92.7"/>
  </r>
  <r>
    <x v="1483"/>
    <n v="1367"/>
    <x v="0"/>
    <x v="1"/>
    <n v="17"/>
    <x v="95"/>
    <n v="2.59"/>
    <n v="30.27"/>
    <n v="0.78"/>
    <n v="79.180000000000007"/>
  </r>
  <r>
    <x v="1484"/>
    <n v="1367"/>
    <x v="0"/>
    <x v="0"/>
    <n v="19"/>
    <x v="641"/>
    <n v="11.51"/>
    <n v="41.04"/>
    <n v="0.97"/>
    <n v="346.31"/>
  </r>
  <r>
    <x v="1485"/>
    <n v="1367"/>
    <x v="0"/>
    <x v="1"/>
    <n v="10"/>
    <x v="642"/>
    <n v="2.69"/>
    <n v="28.91"/>
    <n v="0.8"/>
    <n v="91.09"/>
  </r>
  <r>
    <x v="1486"/>
    <n v="1367"/>
    <x v="0"/>
    <x v="1"/>
    <n v="14"/>
    <x v="510"/>
    <n v="3.24"/>
    <n v="33.049999999999997"/>
    <n v="0.8"/>
    <n v="99.96"/>
  </r>
  <r>
    <x v="1487"/>
    <n v="1367"/>
    <x v="0"/>
    <x v="1"/>
    <n v="18"/>
    <x v="469"/>
    <n v="2.81"/>
    <n v="28.94"/>
    <n v="0.76"/>
    <n v="78.52"/>
  </r>
  <r>
    <x v="1488"/>
    <n v="1367"/>
    <x v="0"/>
    <x v="1"/>
    <n v="14"/>
    <x v="89"/>
    <n v="2.87"/>
    <n v="35.130000000000003"/>
    <n v="0.81"/>
    <n v="87.65"/>
  </r>
  <r>
    <x v="1489"/>
    <n v="1367"/>
    <x v="0"/>
    <x v="1"/>
    <n v="16"/>
    <x v="468"/>
    <n v="2.69"/>
    <n v="28.17"/>
    <n v="0.8"/>
    <n v="73.540000000000006"/>
  </r>
  <r>
    <x v="1490"/>
    <n v="1367"/>
    <x v="0"/>
    <x v="1"/>
    <n v="12"/>
    <x v="63"/>
    <n v="2.67"/>
    <n v="34.869999999999997"/>
    <n v="0.78"/>
    <n v="84.47"/>
  </r>
  <r>
    <x v="1491"/>
    <n v="1368"/>
    <x v="0"/>
    <x v="1"/>
    <n v="13"/>
    <x v="209"/>
    <n v="2.99"/>
    <n v="26.7"/>
    <n v="0.8"/>
    <n v="82.49"/>
  </r>
  <r>
    <x v="1492"/>
    <n v="1368"/>
    <x v="0"/>
    <x v="1"/>
    <n v="13"/>
    <x v="643"/>
    <n v="3.08"/>
    <n v="30.66"/>
    <n v="0.8"/>
    <n v="75.77"/>
  </r>
  <r>
    <x v="1493"/>
    <n v="1368"/>
    <x v="0"/>
    <x v="0"/>
    <n v="27"/>
    <x v="107"/>
    <n v="10.63"/>
    <n v="34.200000000000003"/>
    <n v="1.1000000000000001"/>
    <n v="344.09"/>
  </r>
  <r>
    <x v="1494"/>
    <n v="1368"/>
    <x v="0"/>
    <x v="0"/>
    <n v="63"/>
    <x v="132"/>
    <n v="10.73"/>
    <n v="34.630000000000003"/>
    <n v="1.02"/>
    <n v="346.41"/>
  </r>
  <r>
    <x v="1495"/>
    <n v="1368"/>
    <x v="0"/>
    <x v="0"/>
    <n v="14"/>
    <x v="417"/>
    <n v="9.84"/>
    <n v="34.950000000000003"/>
    <n v="0.98"/>
    <n v="321.5"/>
  </r>
  <r>
    <x v="1496"/>
    <n v="1368"/>
    <x v="0"/>
    <x v="0"/>
    <n v="14"/>
    <x v="215"/>
    <n v="10.64"/>
    <n v="34.9"/>
    <n v="1.01"/>
    <n v="359.28"/>
  </r>
  <r>
    <x v="1497"/>
    <n v="1368"/>
    <x v="0"/>
    <x v="0"/>
    <n v="52"/>
    <x v="644"/>
    <n v="10.62"/>
    <n v="32.28"/>
    <n v="1.01"/>
    <n v="386.34"/>
  </r>
  <r>
    <x v="1498"/>
    <n v="1368"/>
    <x v="0"/>
    <x v="1"/>
    <n v="12"/>
    <x v="88"/>
    <n v="2.84"/>
    <n v="28.54"/>
    <n v="0.81"/>
    <n v="77.569999999999993"/>
  </r>
  <r>
    <x v="1499"/>
    <n v="1369"/>
    <x v="3"/>
    <x v="0"/>
    <n v="24"/>
    <x v="571"/>
    <n v="11.49"/>
    <n v="34.97"/>
    <n v="1.1200000000000001"/>
    <n v="388.09"/>
  </r>
  <r>
    <x v="1500"/>
    <n v="1369"/>
    <x v="3"/>
    <x v="0"/>
    <n v="17"/>
    <x v="362"/>
    <n v="11.18"/>
    <n v="29.27"/>
    <n v="1.01"/>
    <n v="371.28"/>
  </r>
  <r>
    <x v="1501"/>
    <n v="1369"/>
    <x v="3"/>
    <x v="1"/>
    <n v="24"/>
    <x v="77"/>
    <n v="2.54"/>
    <n v="28.16"/>
    <n v="0.81"/>
    <n v="76.599999999999994"/>
  </r>
  <r>
    <x v="1502"/>
    <n v="1369"/>
    <x v="3"/>
    <x v="0"/>
    <n v="51"/>
    <x v="152"/>
    <n v="11.98"/>
    <n v="34"/>
    <n v="1.02"/>
    <n v="398.03"/>
  </r>
  <r>
    <x v="1503"/>
    <n v="1369"/>
    <x v="3"/>
    <x v="0"/>
    <n v="9"/>
    <x v="139"/>
    <n v="11.58"/>
    <n v="31.32"/>
    <n v="0.97"/>
    <n v="364.12"/>
  </r>
  <r>
    <x v="1504"/>
    <n v="1369"/>
    <x v="3"/>
    <x v="0"/>
    <n v="62"/>
    <x v="550"/>
    <n v="10.83"/>
    <n v="28.99"/>
    <n v="1.0900000000000001"/>
    <n v="353.03"/>
  </r>
  <r>
    <x v="1505"/>
    <n v="1369"/>
    <x v="3"/>
    <x v="0"/>
    <n v="14"/>
    <x v="73"/>
    <n v="12.15"/>
    <n v="30.2"/>
    <n v="0.92"/>
    <n v="391.82"/>
  </r>
  <r>
    <x v="1506"/>
    <n v="1370"/>
    <x v="3"/>
    <x v="0"/>
    <n v="8"/>
    <x v="361"/>
    <n v="11.58"/>
    <n v="27.53"/>
    <n v="0.98"/>
    <n v="370.93"/>
  </r>
  <r>
    <x v="1507"/>
    <n v="1370"/>
    <x v="3"/>
    <x v="0"/>
    <n v="24"/>
    <x v="200"/>
    <n v="11.19"/>
    <n v="31.7"/>
    <n v="1.02"/>
    <n v="373.71"/>
  </r>
  <r>
    <x v="1508"/>
    <n v="1370"/>
    <x v="3"/>
    <x v="0"/>
    <n v="166"/>
    <x v="270"/>
    <n v="11.02"/>
    <n v="33.79"/>
    <n v="1.01"/>
    <n v="358.79"/>
  </r>
  <r>
    <x v="1509"/>
    <n v="1370"/>
    <x v="3"/>
    <x v="0"/>
    <n v="12"/>
    <x v="233"/>
    <n v="12.05"/>
    <n v="35.82"/>
    <n v="0.94"/>
    <n v="401.24"/>
  </r>
  <r>
    <x v="1510"/>
    <n v="1370"/>
    <x v="3"/>
    <x v="1"/>
    <n v="13"/>
    <x v="492"/>
    <n v="3"/>
    <n v="32.6"/>
    <n v="0.81"/>
    <n v="78.97"/>
  </r>
  <r>
    <x v="1511"/>
    <n v="1370"/>
    <x v="3"/>
    <x v="0"/>
    <n v="14"/>
    <x v="645"/>
    <n v="11.35"/>
    <n v="30.53"/>
    <n v="1"/>
    <n v="345.97"/>
  </r>
  <r>
    <x v="1512"/>
    <n v="1370"/>
    <x v="3"/>
    <x v="0"/>
    <n v="11"/>
    <x v="370"/>
    <n v="11.1"/>
    <n v="30.8"/>
    <n v="0.91"/>
    <n v="364.57"/>
  </r>
  <r>
    <x v="1513"/>
    <n v="1371"/>
    <x v="3"/>
    <x v="0"/>
    <n v="16"/>
    <x v="308"/>
    <n v="11.67"/>
    <n v="30.32"/>
    <n v="1.08"/>
    <n v="301.36"/>
  </r>
  <r>
    <x v="1514"/>
    <n v="1371"/>
    <x v="3"/>
    <x v="0"/>
    <n v="12"/>
    <x v="310"/>
    <n v="12.02"/>
    <n v="30.63"/>
    <n v="1.02"/>
    <n v="388.34"/>
  </r>
  <r>
    <x v="1515"/>
    <n v="1371"/>
    <x v="3"/>
    <x v="1"/>
    <n v="12"/>
    <x v="79"/>
    <n v="3.01"/>
    <n v="34.06"/>
    <n v="0.78"/>
    <n v="88.9"/>
  </r>
  <r>
    <x v="1516"/>
    <n v="1371"/>
    <x v="3"/>
    <x v="1"/>
    <n v="27"/>
    <x v="290"/>
    <n v="2.99"/>
    <n v="27.92"/>
    <n v="0.78"/>
    <n v="87.06"/>
  </r>
  <r>
    <x v="1517"/>
    <n v="1371"/>
    <x v="3"/>
    <x v="1"/>
    <n v="10"/>
    <x v="18"/>
    <n v="2.72"/>
    <n v="30.6"/>
    <n v="0.79"/>
    <n v="82.35"/>
  </r>
  <r>
    <x v="1518"/>
    <n v="1371"/>
    <x v="3"/>
    <x v="1"/>
    <n v="10"/>
    <x v="613"/>
    <n v="3.07"/>
    <n v="30.81"/>
    <n v="0.8"/>
    <n v="87.56"/>
  </r>
  <r>
    <x v="1519"/>
    <n v="1371"/>
    <x v="3"/>
    <x v="0"/>
    <n v="19"/>
    <x v="312"/>
    <n v="12"/>
    <n v="30.49"/>
    <n v="1.08"/>
    <n v="412.07"/>
  </r>
  <r>
    <x v="1520"/>
    <n v="1371"/>
    <x v="3"/>
    <x v="0"/>
    <n v="14"/>
    <x v="556"/>
    <n v="11.13"/>
    <n v="28.16"/>
    <n v="1.02"/>
    <n v="355.36"/>
  </r>
  <r>
    <x v="1521"/>
    <n v="1371"/>
    <x v="3"/>
    <x v="0"/>
    <n v="13"/>
    <x v="646"/>
    <n v="11.76"/>
    <n v="28.93"/>
    <n v="0.91"/>
    <n v="376.99"/>
  </r>
  <r>
    <x v="1522"/>
    <n v="1371"/>
    <x v="3"/>
    <x v="1"/>
    <n v="13"/>
    <x v="18"/>
    <n v="2.91"/>
    <n v="28.85"/>
    <n v="0.85"/>
    <n v="86.63"/>
  </r>
  <r>
    <x v="1523"/>
    <n v="1371"/>
    <x v="3"/>
    <x v="1"/>
    <n v="16"/>
    <x v="512"/>
    <n v="2.88"/>
    <n v="31.23"/>
    <n v="0.8"/>
    <n v="71.510000000000005"/>
  </r>
  <r>
    <x v="1524"/>
    <n v="1371"/>
    <x v="3"/>
    <x v="1"/>
    <n v="16"/>
    <x v="517"/>
    <n v="2.69"/>
    <n v="30.41"/>
    <n v="0.79"/>
    <n v="82.35"/>
  </r>
  <r>
    <x v="1525"/>
    <n v="1371"/>
    <x v="3"/>
    <x v="1"/>
    <n v="14"/>
    <x v="647"/>
    <n v="2.58"/>
    <n v="31.73"/>
    <n v="0.78"/>
    <n v="75.58"/>
  </r>
  <r>
    <x v="1526"/>
    <n v="1371"/>
    <x v="3"/>
    <x v="1"/>
    <n v="13"/>
    <x v="123"/>
    <n v="2.68"/>
    <n v="31.2"/>
    <n v="0.77"/>
    <n v="77.349999999999994"/>
  </r>
  <r>
    <x v="1527"/>
    <n v="1371"/>
    <x v="3"/>
    <x v="0"/>
    <n v="9"/>
    <x v="119"/>
    <n v="10.7"/>
    <n v="27.61"/>
    <n v="0.95"/>
    <n v="339.35"/>
  </r>
  <r>
    <x v="1528"/>
    <n v="1371"/>
    <x v="3"/>
    <x v="0"/>
    <n v="14"/>
    <x v="308"/>
    <n v="10.56"/>
    <n v="37.020000000000003"/>
    <n v="1.01"/>
    <n v="346.56"/>
  </r>
  <r>
    <x v="1529"/>
    <n v="1371"/>
    <x v="3"/>
    <x v="0"/>
    <n v="14"/>
    <x v="176"/>
    <n v="12.12"/>
    <n v="28.19"/>
    <n v="0.9"/>
    <n v="383.01"/>
  </r>
  <r>
    <x v="1530"/>
    <n v="1371"/>
    <x v="3"/>
    <x v="0"/>
    <n v="9"/>
    <x v="648"/>
    <n v="11.63"/>
    <n v="29.62"/>
    <n v="1.03"/>
    <n v="361.02"/>
  </r>
  <r>
    <x v="1531"/>
    <n v="1371"/>
    <x v="3"/>
    <x v="0"/>
    <n v="13"/>
    <x v="185"/>
    <n v="11.06"/>
    <n v="36.79"/>
    <n v="1.01"/>
    <n v="372.76"/>
  </r>
  <r>
    <x v="1532"/>
    <n v="1371"/>
    <x v="3"/>
    <x v="0"/>
    <n v="13"/>
    <x v="202"/>
    <n v="11.38"/>
    <n v="28.27"/>
    <n v="1.02"/>
    <n v="379.13"/>
  </r>
  <r>
    <x v="1533"/>
    <n v="1371"/>
    <x v="3"/>
    <x v="1"/>
    <n v="10"/>
    <x v="36"/>
    <n v="3.12"/>
    <n v="31.27"/>
    <n v="0.83"/>
    <n v="94.19"/>
  </r>
  <r>
    <x v="1534"/>
    <n v="1371"/>
    <x v="3"/>
    <x v="0"/>
    <n v="11"/>
    <x v="151"/>
    <n v="10.42"/>
    <n v="35.32"/>
    <n v="1.02"/>
    <n v="345.89"/>
  </r>
  <r>
    <x v="1535"/>
    <n v="1371"/>
    <x v="3"/>
    <x v="1"/>
    <n v="6"/>
    <x v="45"/>
    <n v="2.68"/>
    <n v="35.85"/>
    <n v="0.77"/>
    <n v="81.400000000000006"/>
  </r>
  <r>
    <x v="1536"/>
    <n v="1371"/>
    <x v="3"/>
    <x v="1"/>
    <n v="21"/>
    <x v="187"/>
    <n v="3.14"/>
    <n v="31.53"/>
    <n v="0.78"/>
    <n v="87.89"/>
  </r>
  <r>
    <x v="1537"/>
    <n v="1371"/>
    <x v="3"/>
    <x v="1"/>
    <n v="16"/>
    <x v="324"/>
    <n v="3.03"/>
    <n v="34.75"/>
    <n v="0.78"/>
    <n v="92.52"/>
  </r>
  <r>
    <x v="1538"/>
    <n v="1371"/>
    <x v="3"/>
    <x v="0"/>
    <n v="15"/>
    <x v="371"/>
    <n v="10.64"/>
    <n v="38.89"/>
    <n v="1.03"/>
    <n v="368.8"/>
  </r>
  <r>
    <x v="1539"/>
    <n v="1371"/>
    <x v="3"/>
    <x v="1"/>
    <n v="12"/>
    <x v="560"/>
    <n v="2.8"/>
    <n v="32.75"/>
    <n v="0.8"/>
    <n v="87.42"/>
  </r>
  <r>
    <x v="1540"/>
    <n v="1371"/>
    <x v="3"/>
    <x v="0"/>
    <n v="14"/>
    <x v="239"/>
    <n v="11.25"/>
    <n v="35.79"/>
    <n v="1.03"/>
    <n v="385.42"/>
  </r>
  <r>
    <x v="1541"/>
    <n v="1372"/>
    <x v="3"/>
    <x v="1"/>
    <n v="36"/>
    <x v="278"/>
    <n v="2.91"/>
    <n v="33.1"/>
    <n v="0.78"/>
    <n v="86.22"/>
  </r>
  <r>
    <x v="1542"/>
    <n v="1372"/>
    <x v="3"/>
    <x v="0"/>
    <n v="21"/>
    <x v="144"/>
    <n v="10.01"/>
    <n v="31.98"/>
    <n v="1.1200000000000001"/>
    <n v="326.27999999999997"/>
  </r>
  <r>
    <x v="1543"/>
    <n v="1372"/>
    <x v="3"/>
    <x v="0"/>
    <n v="28"/>
    <x v="467"/>
    <n v="11.58"/>
    <n v="30.78"/>
    <n v="0.98"/>
    <n v="324.58999999999997"/>
  </r>
  <r>
    <x v="1544"/>
    <n v="1372"/>
    <x v="3"/>
    <x v="1"/>
    <n v="16"/>
    <x v="649"/>
    <n v="2.76"/>
    <n v="34.29"/>
    <n v="0.79"/>
    <n v="77.88"/>
  </r>
  <r>
    <x v="1545"/>
    <n v="1372"/>
    <x v="3"/>
    <x v="0"/>
    <n v="12"/>
    <x v="256"/>
    <n v="11.37"/>
    <n v="31.98"/>
    <n v="1.04"/>
    <n v="387.31"/>
  </r>
  <r>
    <x v="1546"/>
    <n v="1372"/>
    <x v="3"/>
    <x v="0"/>
    <n v="20"/>
    <x v="12"/>
    <n v="10.49"/>
    <n v="34.33"/>
    <n v="1.0900000000000001"/>
    <n v="338.66"/>
  </r>
  <r>
    <x v="1547"/>
    <n v="1372"/>
    <x v="3"/>
    <x v="1"/>
    <n v="13"/>
    <x v="250"/>
    <n v="3.25"/>
    <n v="30.99"/>
    <n v="0.8"/>
    <n v="97.25"/>
  </r>
  <r>
    <x v="1548"/>
    <n v="1373"/>
    <x v="3"/>
    <x v="1"/>
    <n v="15"/>
    <x v="289"/>
    <n v="2.97"/>
    <n v="30.45"/>
    <n v="0.8"/>
    <n v="90.46"/>
  </r>
  <r>
    <x v="1549"/>
    <n v="1373"/>
    <x v="3"/>
    <x v="1"/>
    <n v="19"/>
    <x v="125"/>
    <n v="3.2"/>
    <n v="28.46"/>
    <n v="0.8"/>
    <n v="82.13"/>
  </r>
  <r>
    <x v="1550"/>
    <n v="1373"/>
    <x v="3"/>
    <x v="0"/>
    <n v="20"/>
    <x v="163"/>
    <n v="10.4"/>
    <n v="37.21"/>
    <n v="1.04"/>
    <n v="349.42"/>
  </r>
  <r>
    <x v="1551"/>
    <n v="1373"/>
    <x v="3"/>
    <x v="1"/>
    <n v="53"/>
    <x v="650"/>
    <n v="2.39"/>
    <n v="32.67"/>
    <n v="0.81"/>
    <n v="80.44"/>
  </r>
  <r>
    <x v="1552"/>
    <n v="1373"/>
    <x v="3"/>
    <x v="0"/>
    <n v="13"/>
    <x v="21"/>
    <n v="11.78"/>
    <n v="24.96"/>
    <n v="0.97"/>
    <n v="371.56"/>
  </r>
  <r>
    <x v="1553"/>
    <n v="1373"/>
    <x v="3"/>
    <x v="1"/>
    <n v="18"/>
    <x v="486"/>
    <n v="2.89"/>
    <n v="31.74"/>
    <n v="0.79"/>
    <n v="93.11"/>
  </r>
  <r>
    <x v="1554"/>
    <n v="1373"/>
    <x v="3"/>
    <x v="0"/>
    <n v="10"/>
    <x v="332"/>
    <n v="10.19"/>
    <n v="29.21"/>
    <n v="0.92"/>
    <n v="329.82"/>
  </r>
  <r>
    <x v="1555"/>
    <n v="1373"/>
    <x v="3"/>
    <x v="1"/>
    <n v="13"/>
    <x v="414"/>
    <n v="3.06"/>
    <n v="34.11"/>
    <n v="0.82"/>
    <n v="106.21"/>
  </r>
  <r>
    <x v="1556"/>
    <n v="1373"/>
    <x v="3"/>
    <x v="1"/>
    <n v="9"/>
    <x v="296"/>
    <n v="3.03"/>
    <n v="31.04"/>
    <n v="0.84"/>
    <n v="90.76"/>
  </r>
  <r>
    <x v="1557"/>
    <n v="1374"/>
    <x v="3"/>
    <x v="0"/>
    <n v="17"/>
    <x v="152"/>
    <n v="11.7"/>
    <n v="35.729999999999997"/>
    <n v="1.03"/>
    <n v="392.22"/>
  </r>
  <r>
    <x v="1558"/>
    <n v="1374"/>
    <x v="3"/>
    <x v="1"/>
    <n v="14"/>
    <x v="143"/>
    <n v="2.6"/>
    <n v="36.700000000000003"/>
    <n v="0.79"/>
    <n v="88.45"/>
  </r>
  <r>
    <x v="1559"/>
    <n v="1374"/>
    <x v="3"/>
    <x v="0"/>
    <n v="21"/>
    <x v="651"/>
    <n v="11.59"/>
    <n v="31.57"/>
    <n v="0.97"/>
    <n v="348.32"/>
  </r>
  <r>
    <x v="1560"/>
    <n v="1374"/>
    <x v="3"/>
    <x v="0"/>
    <n v="29"/>
    <x v="642"/>
    <n v="11.57"/>
    <n v="26.7"/>
    <n v="0.93"/>
    <n v="335.03"/>
  </r>
  <r>
    <x v="1561"/>
    <n v="1374"/>
    <x v="3"/>
    <x v="1"/>
    <n v="11"/>
    <x v="136"/>
    <n v="3.1"/>
    <n v="30.84"/>
    <n v="0.77"/>
    <n v="86.09"/>
  </r>
  <r>
    <x v="1562"/>
    <n v="1374"/>
    <x v="3"/>
    <x v="1"/>
    <n v="13"/>
    <x v="88"/>
    <n v="2.83"/>
    <n v="30.33"/>
    <n v="0.8"/>
    <n v="87.24"/>
  </r>
  <r>
    <x v="1563"/>
    <n v="1374"/>
    <x v="3"/>
    <x v="0"/>
    <n v="11"/>
    <x v="634"/>
    <n v="11.12"/>
    <n v="34.33"/>
    <n v="0.94"/>
    <n v="343.25"/>
  </r>
  <r>
    <x v="1564"/>
    <n v="1375"/>
    <x v="1"/>
    <x v="0"/>
    <n v="9"/>
    <x v="287"/>
    <n v="11.02"/>
    <n v="27.27"/>
    <n v="0.91"/>
    <n v="360"/>
  </r>
  <r>
    <x v="1565"/>
    <n v="1375"/>
    <x v="1"/>
    <x v="0"/>
    <n v="62"/>
    <x v="83"/>
    <n v="11.2"/>
    <n v="35"/>
    <n v="0.93"/>
    <n v="382.1"/>
  </r>
  <r>
    <x v="1566"/>
    <n v="1375"/>
    <x v="1"/>
    <x v="0"/>
    <n v="19"/>
    <x v="119"/>
    <n v="10.91"/>
    <n v="31.26"/>
    <n v="1.03"/>
    <n v="352.5"/>
  </r>
  <r>
    <x v="1567"/>
    <n v="1375"/>
    <x v="1"/>
    <x v="0"/>
    <n v="15"/>
    <x v="31"/>
    <n v="10.69"/>
    <n v="25.23"/>
    <n v="1.1399999999999999"/>
    <n v="344.94"/>
  </r>
  <r>
    <x v="1568"/>
    <n v="1375"/>
    <x v="1"/>
    <x v="0"/>
    <n v="10"/>
    <x v="211"/>
    <n v="11.7"/>
    <n v="32.25"/>
    <n v="0.94"/>
    <n v="382.24"/>
  </r>
  <r>
    <x v="1569"/>
    <n v="1375"/>
    <x v="1"/>
    <x v="1"/>
    <n v="16"/>
    <x v="294"/>
    <n v="2.86"/>
    <n v="28.28"/>
    <n v="0.77"/>
    <n v="77.400000000000006"/>
  </r>
  <r>
    <x v="1570"/>
    <n v="1375"/>
    <x v="1"/>
    <x v="0"/>
    <n v="17"/>
    <x v="343"/>
    <n v="10.84"/>
    <n v="36.21"/>
    <n v="1.04"/>
    <n v="378.11"/>
  </r>
  <r>
    <x v="1571"/>
    <n v="1376"/>
    <x v="3"/>
    <x v="0"/>
    <n v="18"/>
    <x v="323"/>
    <n v="10.65"/>
    <n v="29.98"/>
    <n v="1.07"/>
    <n v="365.94"/>
  </r>
  <r>
    <x v="1572"/>
    <n v="1376"/>
    <x v="3"/>
    <x v="0"/>
    <n v="14"/>
    <x v="80"/>
    <n v="11.05"/>
    <n v="26.97"/>
    <n v="1"/>
    <n v="359.68"/>
  </r>
  <r>
    <x v="1573"/>
    <n v="1376"/>
    <x v="3"/>
    <x v="1"/>
    <n v="42"/>
    <x v="507"/>
    <n v="2.78"/>
    <n v="32.18"/>
    <n v="0.79"/>
    <n v="83.66"/>
  </r>
  <r>
    <x v="1574"/>
    <n v="1376"/>
    <x v="3"/>
    <x v="1"/>
    <n v="25"/>
    <x v="325"/>
    <n v="2.91"/>
    <n v="33.31"/>
    <n v="0.81"/>
    <n v="91.5"/>
  </r>
  <r>
    <x v="1575"/>
    <n v="1376"/>
    <x v="3"/>
    <x v="1"/>
    <n v="15"/>
    <x v="441"/>
    <n v="2.3199999999999998"/>
    <n v="29.57"/>
    <n v="0.82"/>
    <n v="76.69"/>
  </r>
  <r>
    <x v="1576"/>
    <n v="1376"/>
    <x v="3"/>
    <x v="1"/>
    <n v="9"/>
    <x v="311"/>
    <n v="3.22"/>
    <n v="32.94"/>
    <n v="0.8"/>
    <n v="94.21"/>
  </r>
  <r>
    <x v="1577"/>
    <n v="1376"/>
    <x v="3"/>
    <x v="0"/>
    <n v="12"/>
    <x v="215"/>
    <n v="11.16"/>
    <n v="26.84"/>
    <n v="1.05"/>
    <n v="366.38"/>
  </r>
  <r>
    <x v="1578"/>
    <n v="1377"/>
    <x v="1"/>
    <x v="0"/>
    <n v="16"/>
    <x v="236"/>
    <n v="12.17"/>
    <n v="34.880000000000003"/>
    <n v="1.03"/>
    <n v="421.46"/>
  </r>
  <r>
    <x v="1579"/>
    <n v="1377"/>
    <x v="1"/>
    <x v="1"/>
    <n v="12"/>
    <x v="217"/>
    <n v="2.8"/>
    <n v="32.06"/>
    <n v="0.81"/>
    <n v="85.04"/>
  </r>
  <r>
    <x v="1580"/>
    <n v="1377"/>
    <x v="1"/>
    <x v="0"/>
    <n v="13"/>
    <x v="98"/>
    <n v="11.44"/>
    <n v="28.07"/>
    <n v="1.05"/>
    <n v="296.19"/>
  </r>
  <r>
    <x v="1581"/>
    <n v="1377"/>
    <x v="1"/>
    <x v="1"/>
    <n v="11"/>
    <x v="134"/>
    <n v="2.92"/>
    <n v="33.229999999999997"/>
    <n v="0.8"/>
    <n v="89.91"/>
  </r>
  <r>
    <x v="1582"/>
    <n v="1377"/>
    <x v="1"/>
    <x v="1"/>
    <n v="11"/>
    <x v="368"/>
    <n v="3.14"/>
    <n v="32.28"/>
    <n v="0.81"/>
    <n v="93.05"/>
  </r>
  <r>
    <x v="1583"/>
    <n v="1377"/>
    <x v="1"/>
    <x v="1"/>
    <n v="15"/>
    <x v="408"/>
    <n v="3.06"/>
    <n v="34.950000000000003"/>
    <n v="0.83"/>
    <n v="96.24"/>
  </r>
  <r>
    <x v="1584"/>
    <n v="1377"/>
    <x v="1"/>
    <x v="1"/>
    <n v="27"/>
    <x v="379"/>
    <n v="3.06"/>
    <n v="27.44"/>
    <n v="0.76"/>
    <n v="83.49"/>
  </r>
  <r>
    <x v="1585"/>
    <n v="1377"/>
    <x v="1"/>
    <x v="1"/>
    <n v="10"/>
    <x v="365"/>
    <n v="3.01"/>
    <n v="31.29"/>
    <n v="0.79"/>
    <n v="85.01"/>
  </r>
  <r>
    <x v="1586"/>
    <n v="1377"/>
    <x v="1"/>
    <x v="1"/>
    <n v="15"/>
    <x v="115"/>
    <n v="2.66"/>
    <n v="29.26"/>
    <n v="0.84"/>
    <n v="82.37"/>
  </r>
  <r>
    <x v="1587"/>
    <n v="1377"/>
    <x v="1"/>
    <x v="0"/>
    <n v="14"/>
    <x v="652"/>
    <n v="11.66"/>
    <n v="31.36"/>
    <n v="1.01"/>
    <n v="371.57"/>
  </r>
  <r>
    <x v="1588"/>
    <n v="1377"/>
    <x v="1"/>
    <x v="1"/>
    <n v="33"/>
    <x v="471"/>
    <n v="2.69"/>
    <n v="29.3"/>
    <n v="0.82"/>
    <n v="84.24"/>
  </r>
  <r>
    <x v="1589"/>
    <n v="1378"/>
    <x v="1"/>
    <x v="1"/>
    <n v="14"/>
    <x v="653"/>
    <n v="2.97"/>
    <n v="26.7"/>
    <n v="0.76"/>
    <n v="80.84"/>
  </r>
  <r>
    <x v="1590"/>
    <n v="1378"/>
    <x v="1"/>
    <x v="1"/>
    <n v="11"/>
    <x v="654"/>
    <n v="3.05"/>
    <n v="26.56"/>
    <n v="0.82"/>
    <n v="79.569999999999993"/>
  </r>
  <r>
    <x v="1591"/>
    <n v="1378"/>
    <x v="1"/>
    <x v="1"/>
    <n v="15"/>
    <x v="495"/>
    <n v="2.86"/>
    <n v="30.46"/>
    <n v="0.78"/>
    <n v="88.31"/>
  </r>
  <r>
    <x v="1592"/>
    <n v="1378"/>
    <x v="1"/>
    <x v="1"/>
    <n v="14"/>
    <x v="655"/>
    <n v="2.86"/>
    <n v="27.97"/>
    <n v="0.81"/>
    <n v="78.400000000000006"/>
  </r>
  <r>
    <x v="1593"/>
    <n v="1378"/>
    <x v="1"/>
    <x v="1"/>
    <n v="9"/>
    <x v="590"/>
    <n v="2.89"/>
    <n v="32.78"/>
    <n v="0.77"/>
    <n v="92.78"/>
  </r>
  <r>
    <x v="1594"/>
    <n v="1378"/>
    <x v="1"/>
    <x v="0"/>
    <n v="12"/>
    <x v="27"/>
    <n v="10.7"/>
    <n v="33.130000000000003"/>
    <n v="0.93"/>
    <n v="342.58"/>
  </r>
  <r>
    <x v="1595"/>
    <n v="1378"/>
    <x v="1"/>
    <x v="1"/>
    <n v="13"/>
    <x v="277"/>
    <n v="2.74"/>
    <n v="34.76"/>
    <n v="0.82"/>
    <n v="86.32"/>
  </r>
  <r>
    <x v="1596"/>
    <n v="1379"/>
    <x v="3"/>
    <x v="0"/>
    <n v="16"/>
    <x v="11"/>
    <n v="12.37"/>
    <n v="33.770000000000003"/>
    <n v="0.94"/>
    <n v="358.31"/>
  </r>
  <r>
    <x v="1597"/>
    <n v="1379"/>
    <x v="3"/>
    <x v="1"/>
    <n v="22"/>
    <x v="345"/>
    <n v="2.99"/>
    <n v="27.95"/>
    <n v="0.81"/>
    <n v="89.45"/>
  </r>
  <r>
    <x v="1598"/>
    <n v="1379"/>
    <x v="3"/>
    <x v="1"/>
    <n v="15"/>
    <x v="394"/>
    <n v="2.99"/>
    <n v="25.91"/>
    <n v="0.79"/>
    <n v="85.66"/>
  </r>
  <r>
    <x v="1599"/>
    <n v="1379"/>
    <x v="3"/>
    <x v="0"/>
    <n v="7"/>
    <x v="604"/>
    <n v="12.44"/>
    <n v="29.78"/>
    <n v="1.01"/>
    <n v="331.31"/>
  </r>
  <r>
    <x v="1600"/>
    <n v="1379"/>
    <x v="3"/>
    <x v="0"/>
    <n v="11"/>
    <x v="295"/>
    <n v="11.3"/>
    <n v="34.32"/>
    <n v="0.95"/>
    <n v="370.27"/>
  </r>
  <r>
    <x v="1601"/>
    <n v="1379"/>
    <x v="3"/>
    <x v="0"/>
    <n v="110"/>
    <x v="656"/>
    <n v="10.29"/>
    <n v="29.04"/>
    <n v="1.05"/>
    <n v="315.01"/>
  </r>
  <r>
    <x v="1602"/>
    <n v="1379"/>
    <x v="3"/>
    <x v="1"/>
    <n v="11"/>
    <x v="63"/>
    <n v="2.69"/>
    <n v="29.91"/>
    <n v="0.82"/>
    <n v="81.94"/>
  </r>
  <r>
    <x v="1603"/>
    <n v="1379"/>
    <x v="3"/>
    <x v="1"/>
    <n v="13"/>
    <x v="357"/>
    <n v="2.75"/>
    <n v="28.91"/>
    <n v="0.81"/>
    <n v="79.98"/>
  </r>
  <r>
    <x v="1604"/>
    <n v="1380"/>
    <x v="0"/>
    <x v="0"/>
    <n v="15"/>
    <x v="159"/>
    <n v="11.04"/>
    <n v="33.450000000000003"/>
    <n v="1.04"/>
    <n v="346.52"/>
  </r>
  <r>
    <x v="1605"/>
    <n v="1380"/>
    <x v="0"/>
    <x v="0"/>
    <n v="11"/>
    <x v="657"/>
    <n v="9.56"/>
    <n v="33.880000000000003"/>
    <n v="0.96"/>
    <n v="304.33999999999997"/>
  </r>
  <r>
    <x v="1606"/>
    <n v="1380"/>
    <x v="0"/>
    <x v="0"/>
    <n v="13"/>
    <x v="642"/>
    <n v="11.69"/>
    <n v="28.45"/>
    <n v="1.03"/>
    <n v="343.52"/>
  </r>
  <r>
    <x v="1607"/>
    <n v="1380"/>
    <x v="0"/>
    <x v="1"/>
    <n v="12"/>
    <x v="301"/>
    <n v="2.58"/>
    <n v="30.2"/>
    <n v="0.82"/>
    <n v="80.17"/>
  </r>
  <r>
    <x v="1608"/>
    <n v="1380"/>
    <x v="0"/>
    <x v="1"/>
    <n v="18"/>
    <x v="573"/>
    <n v="3.06"/>
    <n v="30.46"/>
    <n v="0.82"/>
    <n v="85.88"/>
  </r>
  <r>
    <x v="1609"/>
    <n v="1380"/>
    <x v="0"/>
    <x v="0"/>
    <n v="7"/>
    <x v="658"/>
    <n v="11"/>
    <n v="34.869999999999997"/>
    <n v="1.1599999999999999"/>
    <n v="344.79"/>
  </r>
  <r>
    <x v="1610"/>
    <n v="1380"/>
    <x v="0"/>
    <x v="1"/>
    <n v="15"/>
    <x v="659"/>
    <n v="2.74"/>
    <n v="27.79"/>
    <n v="0.79"/>
    <n v="73.349999999999994"/>
  </r>
  <r>
    <x v="1611"/>
    <n v="1380"/>
    <x v="0"/>
    <x v="0"/>
    <n v="14"/>
    <x v="83"/>
    <n v="11.28"/>
    <n v="29.65"/>
    <n v="0.95"/>
    <n v="312.70999999999998"/>
  </r>
  <r>
    <x v="1612"/>
    <n v="1380"/>
    <x v="0"/>
    <x v="0"/>
    <n v="26"/>
    <x v="0"/>
    <n v="10.32"/>
    <n v="34.89"/>
    <n v="0.9"/>
    <n v="335.64"/>
  </r>
  <r>
    <x v="1613"/>
    <n v="1381"/>
    <x v="3"/>
    <x v="1"/>
    <n v="13"/>
    <x v="60"/>
    <n v="2.89"/>
    <n v="27.01"/>
    <n v="0.84"/>
    <n v="75.28"/>
  </r>
  <r>
    <x v="1614"/>
    <n v="1381"/>
    <x v="3"/>
    <x v="1"/>
    <n v="9"/>
    <x v="386"/>
    <n v="2.92"/>
    <n v="28.34"/>
    <n v="0.82"/>
    <n v="85.51"/>
  </r>
  <r>
    <x v="1615"/>
    <n v="1381"/>
    <x v="3"/>
    <x v="1"/>
    <n v="12"/>
    <x v="660"/>
    <n v="2.6"/>
    <n v="29.31"/>
    <n v="0.81"/>
    <n v="84.03"/>
  </r>
  <r>
    <x v="1616"/>
    <n v="1381"/>
    <x v="3"/>
    <x v="0"/>
    <n v="12"/>
    <x v="280"/>
    <n v="11.85"/>
    <n v="29.52"/>
    <n v="1.03"/>
    <n v="369.33"/>
  </r>
  <r>
    <x v="1617"/>
    <n v="1381"/>
    <x v="3"/>
    <x v="1"/>
    <n v="19"/>
    <x v="150"/>
    <n v="2.94"/>
    <n v="37.56"/>
    <n v="0.82"/>
    <n v="97.95"/>
  </r>
  <r>
    <x v="1618"/>
    <n v="1381"/>
    <x v="3"/>
    <x v="0"/>
    <n v="8"/>
    <x v="176"/>
    <n v="10.33"/>
    <n v="34.24"/>
    <n v="0.94"/>
    <n v="339.01"/>
  </r>
  <r>
    <x v="1619"/>
    <n v="1381"/>
    <x v="3"/>
    <x v="0"/>
    <n v="21"/>
    <x v="446"/>
    <n v="12.41"/>
    <n v="31.55"/>
    <n v="1.08"/>
    <n v="404.21"/>
  </r>
  <r>
    <x v="1620"/>
    <n v="1382"/>
    <x v="0"/>
    <x v="1"/>
    <n v="15"/>
    <x v="661"/>
    <n v="3.1"/>
    <n v="32.92"/>
    <n v="0.8"/>
    <n v="88.09"/>
  </r>
  <r>
    <x v="1621"/>
    <n v="1382"/>
    <x v="0"/>
    <x v="1"/>
    <n v="13"/>
    <x v="662"/>
    <n v="2.88"/>
    <n v="29.24"/>
    <n v="0.82"/>
    <n v="87.08"/>
  </r>
  <r>
    <x v="1622"/>
    <n v="1382"/>
    <x v="0"/>
    <x v="0"/>
    <n v="12"/>
    <x v="382"/>
    <n v="11.56"/>
    <n v="32.159999999999997"/>
    <n v="1"/>
    <n v="355.01"/>
  </r>
  <r>
    <x v="1623"/>
    <n v="1382"/>
    <x v="0"/>
    <x v="1"/>
    <n v="15"/>
    <x v="633"/>
    <n v="3.29"/>
    <n v="36.729999999999997"/>
    <n v="0.82"/>
    <n v="105.6"/>
  </r>
  <r>
    <x v="1624"/>
    <n v="1382"/>
    <x v="0"/>
    <x v="1"/>
    <n v="25"/>
    <x v="359"/>
    <n v="2.78"/>
    <n v="28.84"/>
    <n v="0.85"/>
    <n v="89.27"/>
  </r>
  <r>
    <x v="1625"/>
    <n v="1382"/>
    <x v="0"/>
    <x v="0"/>
    <n v="27"/>
    <x v="332"/>
    <n v="10.72"/>
    <n v="28.77"/>
    <n v="1.06"/>
    <n v="349.63"/>
  </r>
  <r>
    <x v="1626"/>
    <n v="1382"/>
    <x v="0"/>
    <x v="0"/>
    <n v="13"/>
    <x v="663"/>
    <n v="12.18"/>
    <n v="26.37"/>
    <n v="0.99"/>
    <n v="398.31"/>
  </r>
  <r>
    <x v="1627"/>
    <n v="1382"/>
    <x v="0"/>
    <x v="0"/>
    <n v="16"/>
    <x v="157"/>
    <n v="11.85"/>
    <n v="30.68"/>
    <n v="0.96"/>
    <n v="404.33"/>
  </r>
  <r>
    <x v="1628"/>
    <n v="1383"/>
    <x v="3"/>
    <x v="0"/>
    <n v="10"/>
    <x v="588"/>
    <n v="10.01"/>
    <n v="29.28"/>
    <n v="0.96"/>
    <n v="330.5"/>
  </r>
  <r>
    <x v="1629"/>
    <n v="1383"/>
    <x v="3"/>
    <x v="1"/>
    <n v="23"/>
    <x v="580"/>
    <n v="2.87"/>
    <n v="33.6"/>
    <n v="0.79"/>
    <n v="86.97"/>
  </r>
  <r>
    <x v="1630"/>
    <n v="1383"/>
    <x v="3"/>
    <x v="1"/>
    <n v="15"/>
    <x v="263"/>
    <n v="3.1"/>
    <n v="29.41"/>
    <n v="0.8"/>
    <n v="92.42"/>
  </r>
  <r>
    <x v="1631"/>
    <n v="1383"/>
    <x v="3"/>
    <x v="1"/>
    <n v="14"/>
    <x v="573"/>
    <n v="2.75"/>
    <n v="36.19"/>
    <n v="0.8"/>
    <n v="84.33"/>
  </r>
  <r>
    <x v="1632"/>
    <n v="1383"/>
    <x v="3"/>
    <x v="1"/>
    <n v="10"/>
    <x v="19"/>
    <n v="3.34"/>
    <n v="30"/>
    <n v="0.82"/>
    <n v="98.34"/>
  </r>
  <r>
    <x v="1633"/>
    <n v="1383"/>
    <x v="3"/>
    <x v="0"/>
    <n v="15"/>
    <x v="664"/>
    <n v="11.39"/>
    <n v="29.89"/>
    <n v="1.05"/>
    <n v="379.93"/>
  </r>
  <r>
    <x v="1634"/>
    <n v="1383"/>
    <x v="3"/>
    <x v="1"/>
    <n v="18"/>
    <x v="665"/>
    <n v="3.09"/>
    <n v="34.6"/>
    <n v="0.77"/>
    <n v="84.58"/>
  </r>
  <r>
    <x v="1635"/>
    <n v="1384"/>
    <x v="1"/>
    <x v="0"/>
    <n v="14"/>
    <x v="519"/>
    <n v="9.67"/>
    <n v="37.56"/>
    <n v="1.04"/>
    <n v="331.58"/>
  </r>
  <r>
    <x v="1636"/>
    <n v="1384"/>
    <x v="1"/>
    <x v="1"/>
    <n v="14"/>
    <x v="115"/>
    <n v="3.07"/>
    <n v="29.16"/>
    <n v="0.79"/>
    <n v="89.21"/>
  </r>
  <r>
    <x v="1637"/>
    <n v="1384"/>
    <x v="1"/>
    <x v="0"/>
    <n v="31"/>
    <x v="666"/>
    <n v="12.27"/>
    <n v="32.409999999999997"/>
    <n v="1.06"/>
    <n v="374.7"/>
  </r>
  <r>
    <x v="1638"/>
    <n v="1384"/>
    <x v="1"/>
    <x v="1"/>
    <n v="10"/>
    <x v="517"/>
    <n v="2.92"/>
    <n v="29.54"/>
    <n v="0.81"/>
    <n v="87.03"/>
  </r>
  <r>
    <x v="1639"/>
    <n v="1384"/>
    <x v="1"/>
    <x v="0"/>
    <n v="48"/>
    <x v="295"/>
    <n v="11.7"/>
    <n v="38.840000000000003"/>
    <n v="0.95"/>
    <n v="387.11"/>
  </r>
  <r>
    <x v="1640"/>
    <n v="1384"/>
    <x v="1"/>
    <x v="1"/>
    <n v="10"/>
    <x v="222"/>
    <n v="2.83"/>
    <n v="32.07"/>
    <n v="0.78"/>
    <n v="83.16"/>
  </r>
  <r>
    <x v="1641"/>
    <n v="1384"/>
    <x v="1"/>
    <x v="1"/>
    <n v="13"/>
    <x v="63"/>
    <n v="2.89"/>
    <n v="37.93"/>
    <n v="0.8"/>
    <n v="92.43"/>
  </r>
  <r>
    <x v="1642"/>
    <n v="1385"/>
    <x v="1"/>
    <x v="1"/>
    <n v="15"/>
    <x v="18"/>
    <n v="2.88"/>
    <n v="30.4"/>
    <n v="0.83"/>
    <n v="86.8"/>
  </r>
  <r>
    <x v="1643"/>
    <n v="1385"/>
    <x v="1"/>
    <x v="1"/>
    <n v="22"/>
    <x v="354"/>
    <n v="2.82"/>
    <n v="27.79"/>
    <n v="0.81"/>
    <n v="83.31"/>
  </r>
  <r>
    <x v="1644"/>
    <n v="1385"/>
    <x v="1"/>
    <x v="0"/>
    <n v="15"/>
    <x v="667"/>
    <n v="11.85"/>
    <n v="32.1"/>
    <n v="0.91"/>
    <n v="375.66"/>
  </r>
  <r>
    <x v="1645"/>
    <n v="1385"/>
    <x v="1"/>
    <x v="0"/>
    <n v="16"/>
    <x v="391"/>
    <n v="10.73"/>
    <n v="26.23"/>
    <n v="1.05"/>
    <n v="348"/>
  </r>
  <r>
    <x v="1646"/>
    <n v="1385"/>
    <x v="1"/>
    <x v="1"/>
    <n v="12"/>
    <x v="86"/>
    <n v="2.88"/>
    <n v="34.799999999999997"/>
    <n v="0.83"/>
    <n v="90.22"/>
  </r>
  <r>
    <x v="1647"/>
    <n v="1385"/>
    <x v="1"/>
    <x v="0"/>
    <n v="17"/>
    <x v="395"/>
    <n v="10.37"/>
    <n v="29.55"/>
    <n v="0.95"/>
    <n v="343.76"/>
  </r>
  <r>
    <x v="1648"/>
    <n v="1385"/>
    <x v="1"/>
    <x v="0"/>
    <n v="16"/>
    <x v="312"/>
    <n v="11.02"/>
    <n v="30.58"/>
    <n v="1.01"/>
    <n v="379.19"/>
  </r>
  <r>
    <x v="1649"/>
    <n v="1385"/>
    <x v="1"/>
    <x v="1"/>
    <n v="16"/>
    <x v="668"/>
    <n v="2.88"/>
    <n v="30.17"/>
    <n v="0.82"/>
    <n v="76.95"/>
  </r>
  <r>
    <x v="1650"/>
    <n v="1386"/>
    <x v="2"/>
    <x v="0"/>
    <n v="9"/>
    <x v="657"/>
    <n v="11.56"/>
    <n v="32.659999999999997"/>
    <n v="0.97"/>
    <n v="358.91"/>
  </r>
  <r>
    <x v="1651"/>
    <n v="1386"/>
    <x v="2"/>
    <x v="0"/>
    <n v="14"/>
    <x v="270"/>
    <n v="11.69"/>
    <n v="24.76"/>
    <n v="1.02"/>
    <n v="367.57"/>
  </r>
  <r>
    <x v="1652"/>
    <n v="1386"/>
    <x v="2"/>
    <x v="1"/>
    <n v="14"/>
    <x v="250"/>
    <n v="2.71"/>
    <n v="32.700000000000003"/>
    <n v="0.81"/>
    <n v="87.49"/>
  </r>
  <r>
    <x v="1653"/>
    <n v="1386"/>
    <x v="2"/>
    <x v="0"/>
    <n v="13"/>
    <x v="430"/>
    <n v="11.94"/>
    <n v="32.299999999999997"/>
    <n v="1.05"/>
    <n v="380.48"/>
  </r>
  <r>
    <x v="1654"/>
    <n v="1386"/>
    <x v="2"/>
    <x v="1"/>
    <n v="30"/>
    <x v="621"/>
    <n v="2.92"/>
    <n v="27.07"/>
    <n v="0.82"/>
    <n v="76.569999999999993"/>
  </r>
  <r>
    <x v="1655"/>
    <n v="1386"/>
    <x v="2"/>
    <x v="0"/>
    <n v="16"/>
    <x v="669"/>
    <n v="11.84"/>
    <n v="27.03"/>
    <n v="0.99"/>
    <n v="333.36"/>
  </r>
  <r>
    <x v="1656"/>
    <n v="1386"/>
    <x v="2"/>
    <x v="0"/>
    <n v="14"/>
    <x v="569"/>
    <n v="12.17"/>
    <n v="30.77"/>
    <n v="1.05"/>
    <n v="359.59"/>
  </r>
  <r>
    <x v="1657"/>
    <n v="1386"/>
    <x v="2"/>
    <x v="1"/>
    <n v="37"/>
    <x v="536"/>
    <n v="3.15"/>
    <n v="34.93"/>
    <n v="0.85"/>
    <n v="94.47"/>
  </r>
  <r>
    <x v="1658"/>
    <n v="1387"/>
    <x v="3"/>
    <x v="0"/>
    <n v="20"/>
    <x v="581"/>
    <n v="12.71"/>
    <n v="28.72"/>
    <n v="0.95"/>
    <n v="405.68"/>
  </r>
  <r>
    <x v="1659"/>
    <n v="1387"/>
    <x v="3"/>
    <x v="0"/>
    <n v="22"/>
    <x v="343"/>
    <n v="10.39"/>
    <n v="36.020000000000003"/>
    <n v="1.03"/>
    <n v="363.61"/>
  </r>
  <r>
    <x v="1660"/>
    <n v="1387"/>
    <x v="3"/>
    <x v="0"/>
    <n v="8"/>
    <x v="670"/>
    <n v="10.31"/>
    <n v="31.26"/>
    <n v="0.96"/>
    <n v="371.11"/>
  </r>
  <r>
    <x v="1661"/>
    <n v="1387"/>
    <x v="3"/>
    <x v="1"/>
    <n v="180"/>
    <x v="671"/>
    <n v="2.69"/>
    <n v="26.88"/>
    <n v="0.8"/>
    <n v="77.06"/>
  </r>
  <r>
    <x v="1662"/>
    <n v="1387"/>
    <x v="3"/>
    <x v="1"/>
    <n v="17"/>
    <x v="605"/>
    <n v="2.7"/>
    <n v="28.44"/>
    <n v="0.81"/>
    <n v="81.25"/>
  </r>
  <r>
    <x v="1663"/>
    <n v="1387"/>
    <x v="3"/>
    <x v="0"/>
    <n v="19"/>
    <x v="352"/>
    <n v="11.19"/>
    <n v="34.21"/>
    <n v="0.94"/>
    <n v="356.69"/>
  </r>
  <r>
    <x v="1664"/>
    <n v="1387"/>
    <x v="3"/>
    <x v="0"/>
    <n v="17"/>
    <x v="38"/>
    <n v="11.22"/>
    <n v="30.84"/>
    <n v="1.01"/>
    <n v="353.17"/>
  </r>
  <r>
    <x v="1665"/>
    <n v="1387"/>
    <x v="3"/>
    <x v="1"/>
    <n v="15"/>
    <x v="672"/>
    <n v="2.96"/>
    <n v="31.99"/>
    <n v="0.83"/>
    <n v="95.83"/>
  </r>
  <r>
    <x v="1666"/>
    <n v="1388"/>
    <x v="1"/>
    <x v="1"/>
    <n v="96"/>
    <x v="245"/>
    <n v="2.58"/>
    <n v="29.45"/>
    <n v="0.78"/>
    <n v="78.34"/>
  </r>
  <r>
    <x v="1667"/>
    <n v="1388"/>
    <x v="1"/>
    <x v="1"/>
    <n v="13"/>
    <x v="356"/>
    <n v="2.91"/>
    <n v="27.06"/>
    <n v="0.81"/>
    <n v="83.53"/>
  </r>
  <r>
    <x v="1668"/>
    <n v="1388"/>
    <x v="1"/>
    <x v="0"/>
    <n v="25"/>
    <x v="308"/>
    <n v="11.34"/>
    <n v="29.59"/>
    <n v="1.05"/>
    <n v="361.35"/>
  </r>
  <r>
    <x v="1669"/>
    <n v="1388"/>
    <x v="1"/>
    <x v="0"/>
    <n v="29"/>
    <x v="211"/>
    <n v="10.77"/>
    <n v="26.3"/>
    <n v="0.86"/>
    <n v="345.56"/>
  </r>
  <r>
    <x v="1670"/>
    <n v="1388"/>
    <x v="1"/>
    <x v="1"/>
    <n v="39"/>
    <x v="673"/>
    <n v="3.02"/>
    <n v="29.61"/>
    <n v="0.82"/>
    <n v="92.48"/>
  </r>
  <r>
    <x v="1671"/>
    <n v="1388"/>
    <x v="1"/>
    <x v="1"/>
    <n v="17"/>
    <x v="674"/>
    <n v="2.76"/>
    <n v="34.229999999999997"/>
    <n v="0.8"/>
    <n v="82.23"/>
  </r>
  <r>
    <x v="1672"/>
    <n v="1388"/>
    <x v="1"/>
    <x v="1"/>
    <n v="118"/>
    <x v="612"/>
    <n v="2.64"/>
    <n v="36.630000000000003"/>
    <n v="0.78"/>
    <n v="82.68"/>
  </r>
  <r>
    <x v="1673"/>
    <n v="1388"/>
    <x v="1"/>
    <x v="0"/>
    <n v="15"/>
    <x v="309"/>
    <n v="10.64"/>
    <n v="35.299999999999997"/>
    <n v="1.1200000000000001"/>
    <n v="300.77"/>
  </r>
  <r>
    <x v="1674"/>
    <n v="1388"/>
    <x v="1"/>
    <x v="0"/>
    <n v="12"/>
    <x v="572"/>
    <n v="10.75"/>
    <n v="33.44"/>
    <n v="0.93"/>
    <n v="302.45999999999998"/>
  </r>
  <r>
    <x v="1675"/>
    <n v="1388"/>
    <x v="1"/>
    <x v="1"/>
    <n v="21"/>
    <x v="112"/>
    <n v="2.87"/>
    <n v="29.98"/>
    <n v="0.77"/>
    <n v="84.11"/>
  </r>
  <r>
    <x v="1676"/>
    <n v="1388"/>
    <x v="1"/>
    <x v="1"/>
    <n v="7"/>
    <x v="468"/>
    <n v="3.1"/>
    <n v="37.99"/>
    <n v="0.8"/>
    <n v="99.03"/>
  </r>
  <r>
    <x v="1677"/>
    <n v="1389"/>
    <x v="1"/>
    <x v="0"/>
    <n v="13"/>
    <x v="0"/>
    <n v="9.92"/>
    <n v="34.17"/>
    <n v="1.06"/>
    <n v="329.81"/>
  </r>
  <r>
    <x v="1678"/>
    <n v="1389"/>
    <x v="1"/>
    <x v="0"/>
    <n v="21"/>
    <x v="556"/>
    <n v="10.08"/>
    <n v="29.73"/>
    <n v="1.07"/>
    <n v="328.74"/>
  </r>
  <r>
    <x v="1679"/>
    <n v="1389"/>
    <x v="1"/>
    <x v="1"/>
    <n v="8"/>
    <x v="413"/>
    <n v="2.86"/>
    <n v="32.979999999999997"/>
    <n v="0.84"/>
    <n v="89.5"/>
  </r>
  <r>
    <x v="1680"/>
    <n v="1389"/>
    <x v="1"/>
    <x v="0"/>
    <n v="20"/>
    <x v="552"/>
    <n v="11.02"/>
    <n v="33.28"/>
    <n v="0.92"/>
    <n v="342.15"/>
  </r>
  <r>
    <x v="1681"/>
    <n v="1389"/>
    <x v="1"/>
    <x v="0"/>
    <n v="11"/>
    <x v="48"/>
    <n v="12.09"/>
    <n v="33.39"/>
    <n v="0.9"/>
    <n v="427.81"/>
  </r>
  <r>
    <x v="1682"/>
    <n v="1389"/>
    <x v="1"/>
    <x v="0"/>
    <n v="10"/>
    <x v="114"/>
    <n v="11.32"/>
    <n v="33.67"/>
    <n v="0.96"/>
    <n v="382.31"/>
  </r>
  <r>
    <x v="1683"/>
    <n v="1389"/>
    <x v="1"/>
    <x v="1"/>
    <n v="18"/>
    <x v="369"/>
    <n v="2.94"/>
    <n v="30.94"/>
    <n v="0.8"/>
    <n v="93.32"/>
  </r>
  <r>
    <x v="1684"/>
    <n v="1389"/>
    <x v="1"/>
    <x v="1"/>
    <n v="15"/>
    <x v="452"/>
    <n v="2.67"/>
    <n v="29.36"/>
    <n v="0.8"/>
    <n v="80.319999999999993"/>
  </r>
  <r>
    <x v="1685"/>
    <n v="1389"/>
    <x v="1"/>
    <x v="1"/>
    <n v="17"/>
    <x v="30"/>
    <n v="2.79"/>
    <n v="31.5"/>
    <n v="0.78"/>
    <n v="86.11"/>
  </r>
  <r>
    <x v="1686"/>
    <n v="1389"/>
    <x v="1"/>
    <x v="1"/>
    <n v="23"/>
    <x v="386"/>
    <n v="2.78"/>
    <n v="31.89"/>
    <n v="0.82"/>
    <n v="85.83"/>
  </r>
  <r>
    <x v="1687"/>
    <n v="1390"/>
    <x v="2"/>
    <x v="1"/>
    <n v="19"/>
    <x v="60"/>
    <n v="3.1"/>
    <n v="36.75"/>
    <n v="0.81"/>
    <n v="95.7"/>
  </r>
  <r>
    <x v="1688"/>
    <n v="1390"/>
    <x v="2"/>
    <x v="0"/>
    <n v="21"/>
    <x v="20"/>
    <n v="10.7"/>
    <n v="30.11"/>
    <n v="1.03"/>
    <n v="338.52"/>
  </r>
  <r>
    <x v="1689"/>
    <n v="1390"/>
    <x v="2"/>
    <x v="0"/>
    <n v="17"/>
    <x v="395"/>
    <n v="10.06"/>
    <n v="32.74"/>
    <n v="0.95"/>
    <n v="338.09"/>
  </r>
  <r>
    <x v="1690"/>
    <n v="1390"/>
    <x v="2"/>
    <x v="0"/>
    <n v="9"/>
    <x v="255"/>
    <n v="12.38"/>
    <n v="27.98"/>
    <n v="1.0900000000000001"/>
    <n v="411.59"/>
  </r>
  <r>
    <x v="1691"/>
    <n v="1390"/>
    <x v="2"/>
    <x v="1"/>
    <n v="16"/>
    <x v="675"/>
    <n v="2.86"/>
    <n v="30.04"/>
    <n v="0.78"/>
    <n v="87.79"/>
  </r>
  <r>
    <x v="1692"/>
    <n v="1390"/>
    <x v="2"/>
    <x v="1"/>
    <n v="13"/>
    <x v="127"/>
    <n v="3"/>
    <n v="30.59"/>
    <n v="0.82"/>
    <n v="93.92"/>
  </r>
  <r>
    <x v="1693"/>
    <n v="1390"/>
    <x v="2"/>
    <x v="1"/>
    <n v="13"/>
    <x v="259"/>
    <n v="2.7"/>
    <n v="30.22"/>
    <n v="0.81"/>
    <n v="81.17"/>
  </r>
  <r>
    <x v="1694"/>
    <n v="1391"/>
    <x v="2"/>
    <x v="1"/>
    <n v="11"/>
    <x v="401"/>
    <n v="3.27"/>
    <n v="36.619999999999997"/>
    <n v="0.8"/>
    <n v="95.4"/>
  </r>
  <r>
    <x v="1695"/>
    <n v="1391"/>
    <x v="2"/>
    <x v="0"/>
    <n v="11"/>
    <x v="663"/>
    <n v="10.73"/>
    <n v="32.97"/>
    <n v="1.01"/>
    <n v="363.15"/>
  </r>
  <r>
    <x v="1696"/>
    <n v="1391"/>
    <x v="2"/>
    <x v="0"/>
    <n v="10"/>
    <x v="651"/>
    <n v="11.22"/>
    <n v="29.27"/>
    <n v="0.99"/>
    <n v="336.4"/>
  </r>
  <r>
    <x v="1697"/>
    <n v="1391"/>
    <x v="2"/>
    <x v="1"/>
    <n v="35"/>
    <x v="676"/>
    <n v="2.86"/>
    <n v="29.54"/>
    <n v="0.79"/>
    <n v="90.24"/>
  </r>
  <r>
    <x v="1698"/>
    <n v="1391"/>
    <x v="2"/>
    <x v="1"/>
    <n v="14"/>
    <x v="300"/>
    <n v="2.84"/>
    <n v="28.34"/>
    <n v="0.81"/>
    <n v="80"/>
  </r>
  <r>
    <x v="1699"/>
    <n v="1391"/>
    <x v="2"/>
    <x v="1"/>
    <n v="11"/>
    <x v="349"/>
    <n v="2.75"/>
    <n v="34.909999999999997"/>
    <n v="0.83"/>
    <n v="84.74"/>
  </r>
  <r>
    <x v="1700"/>
    <n v="1391"/>
    <x v="2"/>
    <x v="1"/>
    <n v="46"/>
    <x v="67"/>
    <n v="2.52"/>
    <n v="30.37"/>
    <n v="0.79"/>
    <n v="80.2"/>
  </r>
  <r>
    <x v="1701"/>
    <n v="1391"/>
    <x v="2"/>
    <x v="1"/>
    <n v="14"/>
    <x v="650"/>
    <n v="2.85"/>
    <n v="32.71"/>
    <n v="0.78"/>
    <n v="89.2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1535B3A-5D77-4C05-9118-29D66277596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10">
    <pivotField showAll="0">
      <items count="170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t="default"/>
      </items>
    </pivotField>
    <pivotField showAll="0"/>
    <pivotField showAll="0">
      <items count="5">
        <item x="2"/>
        <item x="3"/>
        <item x="0"/>
        <item x="1"/>
        <item t="default"/>
      </items>
    </pivotField>
    <pivotField showAll="0">
      <items count="3">
        <item sd="0" x="0"/>
        <item x="1"/>
        <item t="default"/>
      </items>
    </pivotField>
    <pivotField showAll="0"/>
    <pivotField showAll="0">
      <items count="678">
        <item x="643"/>
        <item x="460"/>
        <item x="579"/>
        <item x="122"/>
        <item x="244"/>
        <item x="668"/>
        <item x="223"/>
        <item x="509"/>
        <item x="406"/>
        <item x="592"/>
        <item x="373"/>
        <item x="422"/>
        <item x="221"/>
        <item x="615"/>
        <item x="205"/>
        <item x="342"/>
        <item x="466"/>
        <item x="96"/>
        <item x="378"/>
        <item x="621"/>
        <item x="665"/>
        <item x="49"/>
        <item x="192"/>
        <item x="659"/>
        <item x="600"/>
        <item x="610"/>
        <item x="272"/>
        <item x="64"/>
        <item x="534"/>
        <item x="224"/>
        <item x="478"/>
        <item x="475"/>
        <item x="654"/>
        <item x="545"/>
        <item x="397"/>
        <item x="481"/>
        <item x="465"/>
        <item x="636"/>
        <item x="512"/>
        <item x="164"/>
        <item x="611"/>
        <item x="243"/>
        <item x="291"/>
        <item x="439"/>
        <item x="298"/>
        <item x="540"/>
        <item x="28"/>
        <item x="201"/>
        <item x="544"/>
        <item x="40"/>
        <item x="281"/>
        <item x="559"/>
        <item x="314"/>
        <item x="618"/>
        <item x="477"/>
        <item x="438"/>
        <item x="294"/>
        <item x="655"/>
        <item x="647"/>
        <item x="248"/>
        <item x="32"/>
        <item x="419"/>
        <item x="184"/>
        <item x="603"/>
        <item x="380"/>
        <item x="674"/>
        <item x="348"/>
        <item x="630"/>
        <item x="558"/>
        <item x="61"/>
        <item x="99"/>
        <item x="454"/>
        <item x="303"/>
        <item x="388"/>
        <item x="198"/>
        <item x="45"/>
        <item x="261"/>
        <item x="661"/>
        <item x="573"/>
        <item x="229"/>
        <item x="50"/>
        <item x="133"/>
        <item x="41"/>
        <item x="547"/>
        <item x="51"/>
        <item x="532"/>
        <item x="365"/>
        <item x="349"/>
        <item x="577"/>
        <item x="97"/>
        <item x="300"/>
        <item x="555"/>
        <item x="302"/>
        <item x="401"/>
        <item x="469"/>
        <item x="136"/>
        <item x="497"/>
        <item x="187"/>
        <item x="109"/>
        <item x="178"/>
        <item x="612"/>
        <item x="393"/>
        <item x="606"/>
        <item x="47"/>
        <item x="602"/>
        <item x="271"/>
        <item x="506"/>
        <item x="234"/>
        <item x="130"/>
        <item x="34"/>
        <item x="518"/>
        <item x="492"/>
        <item x="25"/>
        <item x="72"/>
        <item x="186"/>
        <item x="536"/>
        <item x="89"/>
        <item x="557"/>
        <item x="222"/>
        <item x="315"/>
        <item x="613"/>
        <item x="653"/>
        <item x="357"/>
        <item x="209"/>
        <item x="216"/>
        <item x="149"/>
        <item x="520"/>
        <item x="379"/>
        <item x="335"/>
        <item x="203"/>
        <item x="79"/>
        <item x="521"/>
        <item x="671"/>
        <item x="278"/>
        <item x="347"/>
        <item x="207"/>
        <item x="210"/>
        <item x="180"/>
        <item x="241"/>
        <item x="549"/>
        <item x="165"/>
        <item x="265"/>
        <item x="220"/>
        <item x="135"/>
        <item x="214"/>
        <item x="507"/>
        <item x="305"/>
        <item x="277"/>
        <item x="174"/>
        <item x="259"/>
        <item x="75"/>
        <item x="541"/>
        <item x="580"/>
        <item x="389"/>
        <item x="344"/>
        <item x="217"/>
        <item x="3"/>
        <item x="264"/>
        <item x="54"/>
        <item x="409"/>
        <item x="283"/>
        <item x="311"/>
        <item x="154"/>
        <item x="77"/>
        <item x="86"/>
        <item x="60"/>
        <item x="485"/>
        <item x="421"/>
        <item x="146"/>
        <item x="279"/>
        <item x="140"/>
        <item x="637"/>
        <item x="452"/>
        <item x="356"/>
        <item x="63"/>
        <item x="285"/>
        <item x="112"/>
        <item x="368"/>
        <item x="296"/>
        <item x="18"/>
        <item x="301"/>
        <item x="386"/>
        <item x="95"/>
        <item x="649"/>
        <item x="245"/>
        <item x="197"/>
        <item x="498"/>
        <item x="413"/>
        <item x="432"/>
        <item x="297"/>
        <item x="104"/>
        <item x="324"/>
        <item x="605"/>
        <item x="262"/>
        <item x="194"/>
        <item x="524"/>
        <item x="354"/>
        <item x="134"/>
        <item x="517"/>
        <item x="115"/>
        <item x="351"/>
        <item x="208"/>
        <item x="304"/>
        <item x="563"/>
        <item x="137"/>
        <item x="92"/>
        <item x="429"/>
        <item x="37"/>
        <item x="560"/>
        <item x="249"/>
        <item x="218"/>
        <item x="10"/>
        <item x="125"/>
        <item x="81"/>
        <item x="253"/>
        <item x="408"/>
        <item x="36"/>
        <item x="576"/>
        <item x="474"/>
        <item x="662"/>
        <item x="290"/>
        <item x="394"/>
        <item x="543"/>
        <item x="188"/>
        <item x="468"/>
        <item x="30"/>
        <item x="43"/>
        <item x="575"/>
        <item x="108"/>
        <item x="325"/>
        <item x="57"/>
        <item x="68"/>
        <item x="101"/>
        <item x="286"/>
        <item x="19"/>
        <item x="67"/>
        <item x="6"/>
        <item x="226"/>
        <item x="88"/>
        <item x="9"/>
        <item x="396"/>
        <item x="289"/>
        <item x="334"/>
        <item x="263"/>
        <item x="650"/>
        <item x="471"/>
        <item x="250"/>
        <item x="578"/>
        <item x="441"/>
        <item x="321"/>
        <item x="345"/>
        <item x="22"/>
        <item x="355"/>
        <item x="426"/>
        <item x="431"/>
        <item x="675"/>
        <item x="336"/>
        <item x="160"/>
        <item x="495"/>
        <item x="143"/>
        <item x="273"/>
        <item x="673"/>
        <item x="150"/>
        <item x="548"/>
        <item x="4"/>
        <item x="493"/>
        <item x="327"/>
        <item x="510"/>
        <item x="443"/>
        <item x="529"/>
        <item x="583"/>
        <item x="567"/>
        <item x="604"/>
        <item x="251"/>
        <item x="566"/>
        <item x="633"/>
        <item x="472"/>
        <item x="172"/>
        <item x="62"/>
        <item x="127"/>
        <item x="450"/>
        <item x="500"/>
        <item x="537"/>
        <item x="425"/>
        <item x="455"/>
        <item x="660"/>
        <item x="539"/>
        <item x="387"/>
        <item x="639"/>
        <item x="587"/>
        <item x="359"/>
        <item x="562"/>
        <item x="445"/>
        <item x="225"/>
        <item x="369"/>
        <item x="590"/>
        <item x="672"/>
        <item x="153"/>
        <item x="123"/>
        <item x="267"/>
        <item x="676"/>
        <item x="120"/>
        <item x="402"/>
        <item x="246"/>
        <item x="405"/>
        <item x="486"/>
        <item x="505"/>
        <item x="299"/>
        <item x="440"/>
        <item x="399"/>
        <item x="105"/>
        <item x="212"/>
        <item x="591"/>
        <item x="598"/>
        <item x="515"/>
        <item x="13"/>
        <item x="496"/>
        <item x="458"/>
        <item x="374"/>
        <item x="597"/>
        <item x="467"/>
        <item x="617"/>
        <item x="227"/>
        <item x="410"/>
        <item x="491"/>
        <item x="595"/>
        <item x="74"/>
        <item x="46"/>
        <item x="528"/>
        <item x="44"/>
        <item x="586"/>
        <item x="353"/>
        <item x="372"/>
        <item x="542"/>
        <item x="436"/>
        <item x="669"/>
        <item x="24"/>
        <item x="632"/>
        <item x="175"/>
        <item x="189"/>
        <item x="462"/>
        <item x="476"/>
        <item x="11"/>
        <item x="641"/>
        <item x="551"/>
        <item x="416"/>
        <item x="584"/>
        <item x="533"/>
        <item x="620"/>
        <item x="599"/>
        <item x="569"/>
        <item x="642"/>
        <item x="464"/>
        <item x="453"/>
        <item x="434"/>
        <item x="121"/>
        <item x="173"/>
        <item x="616"/>
        <item x="418"/>
        <item x="276"/>
        <item x="87"/>
        <item x="414"/>
        <item x="479"/>
        <item x="622"/>
        <item x="376"/>
        <item x="103"/>
        <item x="526"/>
        <item x="585"/>
        <item x="155"/>
        <item x="319"/>
        <item x="651"/>
        <item x="531"/>
        <item x="596"/>
        <item x="213"/>
        <item x="658"/>
        <item x="231"/>
        <item x="656"/>
        <item x="447"/>
        <item x="66"/>
        <item x="412"/>
        <item x="340"/>
        <item x="70"/>
        <item x="363"/>
        <item x="666"/>
        <item x="364"/>
        <item x="645"/>
        <item x="316"/>
        <item x="91"/>
        <item x="141"/>
        <item x="168"/>
        <item x="320"/>
        <item x="382"/>
        <item x="634"/>
        <item x="385"/>
        <item x="415"/>
        <item x="338"/>
        <item x="167"/>
        <item x="183"/>
        <item x="116"/>
        <item x="554"/>
        <item x="437"/>
        <item x="404"/>
        <item x="161"/>
        <item x="358"/>
        <item x="473"/>
        <item x="564"/>
        <item x="483"/>
        <item x="159"/>
        <item x="619"/>
        <item x="181"/>
        <item x="71"/>
        <item x="58"/>
        <item x="522"/>
        <item x="552"/>
        <item x="306"/>
        <item x="1"/>
        <item x="657"/>
        <item x="29"/>
        <item x="624"/>
        <item x="553"/>
        <item x="435"/>
        <item x="78"/>
        <item x="129"/>
        <item x="629"/>
        <item x="403"/>
        <item x="648"/>
        <item x="561"/>
        <item x="614"/>
        <item x="102"/>
        <item x="501"/>
        <item x="546"/>
        <item x="502"/>
        <item x="457"/>
        <item x="12"/>
        <item x="449"/>
        <item x="53"/>
        <item x="459"/>
        <item x="179"/>
        <item x="280"/>
        <item x="145"/>
        <item x="107"/>
        <item x="38"/>
        <item x="20"/>
        <item x="228"/>
        <item x="593"/>
        <item x="284"/>
        <item x="375"/>
        <item x="608"/>
        <item x="55"/>
        <item x="568"/>
        <item x="139"/>
        <item x="144"/>
        <item x="106"/>
        <item x="132"/>
        <item x="499"/>
        <item x="574"/>
        <item x="538"/>
        <item x="367"/>
        <item x="333"/>
        <item x="352"/>
        <item x="411"/>
        <item x="430"/>
        <item x="377"/>
        <item x="42"/>
        <item x="417"/>
        <item x="52"/>
        <item x="15"/>
        <item x="230"/>
        <item x="27"/>
        <item x="308"/>
        <item x="128"/>
        <item x="652"/>
        <item x="341"/>
        <item x="392"/>
        <item x="330"/>
        <item x="162"/>
        <item x="190"/>
        <item x="346"/>
        <item x="158"/>
        <item x="667"/>
        <item x="69"/>
        <item x="119"/>
        <item x="142"/>
        <item x="2"/>
        <item x="26"/>
        <item x="556"/>
        <item x="270"/>
        <item x="258"/>
        <item x="0"/>
        <item x="240"/>
        <item x="14"/>
        <item x="156"/>
        <item x="98"/>
        <item x="148"/>
        <item x="337"/>
        <item x="424"/>
        <item x="126"/>
        <item x="254"/>
        <item x="31"/>
        <item x="151"/>
        <item x="21"/>
        <item x="176"/>
        <item x="550"/>
        <item x="631"/>
        <item x="494"/>
        <item x="163"/>
        <item x="461"/>
        <item x="329"/>
        <item x="310"/>
        <item x="332"/>
        <item x="275"/>
        <item x="361"/>
        <item x="268"/>
        <item x="206"/>
        <item x="446"/>
        <item x="328"/>
        <item x="295"/>
        <item x="292"/>
        <item x="581"/>
        <item x="391"/>
        <item x="646"/>
        <item x="423"/>
        <item x="514"/>
        <item x="76"/>
        <item x="39"/>
        <item x="260"/>
        <item x="519"/>
        <item x="318"/>
        <item x="269"/>
        <item x="73"/>
        <item x="23"/>
        <item x="94"/>
        <item x="100"/>
        <item x="211"/>
        <item x="235"/>
        <item x="384"/>
        <item x="110"/>
        <item x="80"/>
        <item x="570"/>
        <item x="588"/>
        <item x="322"/>
        <item x="185"/>
        <item x="571"/>
        <item x="118"/>
        <item x="8"/>
        <item x="16"/>
        <item x="152"/>
        <item x="266"/>
        <item x="215"/>
        <item x="370"/>
        <item x="523"/>
        <item x="309"/>
        <item x="288"/>
        <item x="33"/>
        <item x="238"/>
        <item x="395"/>
        <item x="93"/>
        <item x="200"/>
        <item x="233"/>
        <item x="287"/>
        <item x="5"/>
        <item x="451"/>
        <item x="362"/>
        <item x="664"/>
        <item x="177"/>
        <item x="470"/>
        <item x="339"/>
        <item x="117"/>
        <item x="663"/>
        <item x="607"/>
        <item x="371"/>
        <item x="535"/>
        <item x="82"/>
        <item x="84"/>
        <item x="381"/>
        <item x="428"/>
        <item x="65"/>
        <item x="202"/>
        <item x="255"/>
        <item x="247"/>
        <item x="166"/>
        <item x="239"/>
        <item x="114"/>
        <item x="350"/>
        <item x="626"/>
        <item x="448"/>
        <item x="456"/>
        <item x="504"/>
        <item x="331"/>
        <item x="609"/>
        <item x="525"/>
        <item x="489"/>
        <item x="204"/>
        <item x="193"/>
        <item x="256"/>
        <item x="640"/>
        <item x="400"/>
        <item x="83"/>
        <item x="313"/>
        <item x="572"/>
        <item x="480"/>
        <item x="237"/>
        <item x="147"/>
        <item x="343"/>
        <item x="488"/>
        <item x="323"/>
        <item x="484"/>
        <item x="527"/>
        <item x="170"/>
        <item x="444"/>
        <item x="383"/>
        <item x="317"/>
        <item x="407"/>
        <item x="487"/>
        <item x="427"/>
        <item x="252"/>
        <item x="293"/>
        <item x="59"/>
        <item x="17"/>
        <item x="623"/>
        <item x="516"/>
        <item x="274"/>
        <item x="312"/>
        <item x="199"/>
        <item x="236"/>
        <item x="625"/>
        <item x="582"/>
        <item x="157"/>
        <item x="196"/>
        <item x="90"/>
        <item x="56"/>
        <item x="366"/>
        <item x="35"/>
        <item x="326"/>
        <item x="433"/>
        <item x="420"/>
        <item x="628"/>
        <item x="594"/>
        <item x="463"/>
        <item x="503"/>
        <item x="219"/>
        <item x="191"/>
        <item x="124"/>
        <item x="508"/>
        <item x="511"/>
        <item x="113"/>
        <item x="390"/>
        <item x="131"/>
        <item x="195"/>
        <item x="111"/>
        <item x="398"/>
        <item x="360"/>
        <item x="627"/>
        <item x="182"/>
        <item x="242"/>
        <item x="442"/>
        <item x="589"/>
        <item x="638"/>
        <item x="232"/>
        <item x="138"/>
        <item x="565"/>
        <item x="635"/>
        <item x="282"/>
        <item x="490"/>
        <item x="48"/>
        <item x="482"/>
        <item x="307"/>
        <item x="670"/>
        <item x="171"/>
        <item x="601"/>
        <item x="85"/>
        <item x="644"/>
        <item x="7"/>
        <item x="257"/>
        <item x="513"/>
        <item x="530"/>
        <item x="169"/>
        <item t="default"/>
      </items>
    </pivotField>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hyperlink" Target="https://www.youtube.com/watch?v=iQmsuCxTjKs" TargetMode="External"/><Relationship Id="rId2" Type="http://schemas.openxmlformats.org/officeDocument/2006/relationships/hyperlink" Target="https://www.youtube.com/watch?v=gpTVQxv9vi0" TargetMode="External"/><Relationship Id="rId1" Type="http://schemas.openxmlformats.org/officeDocument/2006/relationships/hyperlink" Target="https://www.youtube.com/watch?v=xKiUl2gQEwo" TargetMode="External"/><Relationship Id="rId5" Type="http://schemas.openxmlformats.org/officeDocument/2006/relationships/hyperlink" Target="https://www.youtube.com/watch?v=-10hVtmTmG4" TargetMode="External"/><Relationship Id="rId4" Type="http://schemas.openxmlformats.org/officeDocument/2006/relationships/hyperlink" Target="https://www.youtube.com/watch?v=2U-pJtkQK8Y"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W117"/>
  <sheetViews>
    <sheetView showGridLines="0" tabSelected="1" topLeftCell="B1" zoomScaleNormal="100" workbookViewId="0">
      <selection activeCell="D9" sqref="D9"/>
    </sheetView>
  </sheetViews>
  <sheetFormatPr defaultColWidth="0" defaultRowHeight="15" zeroHeight="1" x14ac:dyDescent="0.25"/>
  <cols>
    <col min="1" max="1" width="3.140625" customWidth="1"/>
    <col min="2" max="2" width="15" customWidth="1"/>
    <col min="3" max="3" width="8.140625" customWidth="1"/>
    <col min="4" max="12" width="17.28515625" customWidth="1"/>
    <col min="13" max="13" width="8.85546875" customWidth="1"/>
    <col min="14" max="23" width="13" hidden="1" customWidth="1"/>
    <col min="24" max="24" width="8.85546875" hidden="1" customWidth="1"/>
    <col min="25" max="16384" width="8.85546875" hidden="1"/>
  </cols>
  <sheetData>
    <row r="1" spans="2:12" x14ac:dyDescent="0.25">
      <c r="C1" s="104" t="s">
        <v>0</v>
      </c>
      <c r="D1" s="87"/>
      <c r="E1" s="87"/>
      <c r="F1" s="87"/>
      <c r="G1" s="87"/>
      <c r="H1" s="87"/>
      <c r="I1" s="87"/>
      <c r="J1" s="87"/>
      <c r="K1" s="87"/>
      <c r="L1" s="87"/>
    </row>
    <row r="2" spans="2:12" x14ac:dyDescent="0.25">
      <c r="C2" s="104" t="s">
        <v>1</v>
      </c>
      <c r="D2" s="87"/>
      <c r="E2" s="87"/>
      <c r="F2" s="87"/>
      <c r="G2" s="87"/>
      <c r="H2" s="87"/>
      <c r="I2" s="87"/>
      <c r="J2" s="87"/>
      <c r="K2" s="87"/>
      <c r="L2" s="87"/>
    </row>
    <row r="3" spans="2:12" x14ac:dyDescent="0.25">
      <c r="C3" s="104" t="s">
        <v>2</v>
      </c>
      <c r="D3" s="87"/>
      <c r="E3" s="87"/>
      <c r="F3" s="87"/>
      <c r="G3" s="87"/>
      <c r="H3" s="87"/>
      <c r="I3" s="87"/>
      <c r="J3" s="87"/>
      <c r="K3" s="87"/>
      <c r="L3" s="87"/>
    </row>
    <row r="4" spans="2:12" x14ac:dyDescent="0.25">
      <c r="C4" s="104" t="s">
        <v>3</v>
      </c>
      <c r="D4" s="87"/>
      <c r="E4" s="87"/>
      <c r="F4" s="87"/>
      <c r="G4" s="87"/>
      <c r="H4" s="87"/>
      <c r="I4" s="87"/>
      <c r="J4" s="87"/>
      <c r="K4" s="87"/>
      <c r="L4" s="87"/>
    </row>
    <row r="5" spans="2:12" x14ac:dyDescent="0.25">
      <c r="C5" s="104" t="s">
        <v>4</v>
      </c>
      <c r="D5" s="87"/>
      <c r="E5" s="87"/>
      <c r="F5" s="87"/>
      <c r="G5" s="87"/>
      <c r="H5" s="87"/>
      <c r="I5" s="87"/>
      <c r="J5" s="87"/>
      <c r="K5" s="87"/>
      <c r="L5" s="87"/>
    </row>
    <row r="7" spans="2:12" x14ac:dyDescent="0.25">
      <c r="B7" s="88" t="s">
        <v>5</v>
      </c>
      <c r="C7" s="89"/>
      <c r="D7" s="89"/>
      <c r="E7" s="89"/>
      <c r="F7" s="89"/>
      <c r="G7" s="89"/>
      <c r="H7" s="89"/>
      <c r="I7" s="89"/>
      <c r="J7" s="89"/>
      <c r="K7" s="89"/>
      <c r="L7" s="90"/>
    </row>
    <row r="8" spans="2:12" ht="20.25" customHeight="1" x14ac:dyDescent="0.25">
      <c r="B8" s="97" t="s">
        <v>6</v>
      </c>
      <c r="C8" s="90"/>
      <c r="D8" s="33">
        <v>10</v>
      </c>
      <c r="E8" s="34"/>
      <c r="F8" s="34"/>
      <c r="G8" s="34"/>
      <c r="H8" s="34"/>
      <c r="I8" s="34"/>
      <c r="J8" s="34"/>
      <c r="K8" s="34"/>
      <c r="L8" s="35"/>
    </row>
    <row r="9" spans="2:12" ht="38.25" customHeight="1" x14ac:dyDescent="0.25">
      <c r="B9" s="97" t="s">
        <v>7</v>
      </c>
      <c r="C9" s="90"/>
      <c r="D9" s="36" t="s">
        <v>232</v>
      </c>
      <c r="E9" s="37"/>
      <c r="F9" s="37"/>
      <c r="G9" s="37"/>
      <c r="H9" s="37"/>
      <c r="I9" s="37"/>
      <c r="J9" s="37"/>
      <c r="K9" s="37"/>
      <c r="L9" s="38"/>
    </row>
    <row r="10" spans="2:12" ht="84.75" customHeight="1" x14ac:dyDescent="0.25">
      <c r="B10" s="97" t="s">
        <v>8</v>
      </c>
      <c r="C10" s="90"/>
      <c r="D10" s="98" t="s">
        <v>9</v>
      </c>
      <c r="E10" s="99"/>
      <c r="F10" s="99"/>
      <c r="G10" s="99"/>
      <c r="H10" s="99"/>
      <c r="I10" s="99"/>
      <c r="J10" s="99"/>
      <c r="K10" s="99"/>
      <c r="L10" s="100"/>
    </row>
    <row r="11" spans="2:12" ht="48" customHeight="1" x14ac:dyDescent="0.25">
      <c r="B11" s="97" t="s">
        <v>10</v>
      </c>
      <c r="C11" s="95"/>
      <c r="D11" s="101" t="s">
        <v>11</v>
      </c>
      <c r="E11" s="86"/>
      <c r="F11" s="86"/>
      <c r="G11" s="86"/>
      <c r="H11" s="86"/>
      <c r="I11" s="86"/>
      <c r="J11" s="86"/>
      <c r="K11" s="86"/>
      <c r="L11" s="95"/>
    </row>
    <row r="12" spans="2:12" ht="48" customHeight="1" x14ac:dyDescent="0.25">
      <c r="B12" s="102"/>
      <c r="C12" s="92"/>
      <c r="D12" s="102"/>
      <c r="E12" s="87"/>
      <c r="F12" s="87"/>
      <c r="G12" s="87"/>
      <c r="H12" s="87"/>
      <c r="I12" s="87"/>
      <c r="J12" s="87"/>
      <c r="K12" s="87"/>
      <c r="L12" s="92"/>
    </row>
    <row r="13" spans="2:12" ht="48" customHeight="1" x14ac:dyDescent="0.25">
      <c r="B13" s="102"/>
      <c r="C13" s="92"/>
      <c r="D13" s="102"/>
      <c r="E13" s="87"/>
      <c r="F13" s="87"/>
      <c r="G13" s="87"/>
      <c r="H13" s="87"/>
      <c r="I13" s="87"/>
      <c r="J13" s="87"/>
      <c r="K13" s="87"/>
      <c r="L13" s="92"/>
    </row>
    <row r="14" spans="2:12" ht="48" customHeight="1" x14ac:dyDescent="0.25">
      <c r="B14" s="102"/>
      <c r="C14" s="92"/>
      <c r="D14" s="102"/>
      <c r="E14" s="87"/>
      <c r="F14" s="87"/>
      <c r="G14" s="87"/>
      <c r="H14" s="87"/>
      <c r="I14" s="87"/>
      <c r="J14" s="87"/>
      <c r="K14" s="87"/>
      <c r="L14" s="92"/>
    </row>
    <row r="15" spans="2:12" ht="48" customHeight="1" x14ac:dyDescent="0.25">
      <c r="B15" s="103"/>
      <c r="C15" s="100"/>
      <c r="D15" s="103"/>
      <c r="E15" s="99"/>
      <c r="F15" s="99"/>
      <c r="G15" s="99"/>
      <c r="H15" s="99"/>
      <c r="I15" s="99"/>
      <c r="J15" s="99"/>
      <c r="K15" s="99"/>
      <c r="L15" s="100"/>
    </row>
    <row r="17" spans="2:12" x14ac:dyDescent="0.25">
      <c r="B17" s="41" t="s">
        <v>12</v>
      </c>
      <c r="C17" s="41" t="s">
        <v>13</v>
      </c>
      <c r="D17" s="88" t="s">
        <v>14</v>
      </c>
      <c r="E17" s="89"/>
      <c r="F17" s="89"/>
      <c r="G17" s="89"/>
      <c r="H17" s="89"/>
      <c r="I17" s="89"/>
      <c r="J17" s="89"/>
      <c r="K17" s="89"/>
      <c r="L17" s="90"/>
    </row>
    <row r="18" spans="2:12" x14ac:dyDescent="0.25">
      <c r="B18" s="82">
        <v>2</v>
      </c>
      <c r="C18" s="82">
        <v>5</v>
      </c>
      <c r="D18" s="8" t="s">
        <v>15</v>
      </c>
      <c r="E18" s="94" t="s">
        <v>16</v>
      </c>
      <c r="F18" s="86"/>
      <c r="G18" s="86"/>
      <c r="H18" s="86"/>
      <c r="I18" s="86"/>
      <c r="J18" s="86"/>
      <c r="K18" s="86"/>
      <c r="L18" s="95"/>
    </row>
    <row r="19" spans="2:12" x14ac:dyDescent="0.25">
      <c r="B19" s="83"/>
      <c r="C19" s="83"/>
      <c r="D19" s="9" t="s">
        <v>17</v>
      </c>
      <c r="E19" s="43">
        <v>675836.92770000047</v>
      </c>
      <c r="F19" s="10"/>
      <c r="G19" s="10"/>
      <c r="H19" s="10"/>
      <c r="I19" s="10"/>
      <c r="J19" s="10"/>
      <c r="K19" s="10"/>
      <c r="L19" s="11"/>
    </row>
    <row r="20" spans="2:12" x14ac:dyDescent="0.25">
      <c r="B20" s="84"/>
      <c r="C20" s="84"/>
      <c r="D20" s="19"/>
      <c r="E20" s="20"/>
      <c r="F20" s="20"/>
      <c r="G20" s="20"/>
      <c r="H20" s="20"/>
      <c r="I20" s="20"/>
      <c r="J20" s="20"/>
      <c r="K20" s="20"/>
      <c r="L20" s="21"/>
    </row>
    <row r="21" spans="2:12" x14ac:dyDescent="0.25">
      <c r="B21" s="25">
        <v>2</v>
      </c>
      <c r="C21" s="82">
        <v>5</v>
      </c>
      <c r="D21" s="12" t="s">
        <v>18</v>
      </c>
      <c r="E21" s="93" t="s">
        <v>19</v>
      </c>
      <c r="F21" s="87"/>
      <c r="G21" s="87"/>
      <c r="H21" s="87"/>
      <c r="I21" s="87"/>
      <c r="J21" s="87"/>
      <c r="K21" s="87"/>
      <c r="L21" s="92"/>
    </row>
    <row r="22" spans="2:12" x14ac:dyDescent="0.25">
      <c r="B22" s="25"/>
      <c r="C22" s="83"/>
      <c r="D22" s="9" t="s">
        <v>17</v>
      </c>
      <c r="E22" s="43">
        <v>271520.5379</v>
      </c>
      <c r="F22" s="10"/>
      <c r="G22" s="10"/>
      <c r="H22" s="10"/>
      <c r="I22" s="10"/>
      <c r="J22" s="10"/>
      <c r="K22" s="10"/>
      <c r="L22" s="11"/>
    </row>
    <row r="23" spans="2:12" x14ac:dyDescent="0.25">
      <c r="B23" s="26"/>
      <c r="C23" s="84"/>
      <c r="D23" s="19"/>
      <c r="E23" s="20"/>
      <c r="F23" s="20"/>
      <c r="G23" s="20"/>
      <c r="H23" s="20"/>
      <c r="I23" s="20"/>
      <c r="J23" s="20"/>
      <c r="K23" s="20"/>
      <c r="L23" s="21"/>
    </row>
    <row r="24" spans="2:12" ht="30" customHeight="1" x14ac:dyDescent="0.25">
      <c r="B24" s="82">
        <v>4</v>
      </c>
      <c r="C24" s="82">
        <v>5</v>
      </c>
      <c r="D24" s="12" t="s">
        <v>20</v>
      </c>
      <c r="E24" s="91" t="s">
        <v>21</v>
      </c>
      <c r="F24" s="87"/>
      <c r="G24" s="87"/>
      <c r="H24" s="87"/>
      <c r="I24" s="87"/>
      <c r="J24" s="87"/>
      <c r="K24" s="87"/>
      <c r="L24" s="92"/>
    </row>
    <row r="25" spans="2:12" x14ac:dyDescent="0.25">
      <c r="B25" s="83"/>
      <c r="C25" s="83"/>
      <c r="D25" s="13"/>
      <c r="E25" s="93" t="s">
        <v>22</v>
      </c>
      <c r="F25" s="87"/>
      <c r="G25" s="87"/>
      <c r="H25" s="87"/>
      <c r="I25" s="87"/>
      <c r="J25" s="87"/>
      <c r="K25" s="87"/>
      <c r="L25" s="92"/>
    </row>
    <row r="26" spans="2:12" x14ac:dyDescent="0.25">
      <c r="B26" s="83"/>
      <c r="C26" s="83"/>
      <c r="D26" s="9" t="s">
        <v>17</v>
      </c>
      <c r="E26" s="43">
        <v>1094558.72</v>
      </c>
      <c r="F26" s="10"/>
      <c r="G26" s="10"/>
      <c r="H26" s="10"/>
      <c r="I26" s="10"/>
      <c r="J26" s="10"/>
      <c r="K26" s="10"/>
      <c r="L26" s="11"/>
    </row>
    <row r="27" spans="2:12" x14ac:dyDescent="0.25">
      <c r="B27" s="83"/>
      <c r="C27" s="83"/>
      <c r="D27" s="12" t="s">
        <v>23</v>
      </c>
      <c r="E27" s="96" t="s">
        <v>24</v>
      </c>
      <c r="F27" s="87"/>
      <c r="G27" s="87"/>
      <c r="H27" s="87"/>
      <c r="I27" s="87"/>
      <c r="J27" s="87"/>
      <c r="K27" s="87"/>
      <c r="L27" s="11"/>
    </row>
    <row r="28" spans="2:12" x14ac:dyDescent="0.25">
      <c r="B28" s="84"/>
      <c r="C28" s="84"/>
      <c r="D28" s="19"/>
      <c r="E28" s="20"/>
      <c r="F28" s="20"/>
      <c r="G28" s="20"/>
      <c r="H28" s="20"/>
      <c r="I28" s="20"/>
      <c r="J28" s="20"/>
      <c r="K28" s="20"/>
      <c r="L28" s="21"/>
    </row>
    <row r="29" spans="2:12" x14ac:dyDescent="0.25">
      <c r="B29" s="82">
        <v>3</v>
      </c>
      <c r="C29" s="82">
        <v>5</v>
      </c>
      <c r="D29" s="12" t="s">
        <v>25</v>
      </c>
      <c r="E29" s="7" t="s">
        <v>26</v>
      </c>
      <c r="F29" s="7"/>
      <c r="G29" s="7"/>
      <c r="H29" s="7"/>
      <c r="I29" s="7"/>
      <c r="J29" s="7"/>
      <c r="K29" s="7"/>
      <c r="L29" s="6"/>
    </row>
    <row r="30" spans="2:12" x14ac:dyDescent="0.25">
      <c r="B30" s="83"/>
      <c r="C30" s="83"/>
      <c r="D30" s="9" t="s">
        <v>17</v>
      </c>
      <c r="E30" s="44">
        <v>2787</v>
      </c>
      <c r="F30" s="10"/>
      <c r="G30" s="10"/>
      <c r="H30" s="10"/>
      <c r="I30" s="10"/>
      <c r="J30" s="10"/>
      <c r="K30" s="10"/>
      <c r="L30" s="11"/>
    </row>
    <row r="31" spans="2:12" x14ac:dyDescent="0.25">
      <c r="B31" s="84"/>
      <c r="C31" s="84"/>
      <c r="D31" s="19"/>
      <c r="E31" s="20"/>
      <c r="F31" s="20"/>
      <c r="G31" s="20"/>
      <c r="H31" s="20"/>
      <c r="I31" s="20"/>
      <c r="J31" s="20"/>
      <c r="K31" s="20"/>
      <c r="L31" s="21"/>
    </row>
    <row r="32" spans="2:12" x14ac:dyDescent="0.25">
      <c r="B32" s="82">
        <v>2</v>
      </c>
      <c r="C32" s="82">
        <v>5</v>
      </c>
      <c r="D32" s="12" t="s">
        <v>27</v>
      </c>
      <c r="E32" s="93" t="s">
        <v>28</v>
      </c>
      <c r="F32" s="87"/>
      <c r="G32" s="87"/>
      <c r="H32" s="87"/>
      <c r="I32" s="87"/>
      <c r="J32" s="87"/>
      <c r="K32" s="87"/>
      <c r="L32" s="92"/>
    </row>
    <row r="33" spans="2:12" x14ac:dyDescent="0.25">
      <c r="B33" s="83"/>
      <c r="C33" s="83"/>
      <c r="D33" s="12" t="s">
        <v>17</v>
      </c>
      <c r="E33" s="45" t="s">
        <v>29</v>
      </c>
      <c r="F33" s="10"/>
      <c r="G33" s="10"/>
      <c r="H33" s="10"/>
      <c r="I33" s="10"/>
      <c r="J33" s="10"/>
      <c r="K33" s="10"/>
      <c r="L33" s="11"/>
    </row>
    <row r="34" spans="2:12" x14ac:dyDescent="0.25">
      <c r="B34" s="84"/>
      <c r="C34" s="84"/>
      <c r="D34" s="19"/>
      <c r="E34" s="20"/>
      <c r="F34" s="20"/>
      <c r="G34" s="20"/>
      <c r="H34" s="20"/>
      <c r="I34" s="20"/>
      <c r="J34" s="20"/>
      <c r="K34" s="20"/>
      <c r="L34" s="21"/>
    </row>
    <row r="35" spans="2:12" x14ac:dyDescent="0.25">
      <c r="B35" s="82">
        <v>2</v>
      </c>
      <c r="C35" s="82">
        <v>5</v>
      </c>
      <c r="D35" s="12" t="s">
        <v>30</v>
      </c>
      <c r="E35" s="93" t="s">
        <v>31</v>
      </c>
      <c r="F35" s="87"/>
      <c r="G35" s="87"/>
      <c r="H35" s="87"/>
      <c r="I35" s="87"/>
      <c r="J35" s="87"/>
      <c r="K35" s="87"/>
      <c r="L35" s="92"/>
    </row>
    <row r="36" spans="2:12" x14ac:dyDescent="0.25">
      <c r="B36" s="83"/>
      <c r="C36" s="83"/>
      <c r="D36" s="12" t="s">
        <v>17</v>
      </c>
      <c r="E36" s="14" t="s">
        <v>32</v>
      </c>
      <c r="F36" s="14" t="s">
        <v>33</v>
      </c>
      <c r="G36" s="14" t="s">
        <v>34</v>
      </c>
      <c r="H36" s="14" t="s">
        <v>35</v>
      </c>
      <c r="I36" s="10"/>
      <c r="J36" s="10"/>
      <c r="K36" s="10"/>
      <c r="L36" s="11"/>
    </row>
    <row r="37" spans="2:12" x14ac:dyDescent="0.25">
      <c r="B37" s="83"/>
      <c r="C37" s="83"/>
      <c r="D37" s="12"/>
      <c r="E37" s="43">
        <v>296539.34014999773</v>
      </c>
      <c r="F37" s="43">
        <v>267881.55672499887</v>
      </c>
      <c r="G37" s="43">
        <v>166661.67069999885</v>
      </c>
      <c r="H37" s="43">
        <v>268173.60700000031</v>
      </c>
      <c r="I37" s="10"/>
      <c r="J37" s="10"/>
      <c r="K37" s="10"/>
      <c r="L37" s="11"/>
    </row>
    <row r="38" spans="2:12" x14ac:dyDescent="0.25">
      <c r="B38" s="84"/>
      <c r="C38" s="84"/>
      <c r="D38" s="19"/>
      <c r="E38" s="20"/>
      <c r="F38" s="20"/>
      <c r="G38" s="20"/>
      <c r="H38" s="20"/>
      <c r="I38" s="20"/>
      <c r="J38" s="20"/>
      <c r="K38" s="20"/>
      <c r="L38" s="21"/>
    </row>
    <row r="39" spans="2:12" x14ac:dyDescent="0.25">
      <c r="B39" s="82">
        <v>3</v>
      </c>
      <c r="C39" s="82">
        <v>5</v>
      </c>
      <c r="D39" s="12" t="s">
        <v>36</v>
      </c>
      <c r="E39" s="93" t="s">
        <v>37</v>
      </c>
      <c r="F39" s="87"/>
      <c r="G39" s="87"/>
      <c r="H39" s="87"/>
      <c r="I39" s="87"/>
      <c r="J39" s="87"/>
      <c r="K39" s="87"/>
      <c r="L39" s="92"/>
    </row>
    <row r="40" spans="2:12" x14ac:dyDescent="0.25">
      <c r="B40" s="83"/>
      <c r="C40" s="83"/>
      <c r="D40" s="12" t="s">
        <v>17</v>
      </c>
      <c r="E40" s="44">
        <v>1321</v>
      </c>
      <c r="F40" s="10"/>
      <c r="G40" s="10"/>
      <c r="H40" s="10"/>
      <c r="I40" s="10"/>
      <c r="J40" s="10"/>
      <c r="K40" s="10"/>
      <c r="L40" s="11"/>
    </row>
    <row r="41" spans="2:12" x14ac:dyDescent="0.25">
      <c r="B41" s="84"/>
      <c r="C41" s="84"/>
      <c r="D41" s="19"/>
      <c r="E41" s="20"/>
      <c r="F41" s="20"/>
      <c r="G41" s="20"/>
      <c r="H41" s="20"/>
      <c r="I41" s="20"/>
      <c r="J41" s="20"/>
      <c r="K41" s="20"/>
      <c r="L41" s="21"/>
    </row>
    <row r="42" spans="2:12" x14ac:dyDescent="0.25">
      <c r="B42" s="82">
        <v>4</v>
      </c>
      <c r="C42" s="22"/>
      <c r="D42" s="12" t="s">
        <v>38</v>
      </c>
      <c r="E42" s="10" t="s">
        <v>39</v>
      </c>
      <c r="F42" s="10"/>
      <c r="G42" s="10"/>
      <c r="H42" s="10"/>
      <c r="I42" s="10"/>
      <c r="J42" s="10"/>
      <c r="K42" s="10"/>
      <c r="L42" s="11"/>
    </row>
    <row r="43" spans="2:12" x14ac:dyDescent="0.25">
      <c r="B43" s="83"/>
      <c r="C43" s="22">
        <v>5</v>
      </c>
      <c r="D43" s="12" t="s">
        <v>40</v>
      </c>
      <c r="E43" s="93" t="s">
        <v>41</v>
      </c>
      <c r="F43" s="87"/>
      <c r="G43" s="87"/>
      <c r="H43" s="87"/>
      <c r="I43" s="87"/>
      <c r="J43" s="87"/>
      <c r="K43" s="87"/>
      <c r="L43" s="92"/>
    </row>
    <row r="44" spans="2:12" x14ac:dyDescent="0.25">
      <c r="B44" s="83"/>
      <c r="C44" s="22"/>
      <c r="D44" s="12" t="s">
        <v>17</v>
      </c>
      <c r="E44" s="43">
        <v>1116887.72</v>
      </c>
      <c r="F44" s="10"/>
      <c r="G44" s="10"/>
      <c r="H44" s="10"/>
      <c r="I44" s="10"/>
      <c r="J44" s="10"/>
      <c r="K44" s="10"/>
      <c r="L44" s="11"/>
    </row>
    <row r="45" spans="2:12" x14ac:dyDescent="0.25">
      <c r="B45" s="83"/>
      <c r="C45" s="22"/>
      <c r="D45" s="12"/>
      <c r="E45" s="10"/>
      <c r="F45" s="10"/>
      <c r="G45" s="10"/>
      <c r="H45" s="10"/>
      <c r="I45" s="10"/>
      <c r="J45" s="10"/>
      <c r="K45" s="10"/>
      <c r="L45" s="11"/>
    </row>
    <row r="46" spans="2:12" ht="33" customHeight="1" x14ac:dyDescent="0.25">
      <c r="B46" s="83"/>
      <c r="C46" s="22">
        <v>2.5</v>
      </c>
      <c r="D46" s="12" t="s">
        <v>42</v>
      </c>
      <c r="E46" s="91" t="s">
        <v>43</v>
      </c>
      <c r="F46" s="87"/>
      <c r="G46" s="87"/>
      <c r="H46" s="87"/>
      <c r="I46" s="87"/>
      <c r="J46" s="87"/>
      <c r="K46" s="87"/>
      <c r="L46" s="92"/>
    </row>
    <row r="47" spans="2:12" x14ac:dyDescent="0.25">
      <c r="B47" s="83"/>
      <c r="C47" s="22"/>
      <c r="D47" s="12" t="s">
        <v>17</v>
      </c>
      <c r="E47" s="43">
        <v>22329</v>
      </c>
      <c r="F47" s="10"/>
      <c r="G47" s="10"/>
      <c r="H47" s="10"/>
      <c r="I47" s="10"/>
      <c r="J47" s="10"/>
      <c r="K47" s="10"/>
      <c r="L47" s="11"/>
    </row>
    <row r="48" spans="2:12" x14ac:dyDescent="0.25">
      <c r="B48" s="83"/>
      <c r="C48" s="22"/>
      <c r="D48" s="12"/>
      <c r="E48" s="10"/>
      <c r="F48" s="10"/>
      <c r="G48" s="10"/>
      <c r="H48" s="10"/>
      <c r="I48" s="10"/>
      <c r="J48" s="10"/>
      <c r="K48" s="10"/>
      <c r="L48" s="11"/>
    </row>
    <row r="49" spans="2:12" x14ac:dyDescent="0.25">
      <c r="B49" s="83"/>
      <c r="C49" s="22">
        <v>2.5</v>
      </c>
      <c r="D49" s="12" t="s">
        <v>44</v>
      </c>
      <c r="E49" s="10" t="s">
        <v>45</v>
      </c>
      <c r="F49" s="10"/>
      <c r="G49" s="10"/>
      <c r="H49" s="10"/>
      <c r="I49" s="10"/>
      <c r="J49" s="10"/>
      <c r="K49" s="10"/>
      <c r="L49" s="11"/>
    </row>
    <row r="50" spans="2:12" x14ac:dyDescent="0.25">
      <c r="B50" s="83"/>
      <c r="C50" s="22"/>
      <c r="D50" s="12" t="s">
        <v>17</v>
      </c>
      <c r="E50" s="45" t="s">
        <v>46</v>
      </c>
      <c r="F50" s="10"/>
      <c r="G50" s="10"/>
      <c r="H50" s="10"/>
      <c r="I50" s="10"/>
      <c r="J50" s="10"/>
      <c r="K50" s="10"/>
      <c r="L50" s="11"/>
    </row>
    <row r="51" spans="2:12" x14ac:dyDescent="0.25">
      <c r="B51" s="84"/>
      <c r="C51" s="24"/>
      <c r="D51" s="19"/>
      <c r="E51" s="20"/>
      <c r="F51" s="20"/>
      <c r="G51" s="20"/>
      <c r="H51" s="20"/>
      <c r="I51" s="20"/>
      <c r="J51" s="20"/>
      <c r="K51" s="20"/>
      <c r="L51" s="21"/>
    </row>
    <row r="52" spans="2:12" ht="31.5" customHeight="1" x14ac:dyDescent="0.25">
      <c r="B52" s="82">
        <v>4</v>
      </c>
      <c r="C52" s="82">
        <v>10</v>
      </c>
      <c r="D52" s="12" t="s">
        <v>47</v>
      </c>
      <c r="E52" s="91" t="s">
        <v>48</v>
      </c>
      <c r="F52" s="87"/>
      <c r="G52" s="87"/>
      <c r="H52" s="87"/>
      <c r="I52" s="87"/>
      <c r="J52" s="87"/>
      <c r="K52" s="87"/>
      <c r="L52" s="92"/>
    </row>
    <row r="53" spans="2:12" ht="35.25" customHeight="1" x14ac:dyDescent="0.25">
      <c r="B53" s="83"/>
      <c r="C53" s="83"/>
      <c r="D53" s="12"/>
      <c r="E53" s="91" t="s">
        <v>49</v>
      </c>
      <c r="F53" s="87"/>
      <c r="G53" s="87"/>
      <c r="H53" s="87"/>
      <c r="I53" s="87"/>
      <c r="J53" s="87"/>
      <c r="K53" s="87"/>
      <c r="L53" s="92"/>
    </row>
    <row r="54" spans="2:12" x14ac:dyDescent="0.25">
      <c r="B54" s="83"/>
      <c r="C54" s="83"/>
      <c r="D54" s="12" t="s">
        <v>17</v>
      </c>
      <c r="E54" s="43">
        <v>5756790.4299999997</v>
      </c>
      <c r="F54" s="10"/>
      <c r="G54" s="10"/>
      <c r="H54" s="10"/>
      <c r="I54" s="10"/>
      <c r="J54" s="10"/>
      <c r="K54" s="10"/>
      <c r="L54" s="11"/>
    </row>
    <row r="55" spans="2:12" x14ac:dyDescent="0.25">
      <c r="B55" s="84"/>
      <c r="C55" s="84"/>
      <c r="D55" s="19"/>
      <c r="E55" s="20"/>
      <c r="F55" s="20"/>
      <c r="G55" s="20"/>
      <c r="H55" s="20"/>
      <c r="I55" s="20"/>
      <c r="J55" s="20"/>
      <c r="K55" s="20"/>
      <c r="L55" s="21"/>
    </row>
    <row r="56" spans="2:12" ht="52.5" customHeight="1" x14ac:dyDescent="0.25">
      <c r="B56" s="82">
        <v>3</v>
      </c>
      <c r="C56" s="82">
        <v>12.5</v>
      </c>
      <c r="D56" s="12" t="s">
        <v>50</v>
      </c>
      <c r="E56" s="91" t="s">
        <v>51</v>
      </c>
      <c r="F56" s="87"/>
      <c r="G56" s="87"/>
      <c r="H56" s="87"/>
      <c r="I56" s="87"/>
      <c r="J56" s="87"/>
      <c r="K56" s="87"/>
      <c r="L56" s="92"/>
    </row>
    <row r="57" spans="2:12" x14ac:dyDescent="0.25">
      <c r="B57" s="83"/>
      <c r="C57" s="83"/>
      <c r="D57" s="12" t="s">
        <v>17</v>
      </c>
      <c r="E57" s="43">
        <v>12.98</v>
      </c>
      <c r="F57" s="10"/>
      <c r="G57" s="10"/>
      <c r="H57" s="10"/>
      <c r="I57" s="10"/>
      <c r="J57" s="10"/>
      <c r="K57" s="10"/>
      <c r="L57" s="11"/>
    </row>
    <row r="58" spans="2:12" x14ac:dyDescent="0.25">
      <c r="B58" s="83"/>
      <c r="C58" s="83"/>
      <c r="D58" s="12" t="s">
        <v>23</v>
      </c>
      <c r="E58" s="10" t="s">
        <v>52</v>
      </c>
      <c r="F58" s="10"/>
      <c r="G58" s="10"/>
      <c r="H58" s="10"/>
      <c r="I58" s="10"/>
      <c r="J58" s="10"/>
      <c r="K58" s="10"/>
      <c r="L58" s="11"/>
    </row>
    <row r="59" spans="2:12" x14ac:dyDescent="0.25">
      <c r="B59" s="84"/>
      <c r="C59" s="84"/>
      <c r="D59" s="19"/>
      <c r="E59" s="20"/>
      <c r="F59" s="20"/>
      <c r="G59" s="20"/>
      <c r="H59" s="20"/>
      <c r="I59" s="20"/>
      <c r="J59" s="20"/>
      <c r="K59" s="20"/>
      <c r="L59" s="21"/>
    </row>
    <row r="60" spans="2:12" ht="54.75" customHeight="1" x14ac:dyDescent="0.25">
      <c r="B60" s="82">
        <v>3</v>
      </c>
      <c r="C60" s="82">
        <v>12.5</v>
      </c>
      <c r="D60" s="12" t="s">
        <v>53</v>
      </c>
      <c r="E60" s="91" t="s">
        <v>54</v>
      </c>
      <c r="F60" s="87"/>
      <c r="G60" s="87"/>
      <c r="H60" s="87"/>
      <c r="I60" s="87"/>
      <c r="J60" s="87"/>
      <c r="K60" s="87"/>
      <c r="L60" s="92"/>
    </row>
    <row r="61" spans="2:12" x14ac:dyDescent="0.25">
      <c r="B61" s="83"/>
      <c r="C61" s="83"/>
      <c r="D61" s="12" t="s">
        <v>17</v>
      </c>
      <c r="E61" s="14" t="s">
        <v>55</v>
      </c>
      <c r="F61" s="14" t="s">
        <v>56</v>
      </c>
      <c r="G61" s="14" t="s">
        <v>57</v>
      </c>
      <c r="H61" s="10"/>
      <c r="I61" s="10"/>
      <c r="J61" s="10"/>
      <c r="K61" s="10"/>
      <c r="L61" s="11"/>
    </row>
    <row r="62" spans="2:12" x14ac:dyDescent="0.25">
      <c r="B62" s="83"/>
      <c r="C62" s="83"/>
      <c r="D62" s="12"/>
      <c r="E62" s="44">
        <v>11989</v>
      </c>
      <c r="F62" s="44">
        <v>35967</v>
      </c>
      <c r="G62" s="44">
        <v>11989</v>
      </c>
      <c r="H62" s="10"/>
      <c r="I62" s="10"/>
      <c r="J62" s="10"/>
      <c r="K62" s="10"/>
      <c r="L62" s="11"/>
    </row>
    <row r="63" spans="2:12" x14ac:dyDescent="0.25">
      <c r="B63" s="84"/>
      <c r="C63" s="84"/>
      <c r="D63" s="19"/>
      <c r="E63" s="20"/>
      <c r="F63" s="20"/>
      <c r="G63" s="20"/>
      <c r="H63" s="20"/>
      <c r="I63" s="20"/>
      <c r="J63" s="20"/>
      <c r="K63" s="20"/>
      <c r="L63" s="21"/>
    </row>
    <row r="64" spans="2:12" ht="122.25" customHeight="1" x14ac:dyDescent="0.25">
      <c r="B64" s="82">
        <v>7</v>
      </c>
      <c r="C64" s="22"/>
      <c r="D64" s="12" t="s">
        <v>58</v>
      </c>
      <c r="E64" s="91" t="s">
        <v>59</v>
      </c>
      <c r="F64" s="87"/>
      <c r="G64" s="87"/>
      <c r="H64" s="87"/>
      <c r="I64" s="87"/>
      <c r="J64" s="87"/>
      <c r="K64" s="87"/>
      <c r="L64" s="92"/>
    </row>
    <row r="65" spans="1:13" x14ac:dyDescent="0.25">
      <c r="B65" s="83"/>
      <c r="C65" s="23">
        <v>10</v>
      </c>
      <c r="D65" s="15" t="s">
        <v>60</v>
      </c>
      <c r="E65" t="s">
        <v>61</v>
      </c>
      <c r="L65" s="16"/>
    </row>
    <row r="66" spans="1:13" x14ac:dyDescent="0.25">
      <c r="B66" s="83"/>
      <c r="C66" s="16"/>
      <c r="D66" s="15" t="s">
        <v>17</v>
      </c>
      <c r="E66" t="s">
        <v>62</v>
      </c>
      <c r="G66" t="s">
        <v>63</v>
      </c>
      <c r="L66" s="16"/>
    </row>
    <row r="67" spans="1:13" x14ac:dyDescent="0.25">
      <c r="B67" s="83"/>
      <c r="C67" s="16"/>
      <c r="D67" s="15"/>
      <c r="E67" s="46">
        <v>-12312.6</v>
      </c>
      <c r="G67" s="47" t="s">
        <v>64</v>
      </c>
      <c r="L67" s="16"/>
    </row>
    <row r="68" spans="1:13" x14ac:dyDescent="0.25">
      <c r="B68" s="83"/>
      <c r="C68" s="23"/>
      <c r="D68" s="15"/>
      <c r="L68" s="16"/>
    </row>
    <row r="69" spans="1:13" x14ac:dyDescent="0.25">
      <c r="B69" s="83"/>
      <c r="C69" s="23">
        <v>10</v>
      </c>
      <c r="D69" s="15" t="s">
        <v>65</v>
      </c>
      <c r="E69" t="s">
        <v>66</v>
      </c>
      <c r="L69" s="16"/>
    </row>
    <row r="70" spans="1:13" x14ac:dyDescent="0.25">
      <c r="B70" s="83"/>
      <c r="C70" s="16"/>
      <c r="D70" s="15" t="s">
        <v>17</v>
      </c>
      <c r="E70" t="s">
        <v>67</v>
      </c>
      <c r="G70" t="s">
        <v>63</v>
      </c>
      <c r="L70" s="16"/>
    </row>
    <row r="71" spans="1:13" x14ac:dyDescent="0.25">
      <c r="B71" s="83"/>
      <c r="C71" s="23"/>
      <c r="D71" s="13"/>
      <c r="E71" s="46">
        <v>2851.4830520336982</v>
      </c>
      <c r="G71" s="47" t="s">
        <v>68</v>
      </c>
      <c r="L71" s="16"/>
    </row>
    <row r="72" spans="1:13" ht="14.25" customHeight="1" x14ac:dyDescent="0.25">
      <c r="B72" s="84"/>
      <c r="C72" s="18"/>
      <c r="D72" s="13"/>
      <c r="L72" s="16"/>
    </row>
    <row r="73" spans="1:13" x14ac:dyDescent="0.25">
      <c r="A73" s="4"/>
      <c r="B73" s="28" t="s">
        <v>69</v>
      </c>
      <c r="C73" s="27">
        <f>SUM(C18:C72)</f>
        <v>100</v>
      </c>
      <c r="D73" s="17"/>
      <c r="E73" s="1"/>
      <c r="F73" s="1"/>
      <c r="G73" s="1"/>
      <c r="H73" s="1"/>
      <c r="I73" s="1"/>
      <c r="J73" s="1"/>
      <c r="K73" s="1"/>
      <c r="L73" s="18"/>
    </row>
    <row r="75" spans="1:13" hidden="1" x14ac:dyDescent="0.25">
      <c r="A75" s="88" t="s">
        <v>70</v>
      </c>
      <c r="B75" s="89"/>
      <c r="C75" s="89"/>
      <c r="D75" s="89"/>
      <c r="E75" s="89"/>
      <c r="F75" s="89"/>
      <c r="G75" s="89"/>
      <c r="H75" s="90"/>
      <c r="I75" s="4" t="s">
        <v>71</v>
      </c>
    </row>
    <row r="76" spans="1:13" hidden="1" x14ac:dyDescent="0.25">
      <c r="A76" s="48"/>
      <c r="B76" s="48"/>
      <c r="C76" s="49" t="s">
        <v>13</v>
      </c>
      <c r="D76" s="49" t="s">
        <v>72</v>
      </c>
      <c r="E76" s="49" t="s">
        <v>73</v>
      </c>
      <c r="F76" s="49" t="s">
        <v>74</v>
      </c>
      <c r="G76" s="49" t="s">
        <v>75</v>
      </c>
      <c r="H76" s="49" t="s">
        <v>76</v>
      </c>
      <c r="I76" s="32" t="s">
        <v>77</v>
      </c>
    </row>
    <row r="77" spans="1:13" hidden="1" x14ac:dyDescent="0.25">
      <c r="A77" s="50" t="s">
        <v>15</v>
      </c>
      <c r="B77" s="50"/>
      <c r="C77" s="51">
        <f>C18</f>
        <v>5</v>
      </c>
      <c r="D77" s="52" t="s">
        <v>78</v>
      </c>
      <c r="E77" s="52" t="e">
        <f t="array" ref="E77">VALUE(_xlfn.TEXTJOIN(, TRUE, MID($I$76, MOD(FIND(MID(D77, _xlfn.SEQUENCE(LEN(D77)), 1), $I$76)-FIND(MID($J$75, MOD(_xlfn.SEQUENCE(LEN(D77))-1, LEN($J$75))+1, 1), $I$76), LEN($I$76))+1, 1)))</f>
        <v>#DIV/0!</v>
      </c>
      <c r="F77" s="52">
        <f>E19</f>
        <v>675836.92770000047</v>
      </c>
      <c r="G77" s="53" t="s">
        <v>79</v>
      </c>
      <c r="H77" s="54" t="e">
        <f>MAX(ROUND(C77*(1-(ABS(ABS(E77)-ABS(F77))/ABS(E77))),2),0)</f>
        <v>#DIV/0!</v>
      </c>
      <c r="I77" s="4" t="s">
        <v>80</v>
      </c>
    </row>
    <row r="78" spans="1:13" ht="15" hidden="1" customHeight="1" x14ac:dyDescent="0.25">
      <c r="A78" s="55" t="s">
        <v>18</v>
      </c>
      <c r="B78" s="55"/>
      <c r="C78" s="48">
        <f>C21</f>
        <v>5</v>
      </c>
      <c r="D78" s="56" t="s">
        <v>81</v>
      </c>
      <c r="E78" s="56" t="e">
        <f t="array" ref="E78">VALUE(_xlfn.TEXTJOIN(, TRUE, MID($I$76, MOD(FIND(MID(D78, _xlfn.SEQUENCE(LEN(D78)), 1), $I$76)-FIND(MID($J$75, MOD(_xlfn.SEQUENCE(LEN(D78))-1, LEN($J$75))+1, 1), $I$76), LEN($I$76))+1, 1)))</f>
        <v>#DIV/0!</v>
      </c>
      <c r="F78" s="56">
        <f>E22</f>
        <v>271520.5379</v>
      </c>
      <c r="G78" s="57" t="s">
        <v>79</v>
      </c>
      <c r="H78" s="58" t="e">
        <f>MAX(ROUND(C78*(1-(ABS(ABS(E78)-ABS(F78))/ABS(E78))),2),0)</f>
        <v>#DIV/0!</v>
      </c>
      <c r="I78" s="85" t="s">
        <v>82</v>
      </c>
      <c r="J78" s="86"/>
      <c r="K78" s="86"/>
      <c r="L78" s="86"/>
      <c r="M78" s="86"/>
    </row>
    <row r="79" spans="1:13" ht="15" hidden="1" customHeight="1" x14ac:dyDescent="0.25">
      <c r="A79" s="50" t="s">
        <v>20</v>
      </c>
      <c r="B79" s="50"/>
      <c r="C79" s="51">
        <f>C24</f>
        <v>5</v>
      </c>
      <c r="D79" s="52" t="s">
        <v>83</v>
      </c>
      <c r="E79" s="52" t="e">
        <f t="array" ref="E79">VALUE(_xlfn.TEXTJOIN(, TRUE, MID($I$76, MOD(FIND(MID(D79, _xlfn.SEQUENCE(LEN(D79)), 1), $I$76)-FIND(MID($J$75, MOD(_xlfn.SEQUENCE(LEN(D79))-1, LEN($J$75))+1, 1), $I$76), LEN($I$76))+1, 1)))</f>
        <v>#DIV/0!</v>
      </c>
      <c r="F79" s="52">
        <f>E26</f>
        <v>1094558.72</v>
      </c>
      <c r="G79" s="53" t="s">
        <v>79</v>
      </c>
      <c r="H79" s="54" t="e">
        <f>MAX(ROUND(C79*(1-(ABS(ABS(E79)-ABS(F79))/ABS(E79))),2),0)</f>
        <v>#DIV/0!</v>
      </c>
      <c r="I79" s="87"/>
      <c r="J79" s="87"/>
      <c r="K79" s="87"/>
      <c r="L79" s="87"/>
      <c r="M79" s="87"/>
    </row>
    <row r="80" spans="1:13" hidden="1" x14ac:dyDescent="0.25">
      <c r="A80" s="55" t="s">
        <v>25</v>
      </c>
      <c r="B80" s="55"/>
      <c r="C80" s="48">
        <f>C29</f>
        <v>5</v>
      </c>
      <c r="D80" s="56" t="s">
        <v>84</v>
      </c>
      <c r="E80" s="56" t="e">
        <f t="array" ref="E80">VALUE(_xlfn.TEXTJOIN(, TRUE, MID($I$76, MOD(FIND(MID(D80, _xlfn.SEQUENCE(LEN(D80)), 1), $I$76)-FIND(MID($J$75, MOD(_xlfn.SEQUENCE(LEN(D80))-1, LEN($J$75))+1, 1), $I$76), LEN($I$76))+1, 1)))</f>
        <v>#DIV/0!</v>
      </c>
      <c r="F80" s="56">
        <f>E30</f>
        <v>2787</v>
      </c>
      <c r="G80" s="57" t="s">
        <v>79</v>
      </c>
      <c r="H80" s="58" t="e">
        <f>MAX(ROUND(C80*(1-(ABS(ABS(E80)-ABS(F80))/ABS(E80))),2),0)</f>
        <v>#DIV/0!</v>
      </c>
      <c r="I80" s="87"/>
      <c r="J80" s="87"/>
      <c r="K80" s="87"/>
      <c r="L80" s="87"/>
      <c r="M80" s="87"/>
    </row>
    <row r="81" spans="1:13" hidden="1" x14ac:dyDescent="0.25">
      <c r="A81" s="50" t="s">
        <v>27</v>
      </c>
      <c r="B81" s="50"/>
      <c r="C81" s="51">
        <f>C32</f>
        <v>5</v>
      </c>
      <c r="D81" s="54" t="s">
        <v>85</v>
      </c>
      <c r="E81" s="52" t="e">
        <f t="array" ref="E81">_xlfn.TEXTJOIN(, TRUE, MID($I$76, MOD(FIND(MID(D81, _xlfn.SEQUENCE(LEN(D81)), 1), $I$76)-FIND(MID($J$75, MOD(_xlfn.SEQUENCE(LEN(D81))-1, LEN($J$75))+1, 1), $I$76), LEN($I$76))+1, 1))</f>
        <v>#DIV/0!</v>
      </c>
      <c r="F81" s="54" t="str">
        <f>E33</f>
        <v>Jacket</v>
      </c>
      <c r="G81" s="54" t="s">
        <v>86</v>
      </c>
      <c r="H81" s="54" t="e">
        <f>IF(E81=F81,C81,0)</f>
        <v>#DIV/0!</v>
      </c>
      <c r="I81" s="87"/>
      <c r="J81" s="87"/>
      <c r="K81" s="87"/>
      <c r="L81" s="87"/>
      <c r="M81" s="87"/>
    </row>
    <row r="82" spans="1:13" hidden="1" x14ac:dyDescent="0.25">
      <c r="A82" s="55" t="s">
        <v>30</v>
      </c>
      <c r="B82" s="55"/>
      <c r="C82" s="48"/>
      <c r="D82" s="58"/>
      <c r="E82" s="58"/>
      <c r="F82" s="58"/>
      <c r="G82" s="58"/>
      <c r="H82" s="58"/>
      <c r="I82" s="87"/>
      <c r="J82" s="87"/>
      <c r="K82" s="87"/>
      <c r="L82" s="87"/>
      <c r="M82" s="87"/>
    </row>
    <row r="83" spans="1:13" hidden="1" x14ac:dyDescent="0.25">
      <c r="A83" s="59" t="s">
        <v>32</v>
      </c>
      <c r="B83" s="55"/>
      <c r="C83" s="48">
        <f>$C$35/4</f>
        <v>1.25</v>
      </c>
      <c r="D83" s="56" t="s">
        <v>87</v>
      </c>
      <c r="E83" s="56" t="e">
        <f t="array" ref="E83">VALUE(_xlfn.TEXTJOIN(, TRUE, MID($I$76, MOD(FIND(MID(D83, _xlfn.SEQUENCE(LEN(D83)), 1), $I$76)-FIND(MID($J$75, MOD(_xlfn.SEQUENCE(LEN(D83))-1, LEN($J$75))+1, 1), $I$76), LEN($I$76))+1, 1)))</f>
        <v>#DIV/0!</v>
      </c>
      <c r="F83" s="56">
        <f>E37</f>
        <v>296539.34014999773</v>
      </c>
      <c r="G83" s="57" t="s">
        <v>79</v>
      </c>
      <c r="H83" s="58" t="e">
        <f>MAX(ROUND(C83*(1-(ABS(ABS(E83)-ABS(F83))/ABS(E83))),2),0)</f>
        <v>#DIV/0!</v>
      </c>
      <c r="I83" s="87"/>
      <c r="J83" s="87"/>
      <c r="K83" s="87"/>
      <c r="L83" s="87"/>
      <c r="M83" s="87"/>
    </row>
    <row r="84" spans="1:13" hidden="1" x14ac:dyDescent="0.25">
      <c r="A84" s="59" t="s">
        <v>88</v>
      </c>
      <c r="B84" s="55"/>
      <c r="C84" s="48">
        <f>C83</f>
        <v>1.25</v>
      </c>
      <c r="D84" s="56" t="s">
        <v>89</v>
      </c>
      <c r="E84" s="56" t="e">
        <f t="array" ref="E84">VALUE(_xlfn.TEXTJOIN(, TRUE, MID($I$76, MOD(FIND(MID(D84, _xlfn.SEQUENCE(LEN(D84)), 1), $I$76)-FIND(MID($J$75, MOD(_xlfn.SEQUENCE(LEN(D84))-1, LEN($J$75))+1, 1), $I$76), LEN($I$76))+1, 1)))</f>
        <v>#DIV/0!</v>
      </c>
      <c r="F84" s="56">
        <f>F37</f>
        <v>267881.55672499887</v>
      </c>
      <c r="G84" s="57" t="s">
        <v>79</v>
      </c>
      <c r="H84" s="58" t="e">
        <f>MAX(ROUND(C84*(1-(ABS(ABS(E84)-ABS(F84))/ABS(E84))),2),0)</f>
        <v>#DIV/0!</v>
      </c>
      <c r="I84" s="87"/>
      <c r="J84" s="87"/>
      <c r="K84" s="87"/>
      <c r="L84" s="87"/>
      <c r="M84" s="87"/>
    </row>
    <row r="85" spans="1:13" hidden="1" x14ac:dyDescent="0.25">
      <c r="A85" s="59" t="s">
        <v>34</v>
      </c>
      <c r="B85" s="55"/>
      <c r="C85" s="48">
        <f>C84</f>
        <v>1.25</v>
      </c>
      <c r="D85" s="56" t="s">
        <v>90</v>
      </c>
      <c r="E85" s="56" t="e">
        <f t="array" ref="E85">VALUE(_xlfn.TEXTJOIN(, TRUE, MID($I$76, MOD(FIND(MID(D85, _xlfn.SEQUENCE(LEN(D85)), 1), $I$76)-FIND(MID($J$75, MOD(_xlfn.SEQUENCE(LEN(D85))-1, LEN($J$75))+1, 1), $I$76), LEN($I$76))+1, 1)))</f>
        <v>#DIV/0!</v>
      </c>
      <c r="F85" s="56">
        <f>G37</f>
        <v>166661.67069999885</v>
      </c>
      <c r="G85" s="57" t="s">
        <v>79</v>
      </c>
      <c r="H85" s="58" t="e">
        <f>MAX(ROUND(C85*(1-(ABS(ABS(E85)-ABS(F85))/ABS(E85))),2),0)</f>
        <v>#DIV/0!</v>
      </c>
      <c r="I85" s="87"/>
      <c r="J85" s="87"/>
      <c r="K85" s="87"/>
      <c r="L85" s="87"/>
      <c r="M85" s="87"/>
    </row>
    <row r="86" spans="1:13" hidden="1" x14ac:dyDescent="0.25">
      <c r="A86" s="59" t="s">
        <v>35</v>
      </c>
      <c r="B86" s="55"/>
      <c r="C86" s="48">
        <f>C85</f>
        <v>1.25</v>
      </c>
      <c r="D86" s="56" t="s">
        <v>91</v>
      </c>
      <c r="E86" s="56" t="e">
        <f t="array" ref="E86">VALUE(_xlfn.TEXTJOIN(, TRUE, MID($I$76, MOD(FIND(MID(D86, _xlfn.SEQUENCE(LEN(D86)), 1), $I$76)-FIND(MID($J$75, MOD(_xlfn.SEQUENCE(LEN(D86))-1, LEN($J$75))+1, 1), $I$76), LEN($I$76))+1, 1)))</f>
        <v>#DIV/0!</v>
      </c>
      <c r="F86" s="56">
        <f>H37</f>
        <v>268173.60700000031</v>
      </c>
      <c r="G86" s="57" t="s">
        <v>79</v>
      </c>
      <c r="H86" s="58" t="e">
        <f>MAX(ROUND(C86*(1-(ABS(ABS(E86)-ABS(F86))/ABS(E86))),2),0)</f>
        <v>#DIV/0!</v>
      </c>
    </row>
    <row r="87" spans="1:13" hidden="1" x14ac:dyDescent="0.25">
      <c r="A87" s="50" t="s">
        <v>36</v>
      </c>
      <c r="B87" s="50"/>
      <c r="C87" s="51">
        <f>C39</f>
        <v>5</v>
      </c>
      <c r="D87" s="52" t="s">
        <v>92</v>
      </c>
      <c r="E87" s="52" t="e">
        <f t="array" ref="E87">VALUE(_xlfn.TEXTJOIN(, TRUE, MID($I$76, MOD(FIND(MID(D87, _xlfn.SEQUENCE(LEN(D87)), 1), $I$76)-FIND(MID($J$75, MOD(_xlfn.SEQUENCE(LEN(D87))-1, LEN($J$75))+1, 1), $I$76), LEN($I$76))+1, 1)))</f>
        <v>#DIV/0!</v>
      </c>
      <c r="F87" s="52">
        <f>E40</f>
        <v>1321</v>
      </c>
      <c r="G87" s="54" t="s">
        <v>86</v>
      </c>
      <c r="H87" s="54" t="e">
        <f>IF(E87=F87,C87,0)</f>
        <v>#DIV/0!</v>
      </c>
    </row>
    <row r="88" spans="1:13" hidden="1" x14ac:dyDescent="0.25">
      <c r="A88" s="55" t="s">
        <v>93</v>
      </c>
      <c r="B88" s="55"/>
      <c r="C88" s="48">
        <f>C43</f>
        <v>5</v>
      </c>
      <c r="D88" s="56" t="s">
        <v>94</v>
      </c>
      <c r="E88" s="56" t="e">
        <f t="array" ref="E88">VALUE(_xlfn.TEXTJOIN(, TRUE, MID($I$76, MOD(FIND(MID(D88, _xlfn.SEQUENCE(LEN(D88)), 1), $I$76)-FIND(MID($J$75, MOD(_xlfn.SEQUENCE(LEN(D88))-1, LEN($J$75))+1, 1), $I$76), LEN($I$76))+1, 1)))</f>
        <v>#DIV/0!</v>
      </c>
      <c r="F88" s="56">
        <f>E44</f>
        <v>1116887.72</v>
      </c>
      <c r="G88" s="57" t="s">
        <v>79</v>
      </c>
      <c r="H88" s="58" t="e">
        <f>MAX(ROUND(C88*(1-(ABS(ABS(E88)-ABS(F88))/ABS(E88))),2),0)</f>
        <v>#DIV/0!</v>
      </c>
    </row>
    <row r="89" spans="1:13" hidden="1" x14ac:dyDescent="0.25">
      <c r="A89" s="55" t="s">
        <v>95</v>
      </c>
      <c r="B89" s="55"/>
      <c r="C89" s="48">
        <f>C46</f>
        <v>2.5</v>
      </c>
      <c r="D89" s="56" t="s">
        <v>96</v>
      </c>
      <c r="E89" s="56" t="e">
        <f t="array" ref="E89">VALUE(_xlfn.TEXTJOIN(, TRUE, MID($I$76, MOD(FIND(MID(D89, _xlfn.SEQUENCE(LEN(D89)), 1), $I$76)-FIND(MID($J$75, MOD(_xlfn.SEQUENCE(LEN(D89))-1, LEN($J$75))+1, 1), $I$76), LEN($I$76))+1, 1)))</f>
        <v>#DIV/0!</v>
      </c>
      <c r="F89" s="56">
        <f>E47</f>
        <v>22329</v>
      </c>
      <c r="G89" s="57" t="s">
        <v>79</v>
      </c>
      <c r="H89" s="58" t="e">
        <f>MAX(ROUND(C89*(1-(ABS(ABS(E89)-ABS(F89))/ABS(E89))),2),0)</f>
        <v>#DIV/0!</v>
      </c>
    </row>
    <row r="90" spans="1:13" hidden="1" x14ac:dyDescent="0.25">
      <c r="A90" s="55" t="s">
        <v>97</v>
      </c>
      <c r="B90" s="55"/>
      <c r="C90" s="48">
        <f>C49</f>
        <v>2.5</v>
      </c>
      <c r="D90" s="56" t="s">
        <v>98</v>
      </c>
      <c r="E90" s="56" t="e">
        <f t="array" ref="E90">_xlfn.TEXTJOIN(, TRUE, MID($I$76, MOD(FIND(MID(D90, _xlfn.SEQUENCE(LEN(D90)), 1), $I$76)-FIND(MID($J$75, MOD(_xlfn.SEQUENCE(LEN(D90))-1, LEN($J$75))+1, 1), $I$76), LEN($I$76))+1, 1))</f>
        <v>#DIV/0!</v>
      </c>
      <c r="F90" s="56" t="str">
        <f>E50</f>
        <v>Under Applied</v>
      </c>
      <c r="G90" s="58" t="s">
        <v>86</v>
      </c>
      <c r="H90" s="58" t="e">
        <f>IF(E90=F90,C90,0)</f>
        <v>#DIV/0!</v>
      </c>
    </row>
    <row r="91" spans="1:13" hidden="1" x14ac:dyDescent="0.25">
      <c r="A91" s="50" t="s">
        <v>47</v>
      </c>
      <c r="B91" s="50"/>
      <c r="C91" s="51">
        <f>C52</f>
        <v>10</v>
      </c>
      <c r="D91" s="52" t="s">
        <v>99</v>
      </c>
      <c r="E91" s="52" t="e">
        <f t="array" ref="E91">VALUE(_xlfn.TEXTJOIN(, TRUE, MID($I$76, MOD(FIND(MID(D91, _xlfn.SEQUENCE(LEN(D91)), 1), $I$76)-FIND(MID($J$75, MOD(_xlfn.SEQUENCE(LEN(D91))-1, LEN($J$75))+1, 1), $I$76), LEN($I$76))+1, 1)))</f>
        <v>#DIV/0!</v>
      </c>
      <c r="F91" s="52">
        <f>E54</f>
        <v>5756790.4299999997</v>
      </c>
      <c r="G91" s="53" t="s">
        <v>79</v>
      </c>
      <c r="H91" s="54" t="e">
        <f>MAX(ROUND(C91*(1-(ABS(ABS(E91)-ABS(F91))/ABS(E91))),2),0)</f>
        <v>#DIV/0!</v>
      </c>
    </row>
    <row r="92" spans="1:13" hidden="1" x14ac:dyDescent="0.25">
      <c r="A92" s="55" t="s">
        <v>50</v>
      </c>
      <c r="B92" s="55"/>
      <c r="C92" s="48">
        <f>C56</f>
        <v>12.5</v>
      </c>
      <c r="D92" s="56" t="s">
        <v>100</v>
      </c>
      <c r="E92" s="56" t="e">
        <f t="array" ref="E92">VALUE(_xlfn.TEXTJOIN(, TRUE, MID($I$76, MOD(FIND(MID(D92, _xlfn.SEQUENCE(LEN(D92)), 1), $I$76)-FIND(MID($J$75, MOD(_xlfn.SEQUENCE(LEN(D92))-1, LEN($J$75))+1, 1), $I$76), LEN($I$76))+1, 1)))</f>
        <v>#DIV/0!</v>
      </c>
      <c r="F92" s="56">
        <f>E57</f>
        <v>12.98</v>
      </c>
      <c r="G92" s="57" t="s">
        <v>79</v>
      </c>
      <c r="H92" s="58" t="e">
        <f>MAX(ROUND(C92*(1-(ABS(ABS(E92)-ABS(F92))/ABS(E92))),2),0)</f>
        <v>#DIV/0!</v>
      </c>
    </row>
    <row r="93" spans="1:13" hidden="1" x14ac:dyDescent="0.25">
      <c r="A93" s="50" t="s">
        <v>53</v>
      </c>
      <c r="B93" s="50"/>
      <c r="C93" s="51"/>
      <c r="D93" s="52"/>
      <c r="E93" s="52"/>
      <c r="F93" s="52"/>
      <c r="G93" s="54"/>
      <c r="H93" s="54"/>
    </row>
    <row r="94" spans="1:13" hidden="1" x14ac:dyDescent="0.25">
      <c r="A94" s="60" t="s">
        <v>55</v>
      </c>
      <c r="B94" s="50"/>
      <c r="C94" s="51">
        <f>8</f>
        <v>8</v>
      </c>
      <c r="D94" s="52" t="s">
        <v>101</v>
      </c>
      <c r="E94" s="52" t="e">
        <f t="array" ref="E94">VALUE(_xlfn.TEXTJOIN(, TRUE, MID($I$76, MOD(FIND(MID(D94, _xlfn.SEQUENCE(LEN(D94)), 1), $I$76)-FIND(MID($J$75, MOD(_xlfn.SEQUENCE(LEN(D94))-1, LEN($J$75))+1, 1), $I$76), LEN($I$76))+1, 1)))</f>
        <v>#DIV/0!</v>
      </c>
      <c r="F94" s="52">
        <f>E62</f>
        <v>11989</v>
      </c>
      <c r="G94" s="53" t="s">
        <v>79</v>
      </c>
      <c r="H94" s="54" t="e">
        <f>MAX(ROUND(C94*(1-(ABS(ABS(E94)-ABS(F94))/ABS(E94))),2),0)</f>
        <v>#DIV/0!</v>
      </c>
    </row>
    <row r="95" spans="1:13" hidden="1" x14ac:dyDescent="0.25">
      <c r="A95" s="60" t="s">
        <v>56</v>
      </c>
      <c r="B95" s="50"/>
      <c r="C95" s="51">
        <f>(C60-C94)/2</f>
        <v>2.25</v>
      </c>
      <c r="D95" s="52" t="s">
        <v>102</v>
      </c>
      <c r="E95" s="52" t="e">
        <f t="array" ref="E95">VALUE(_xlfn.TEXTJOIN(, TRUE, MID($I$76, MOD(FIND(MID(D95, _xlfn.SEQUENCE(LEN(D95)), 1), $I$76)-FIND(MID($J$75, MOD(_xlfn.SEQUENCE(LEN(D95))-1, LEN($J$75))+1, 1), $I$76), LEN($I$76))+1, 1)))</f>
        <v>#DIV/0!</v>
      </c>
      <c r="F95" s="52">
        <f>F62</f>
        <v>35967</v>
      </c>
      <c r="G95" s="53" t="s">
        <v>79</v>
      </c>
      <c r="H95" s="54" t="e">
        <f>MAX(ROUND(C95*(1-(ABS(ABS(E95)-ABS(F95))/ABS(E95))),2),0)</f>
        <v>#DIV/0!</v>
      </c>
    </row>
    <row r="96" spans="1:13" hidden="1" x14ac:dyDescent="0.25">
      <c r="A96" s="60" t="s">
        <v>57</v>
      </c>
      <c r="B96" s="50"/>
      <c r="C96" s="51">
        <f>C95</f>
        <v>2.25</v>
      </c>
      <c r="D96" s="52" t="s">
        <v>101</v>
      </c>
      <c r="E96" s="52" t="e">
        <f t="array" ref="E96">VALUE(_xlfn.TEXTJOIN(, TRUE, MID($I$76, MOD(FIND(MID(D96, _xlfn.SEQUENCE(LEN(D96)), 1), $I$76)-FIND(MID($J$75, MOD(_xlfn.SEQUENCE(LEN(D96))-1, LEN($J$75))+1, 1), $I$76), LEN($I$76))+1, 1)))</f>
        <v>#DIV/0!</v>
      </c>
      <c r="F96" s="52">
        <f>G62</f>
        <v>11989</v>
      </c>
      <c r="G96" s="53" t="s">
        <v>79</v>
      </c>
      <c r="H96" s="54" t="e">
        <f>MAX(ROUND(C96*(1-(ABS(ABS(E96)-ABS(F96))/ABS(E96))),2),0)</f>
        <v>#DIV/0!</v>
      </c>
    </row>
    <row r="97" spans="1:8" hidden="1" x14ac:dyDescent="0.25">
      <c r="A97" s="55" t="s">
        <v>103</v>
      </c>
      <c r="B97" s="55"/>
      <c r="C97" s="48"/>
      <c r="D97" s="56"/>
      <c r="E97" s="56"/>
      <c r="F97" s="56"/>
      <c r="G97" s="58"/>
      <c r="H97" s="58"/>
    </row>
    <row r="98" spans="1:8" hidden="1" x14ac:dyDescent="0.25">
      <c r="A98" s="59" t="s">
        <v>104</v>
      </c>
      <c r="B98" s="55"/>
      <c r="C98" s="48">
        <v>7</v>
      </c>
      <c r="D98" s="56" t="s">
        <v>105</v>
      </c>
      <c r="E98" s="56" t="e">
        <f t="array" ref="E98">VALUE(_xlfn.TEXTJOIN(, TRUE, MID($I$76, MOD(FIND(MID(D98, _xlfn.SEQUENCE(LEN(D98)), 1), $I$76)-FIND(MID($J$75, MOD(_xlfn.SEQUENCE(LEN(D98))-1, LEN($J$75))+1, 1), $I$76), LEN($I$76))+1, 1)))</f>
        <v>#DIV/0!</v>
      </c>
      <c r="F98" s="56">
        <f>E67</f>
        <v>-12312.6</v>
      </c>
      <c r="G98" s="57" t="s">
        <v>79</v>
      </c>
      <c r="H98" s="58" t="e">
        <f>MAX(ROUND(C98*(1-(ABS(ABS(E98)-ABS(F98))/ABS(E98))),2),0)</f>
        <v>#DIV/0!</v>
      </c>
    </row>
    <row r="99" spans="1:8" hidden="1" x14ac:dyDescent="0.25">
      <c r="A99" s="59" t="s">
        <v>106</v>
      </c>
      <c r="B99" s="55"/>
      <c r="C99" s="48">
        <f>C65-C98</f>
        <v>3</v>
      </c>
      <c r="D99" s="58" t="s">
        <v>107</v>
      </c>
      <c r="E99" s="58" t="e">
        <f t="array" ref="E99">_xlfn.TEXTJOIN(, TRUE, MID($I$76, MOD(FIND(MID(D99, _xlfn.SEQUENCE(LEN(D99)), 1), $I$76)-FIND(MID($J$75, MOD(_xlfn.SEQUENCE(LEN(D99))-1, LEN($J$75))+1, 1), $I$76), LEN($I$76))+1, 1))</f>
        <v>#DIV/0!</v>
      </c>
      <c r="F99" s="58" t="str">
        <f>G67</f>
        <v>Favorable</v>
      </c>
      <c r="G99" s="58" t="s">
        <v>86</v>
      </c>
      <c r="H99" s="58" t="e">
        <f>IF(E99=F99,C99,0)</f>
        <v>#DIV/0!</v>
      </c>
    </row>
    <row r="100" spans="1:8" hidden="1" x14ac:dyDescent="0.25">
      <c r="A100" s="55" t="s">
        <v>108</v>
      </c>
      <c r="B100" s="55"/>
      <c r="C100" s="48"/>
      <c r="D100" s="58"/>
      <c r="E100" s="58"/>
      <c r="F100" s="58"/>
      <c r="G100" s="58"/>
      <c r="H100" s="58"/>
    </row>
    <row r="101" spans="1:8" hidden="1" x14ac:dyDescent="0.25">
      <c r="A101" s="59" t="s">
        <v>109</v>
      </c>
      <c r="B101" s="55"/>
      <c r="C101" s="48">
        <v>7</v>
      </c>
      <c r="D101" s="56" t="s">
        <v>110</v>
      </c>
      <c r="E101" s="56" t="e">
        <f t="array" ref="E101">VALUE(_xlfn.TEXTJOIN(, TRUE, MID($I$76, MOD(FIND(MID(D101, _xlfn.SEQUENCE(LEN(D101)), 1), $I$76)-FIND(MID($J$75, MOD(_xlfn.SEQUENCE(LEN(D101))-1, LEN($J$75))+1, 1), $I$76), LEN($I$76))+1, 1)))</f>
        <v>#DIV/0!</v>
      </c>
      <c r="F101" s="56">
        <f>E71</f>
        <v>2851.4830520336982</v>
      </c>
      <c r="G101" s="57" t="s">
        <v>79</v>
      </c>
      <c r="H101" s="58" t="e">
        <f>MAX(ROUND(C101*(1-(ABS(ABS(E101)-ABS(F101))/ABS(E101))),2),0)</f>
        <v>#DIV/0!</v>
      </c>
    </row>
    <row r="102" spans="1:8" hidden="1" x14ac:dyDescent="0.25">
      <c r="A102" s="59" t="s">
        <v>106</v>
      </c>
      <c r="B102" s="55"/>
      <c r="C102" s="48">
        <f>C69-C101</f>
        <v>3</v>
      </c>
      <c r="D102" s="58" t="s">
        <v>111</v>
      </c>
      <c r="E102" s="58" t="e">
        <f t="array" ref="E102">_xlfn.TEXTJOIN(, TRUE, MID($I$76, MOD(FIND(MID(D102, _xlfn.SEQUENCE(LEN(D102)), 1), $I$76)-FIND(MID($J$75, MOD(_xlfn.SEQUENCE(LEN(D102))-1, LEN($J$75))+1, 1), $I$76), LEN($I$76))+1, 1))</f>
        <v>#DIV/0!</v>
      </c>
      <c r="F102" s="58" t="str">
        <f>G71</f>
        <v>Unfavorable</v>
      </c>
      <c r="G102" s="58" t="s">
        <v>86</v>
      </c>
      <c r="H102" s="58" t="e">
        <f>IF(E102=F102,C102,0)</f>
        <v>#DIV/0!</v>
      </c>
    </row>
    <row r="103" spans="1:8" hidden="1" x14ac:dyDescent="0.25">
      <c r="A103" s="48"/>
      <c r="B103" s="48"/>
      <c r="C103" s="48"/>
      <c r="D103" s="58"/>
      <c r="E103" s="58"/>
      <c r="F103" s="58"/>
      <c r="G103" s="58"/>
      <c r="H103" s="58"/>
    </row>
    <row r="104" spans="1:8" hidden="1" x14ac:dyDescent="0.25">
      <c r="A104" s="50" t="s">
        <v>112</v>
      </c>
      <c r="B104" s="50"/>
      <c r="C104" s="50">
        <f>SUM(C77:C103)</f>
        <v>100</v>
      </c>
      <c r="D104" s="41"/>
      <c r="E104" s="41"/>
      <c r="F104" s="41"/>
      <c r="G104" s="41"/>
      <c r="H104" s="41" t="e">
        <f>SUM(H77:H103)</f>
        <v>#DIV/0!</v>
      </c>
    </row>
    <row r="106" spans="1:8" hidden="1" x14ac:dyDescent="0.25">
      <c r="G106" s="2" t="s">
        <v>113</v>
      </c>
      <c r="H106" s="30" t="e">
        <f>ROUND(H104/C104,2)</f>
        <v>#DIV/0!</v>
      </c>
    </row>
    <row r="110" spans="1:8" hidden="1" x14ac:dyDescent="0.25">
      <c r="B110" s="3"/>
    </row>
    <row r="113" spans="1:7" hidden="1" x14ac:dyDescent="0.25">
      <c r="A113" t="s">
        <v>114</v>
      </c>
    </row>
    <row r="115" spans="1:7" hidden="1" x14ac:dyDescent="0.25">
      <c r="B115" s="5" t="s">
        <v>115</v>
      </c>
      <c r="D115" s="5" t="s">
        <v>63</v>
      </c>
      <c r="E115" s="1"/>
      <c r="G115" s="5" t="s">
        <v>116</v>
      </c>
    </row>
    <row r="116" spans="1:7" hidden="1" x14ac:dyDescent="0.25">
      <c r="B116" t="s">
        <v>117</v>
      </c>
      <c r="D116" t="s">
        <v>64</v>
      </c>
      <c r="G116" t="s">
        <v>118</v>
      </c>
    </row>
    <row r="117" spans="1:7" hidden="1" x14ac:dyDescent="0.25">
      <c r="B117" t="s">
        <v>29</v>
      </c>
      <c r="D117" t="s">
        <v>68</v>
      </c>
      <c r="G117" t="s">
        <v>46</v>
      </c>
    </row>
  </sheetData>
  <sheetProtection password="811C" sheet="1" selectLockedCells="1"/>
  <mergeCells count="51">
    <mergeCell ref="B8:C8"/>
    <mergeCell ref="B9:C9"/>
    <mergeCell ref="C1:L1"/>
    <mergeCell ref="C2:L2"/>
    <mergeCell ref="C3:L3"/>
    <mergeCell ref="C4:L4"/>
    <mergeCell ref="C5:L5"/>
    <mergeCell ref="B7:L7"/>
    <mergeCell ref="B10:C10"/>
    <mergeCell ref="D10:L10"/>
    <mergeCell ref="D11:L15"/>
    <mergeCell ref="E43:L43"/>
    <mergeCell ref="E46:L46"/>
    <mergeCell ref="B32:B34"/>
    <mergeCell ref="C32:C34"/>
    <mergeCell ref="B11:C15"/>
    <mergeCell ref="B18:B20"/>
    <mergeCell ref="C18:C20"/>
    <mergeCell ref="B24:B28"/>
    <mergeCell ref="C24:C28"/>
    <mergeCell ref="B29:B31"/>
    <mergeCell ref="C29:C31"/>
    <mergeCell ref="D17:L17"/>
    <mergeCell ref="C21:C23"/>
    <mergeCell ref="E18:L18"/>
    <mergeCell ref="E21:L21"/>
    <mergeCell ref="E25:L25"/>
    <mergeCell ref="E27:K27"/>
    <mergeCell ref="E32:L32"/>
    <mergeCell ref="E53:L53"/>
    <mergeCell ref="E56:L56"/>
    <mergeCell ref="E60:L60"/>
    <mergeCell ref="E64:L64"/>
    <mergeCell ref="E24:L24"/>
    <mergeCell ref="E35:L35"/>
    <mergeCell ref="E39:L39"/>
    <mergeCell ref="E52:L52"/>
    <mergeCell ref="I78:M85"/>
    <mergeCell ref="B56:B59"/>
    <mergeCell ref="B60:B63"/>
    <mergeCell ref="B64:B72"/>
    <mergeCell ref="A75:H75"/>
    <mergeCell ref="C39:C41"/>
    <mergeCell ref="C52:C55"/>
    <mergeCell ref="C56:C59"/>
    <mergeCell ref="C60:C63"/>
    <mergeCell ref="B35:B38"/>
    <mergeCell ref="C35:C38"/>
    <mergeCell ref="B39:B41"/>
    <mergeCell ref="B42:B51"/>
    <mergeCell ref="B52:B55"/>
  </mergeCells>
  <dataValidations count="7">
    <dataValidation type="list" showInputMessage="1" showErrorMessage="1" sqref="E33" xr:uid="{00000000-0002-0000-0000-000000000000}">
      <formula1>$B$116:$B$117</formula1>
    </dataValidation>
    <dataValidation type="list" showInputMessage="1" showErrorMessage="1" sqref="G67 G71" xr:uid="{00000000-0002-0000-0000-000001000000}">
      <formula1>$D$116:$D$117</formula1>
    </dataValidation>
    <dataValidation type="whole" operator="greaterThan" showInputMessage="1" showErrorMessage="1" prompt="Enter whole number." sqref="E40" xr:uid="{00000000-0002-0000-0000-000002000000}">
      <formula1>0</formula1>
    </dataValidation>
    <dataValidation type="list" showInputMessage="1" showErrorMessage="1" sqref="E50" xr:uid="{00000000-0002-0000-0000-000003000000}">
      <formula1>$G$116:$G$117</formula1>
    </dataValidation>
    <dataValidation type="decimal" operator="notEqual" showInputMessage="1" showErrorMessage="1" sqref="E19 E22 E26 E37:H37 E44 E47 E54 E57 E71 E67" xr:uid="{00000000-0002-0000-0000-000004000000}">
      <formula1>0</formula1>
    </dataValidation>
    <dataValidation type="whole" operator="greaterThan" showInputMessage="1" showErrorMessage="1" prompt="Enter a whole number." sqref="E30" xr:uid="{00000000-0002-0000-0000-000005000000}">
      <formula1>0</formula1>
    </dataValidation>
    <dataValidation type="whole" operator="greaterThan" showInputMessage="1" showErrorMessage="1" prompt="Input whole number." sqref="E62:G62" xr:uid="{00000000-0002-0000-0000-000006000000}">
      <formula1>0</formula1>
    </dataValidation>
  </dataValidations>
  <pageMargins left="0.7" right="0.7" top="0.75" bottom="0.75" header="0.3" footer="0.3"/>
  <pageSetup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F39"/>
  <sheetViews>
    <sheetView showGridLines="0" topLeftCell="A28" workbookViewId="0">
      <selection activeCell="E34" sqref="E34"/>
    </sheetView>
  </sheetViews>
  <sheetFormatPr defaultColWidth="8.85546875" defaultRowHeight="15" x14ac:dyDescent="0.25"/>
  <cols>
    <col min="1" max="1" width="37" customWidth="1"/>
    <col min="2" max="2" width="77" customWidth="1"/>
    <col min="5" max="5" width="14.140625" customWidth="1"/>
    <col min="6" max="6" width="17.42578125" customWidth="1"/>
  </cols>
  <sheetData>
    <row r="1" spans="1:5" x14ac:dyDescent="0.25">
      <c r="A1" s="106" t="str">
        <f>'Cover Sheet'!C1</f>
        <v>Rutgers University</v>
      </c>
      <c r="B1" s="87"/>
      <c r="C1" s="87"/>
      <c r="D1" s="87"/>
      <c r="E1" s="87"/>
    </row>
    <row r="2" spans="1:5" x14ac:dyDescent="0.25">
      <c r="A2" s="106" t="str">
        <f>'Cover Sheet'!C2</f>
        <v>Introduction to Managerial Accounting</v>
      </c>
      <c r="B2" s="87"/>
      <c r="C2" s="87"/>
      <c r="D2" s="87"/>
      <c r="E2" s="87"/>
    </row>
    <row r="3" spans="1:5" x14ac:dyDescent="0.25">
      <c r="A3" s="106" t="str">
        <f>'Cover Sheet'!C3</f>
        <v>Data Analysis Project</v>
      </c>
      <c r="B3" s="87"/>
      <c r="C3" s="87"/>
      <c r="D3" s="87"/>
      <c r="E3" s="87"/>
    </row>
    <row r="4" spans="1:5" x14ac:dyDescent="0.25">
      <c r="A4" s="106" t="str">
        <f>'Cover Sheet'!C4</f>
        <v>Data Seed #1778</v>
      </c>
      <c r="B4" s="87"/>
      <c r="C4" s="87"/>
      <c r="D4" s="87"/>
      <c r="E4" s="87"/>
    </row>
    <row r="5" spans="1:5" x14ac:dyDescent="0.25">
      <c r="A5" s="106" t="str">
        <f>'Cover Sheet'!C5</f>
        <v>Spring 2023</v>
      </c>
      <c r="B5" s="87"/>
      <c r="C5" s="87"/>
      <c r="D5" s="87"/>
      <c r="E5" s="87"/>
    </row>
    <row r="7" spans="1:5" x14ac:dyDescent="0.25">
      <c r="A7" s="106" t="s">
        <v>119</v>
      </c>
      <c r="B7" s="87"/>
    </row>
    <row r="8" spans="1:5" x14ac:dyDescent="0.25">
      <c r="A8" s="41" t="s">
        <v>120</v>
      </c>
      <c r="B8" s="41" t="s">
        <v>121</v>
      </c>
    </row>
    <row r="9" spans="1:5" x14ac:dyDescent="0.25">
      <c r="A9" s="61" t="s">
        <v>122</v>
      </c>
      <c r="B9" s="42" t="s">
        <v>123</v>
      </c>
    </row>
    <row r="10" spans="1:5" ht="30" customHeight="1" x14ac:dyDescent="0.25">
      <c r="A10" s="61" t="s">
        <v>124</v>
      </c>
      <c r="B10" s="42" t="s">
        <v>125</v>
      </c>
    </row>
    <row r="11" spans="1:5" ht="30" customHeight="1" x14ac:dyDescent="0.25">
      <c r="A11" s="61" t="s">
        <v>126</v>
      </c>
      <c r="B11" s="42" t="s">
        <v>127</v>
      </c>
    </row>
    <row r="12" spans="1:5" x14ac:dyDescent="0.25">
      <c r="A12" s="61" t="s">
        <v>128</v>
      </c>
      <c r="B12" s="42" t="s">
        <v>129</v>
      </c>
    </row>
    <row r="13" spans="1:5" ht="30" customHeight="1" x14ac:dyDescent="0.25">
      <c r="A13" s="61" t="s">
        <v>130</v>
      </c>
      <c r="B13" s="42" t="s">
        <v>131</v>
      </c>
    </row>
    <row r="14" spans="1:5" x14ac:dyDescent="0.25">
      <c r="A14" s="61" t="s">
        <v>132</v>
      </c>
      <c r="B14" s="42" t="s">
        <v>133</v>
      </c>
    </row>
    <row r="15" spans="1:5" ht="30" customHeight="1" x14ac:dyDescent="0.25">
      <c r="A15" s="61" t="s">
        <v>134</v>
      </c>
      <c r="B15" s="42" t="s">
        <v>135</v>
      </c>
    </row>
    <row r="16" spans="1:5" ht="30" customHeight="1" x14ac:dyDescent="0.25">
      <c r="A16" s="61" t="s">
        <v>136</v>
      </c>
      <c r="B16" s="42" t="s">
        <v>137</v>
      </c>
    </row>
    <row r="17" spans="1:2" ht="30" customHeight="1" x14ac:dyDescent="0.25">
      <c r="A17" s="61" t="s">
        <v>138</v>
      </c>
      <c r="B17" s="42" t="s">
        <v>139</v>
      </c>
    </row>
    <row r="18" spans="1:2" x14ac:dyDescent="0.25">
      <c r="A18" s="61" t="s">
        <v>140</v>
      </c>
      <c r="B18" s="42" t="s">
        <v>141</v>
      </c>
    </row>
    <row r="19" spans="1:2" x14ac:dyDescent="0.25">
      <c r="A19" s="4"/>
    </row>
    <row r="20" spans="1:2" x14ac:dyDescent="0.25">
      <c r="A20" s="31" t="s">
        <v>142</v>
      </c>
    </row>
    <row r="21" spans="1:2" x14ac:dyDescent="0.25">
      <c r="A21" s="62" t="s">
        <v>143</v>
      </c>
      <c r="B21" s="63" t="s">
        <v>144</v>
      </c>
    </row>
    <row r="22" spans="1:2" x14ac:dyDescent="0.25">
      <c r="A22" s="61" t="s">
        <v>145</v>
      </c>
      <c r="B22" s="64" t="s">
        <v>146</v>
      </c>
    </row>
    <row r="23" spans="1:2" x14ac:dyDescent="0.25">
      <c r="A23" s="61" t="s">
        <v>147</v>
      </c>
      <c r="B23" s="64" t="s">
        <v>148</v>
      </c>
    </row>
    <row r="24" spans="1:2" x14ac:dyDescent="0.25">
      <c r="A24" s="61" t="s">
        <v>149</v>
      </c>
      <c r="B24" s="64" t="s">
        <v>150</v>
      </c>
    </row>
    <row r="25" spans="1:2" x14ac:dyDescent="0.25">
      <c r="A25" s="61" t="s">
        <v>151</v>
      </c>
      <c r="B25" s="64" t="s">
        <v>152</v>
      </c>
    </row>
    <row r="26" spans="1:2" x14ac:dyDescent="0.25">
      <c r="A26" s="61" t="s">
        <v>153</v>
      </c>
      <c r="B26" s="64" t="s">
        <v>154</v>
      </c>
    </row>
    <row r="28" spans="1:2" x14ac:dyDescent="0.25">
      <c r="A28" s="4" t="s">
        <v>155</v>
      </c>
    </row>
    <row r="29" spans="1:2" x14ac:dyDescent="0.25">
      <c r="A29" s="41" t="s">
        <v>156</v>
      </c>
      <c r="B29" s="41" t="s">
        <v>157</v>
      </c>
    </row>
    <row r="30" spans="1:2" ht="45" customHeight="1" x14ac:dyDescent="0.25">
      <c r="A30" s="61" t="s">
        <v>158</v>
      </c>
      <c r="B30" s="42" t="s">
        <v>159</v>
      </c>
    </row>
    <row r="31" spans="1:2" ht="45.75" customHeight="1" x14ac:dyDescent="0.25">
      <c r="A31" s="61" t="s">
        <v>158</v>
      </c>
      <c r="B31" s="42" t="s">
        <v>160</v>
      </c>
    </row>
    <row r="32" spans="1:2" ht="30" customHeight="1" x14ac:dyDescent="0.25">
      <c r="A32" s="61" t="s">
        <v>161</v>
      </c>
      <c r="B32" s="42" t="s">
        <v>162</v>
      </c>
    </row>
    <row r="33" spans="1:6" ht="39" customHeight="1" x14ac:dyDescent="0.25">
      <c r="A33" s="61" t="s">
        <v>163</v>
      </c>
      <c r="B33" s="42" t="s">
        <v>164</v>
      </c>
    </row>
    <row r="34" spans="1:6" ht="30" customHeight="1" x14ac:dyDescent="0.25">
      <c r="A34" s="61" t="s">
        <v>165</v>
      </c>
      <c r="B34" s="42" t="s">
        <v>166</v>
      </c>
    </row>
    <row r="35" spans="1:6" ht="32.25" customHeight="1" x14ac:dyDescent="0.25">
      <c r="A35" s="105" t="s">
        <v>167</v>
      </c>
      <c r="B35" s="101" t="s">
        <v>168</v>
      </c>
      <c r="D35" s="29" t="s">
        <v>169</v>
      </c>
    </row>
    <row r="36" spans="1:6" ht="18.75" customHeight="1" x14ac:dyDescent="0.25">
      <c r="A36" s="83"/>
      <c r="B36" s="83"/>
      <c r="D36" s="41" t="s">
        <v>128</v>
      </c>
      <c r="E36" s="41" t="s">
        <v>170</v>
      </c>
      <c r="F36" s="41" t="s">
        <v>171</v>
      </c>
    </row>
    <row r="37" spans="1:6" ht="32.25" customHeight="1" x14ac:dyDescent="0.25">
      <c r="A37" s="83"/>
      <c r="B37" s="83"/>
      <c r="D37" s="48" t="s">
        <v>172</v>
      </c>
      <c r="E37" s="65"/>
      <c r="F37" s="65"/>
    </row>
    <row r="38" spans="1:6" ht="36.75" customHeight="1" x14ac:dyDescent="0.25">
      <c r="A38" s="83"/>
      <c r="B38" s="83"/>
      <c r="D38" s="48" t="s">
        <v>173</v>
      </c>
      <c r="E38" s="65"/>
      <c r="F38" s="65"/>
    </row>
    <row r="39" spans="1:6" ht="66" customHeight="1" x14ac:dyDescent="0.25">
      <c r="A39" s="84"/>
      <c r="B39" s="84"/>
    </row>
  </sheetData>
  <sheetProtection password="811C" sheet="1"/>
  <mergeCells count="8">
    <mergeCell ref="A35:A39"/>
    <mergeCell ref="B35:B39"/>
    <mergeCell ref="A7:B7"/>
    <mergeCell ref="A1:E1"/>
    <mergeCell ref="A2:E2"/>
    <mergeCell ref="A3:E3"/>
    <mergeCell ref="A4:E4"/>
    <mergeCell ref="A5:E5"/>
  </mergeCells>
  <hyperlinks>
    <hyperlink ref="B22" r:id="rId1" xr:uid="{00000000-0004-0000-0100-000000000000}"/>
    <hyperlink ref="B23" r:id="rId2" xr:uid="{00000000-0004-0000-0100-000001000000}"/>
    <hyperlink ref="B24" r:id="rId3" xr:uid="{00000000-0004-0000-0100-000002000000}"/>
    <hyperlink ref="B25" r:id="rId4" xr:uid="{00000000-0004-0000-0100-000003000000}"/>
    <hyperlink ref="B26" r:id="rId5" xr:uid="{00000000-0004-0000-0100-000004000000}"/>
  </hyperlinks>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Y1716"/>
  <sheetViews>
    <sheetView topLeftCell="I132" zoomScaleNormal="100" workbookViewId="0">
      <selection activeCell="J1707" sqref="J1707"/>
    </sheetView>
  </sheetViews>
  <sheetFormatPr defaultColWidth="8.85546875" defaultRowHeight="15" customHeight="1" x14ac:dyDescent="0.25"/>
  <cols>
    <col min="2" max="2" width="20" customWidth="1"/>
    <col min="3" max="3" width="10" bestFit="1" customWidth="1"/>
    <col min="5" max="9" width="20" customWidth="1"/>
    <col min="10" max="10" width="21" customWidth="1"/>
    <col min="11" max="11" width="13.42578125" customWidth="1"/>
    <col min="12" max="12" width="14.28515625" customWidth="1"/>
    <col min="13" max="14" width="19.85546875" customWidth="1"/>
    <col min="15" max="15" width="24.42578125" customWidth="1"/>
    <col min="16" max="16" width="21.7109375" customWidth="1"/>
    <col min="17" max="17" width="22.7109375" customWidth="1"/>
    <col min="18" max="18" width="16.7109375" customWidth="1"/>
    <col min="19" max="19" width="13.7109375" bestFit="1" customWidth="1"/>
    <col min="20" max="20" width="10.42578125" bestFit="1" customWidth="1"/>
    <col min="21" max="21" width="13.7109375" bestFit="1" customWidth="1"/>
    <col min="22" max="22" width="20.7109375" customWidth="1"/>
    <col min="23" max="23" width="22.28515625" bestFit="1" customWidth="1"/>
    <col min="24" max="24" width="18.42578125" bestFit="1" customWidth="1"/>
    <col min="25" max="25" width="22.28515625" bestFit="1" customWidth="1"/>
  </cols>
  <sheetData>
    <row r="1" spans="1:25" ht="30" x14ac:dyDescent="0.25">
      <c r="A1" s="39" t="s">
        <v>122</v>
      </c>
      <c r="B1" s="39" t="s">
        <v>124</v>
      </c>
      <c r="C1" s="39" t="s">
        <v>126</v>
      </c>
      <c r="D1" s="39" t="s">
        <v>128</v>
      </c>
      <c r="E1" s="39" t="s">
        <v>130</v>
      </c>
      <c r="F1" s="39" t="s">
        <v>132</v>
      </c>
      <c r="G1" s="39" t="s">
        <v>134</v>
      </c>
      <c r="H1" s="39" t="s">
        <v>136</v>
      </c>
      <c r="I1" s="39" t="s">
        <v>138</v>
      </c>
      <c r="J1" s="39" t="s">
        <v>140</v>
      </c>
      <c r="K1" t="s">
        <v>174</v>
      </c>
      <c r="L1" t="s">
        <v>175</v>
      </c>
      <c r="M1" t="s">
        <v>176</v>
      </c>
      <c r="N1" t="s">
        <v>177</v>
      </c>
      <c r="O1" s="40" t="s">
        <v>178</v>
      </c>
      <c r="P1" s="40" t="s">
        <v>179</v>
      </c>
      <c r="Q1" s="40" t="s">
        <v>180</v>
      </c>
      <c r="R1" s="40" t="s">
        <v>181</v>
      </c>
      <c r="S1" s="4" t="s">
        <v>182</v>
      </c>
      <c r="T1" s="4"/>
      <c r="U1" s="4" t="s">
        <v>183</v>
      </c>
      <c r="V1" s="69" t="s">
        <v>184</v>
      </c>
      <c r="W1" s="69" t="s">
        <v>185</v>
      </c>
      <c r="X1" s="69" t="s">
        <v>186</v>
      </c>
      <c r="Y1" s="69" t="s">
        <v>187</v>
      </c>
    </row>
    <row r="2" spans="1:25" x14ac:dyDescent="0.25">
      <c r="A2">
        <v>132</v>
      </c>
      <c r="B2">
        <v>1247</v>
      </c>
      <c r="C2" t="s">
        <v>33</v>
      </c>
      <c r="D2" t="s">
        <v>172</v>
      </c>
      <c r="E2">
        <v>14</v>
      </c>
      <c r="F2">
        <v>19.43</v>
      </c>
      <c r="G2">
        <v>11.24</v>
      </c>
      <c r="H2">
        <v>30.9</v>
      </c>
      <c r="I2">
        <v>1.05</v>
      </c>
      <c r="J2">
        <v>363.47</v>
      </c>
      <c r="K2">
        <f>E2*J2</f>
        <v>5088.58</v>
      </c>
      <c r="L2">
        <f>IF(D2="SHOES",E2*J2,0)</f>
        <v>0</v>
      </c>
      <c r="M2">
        <f t="shared" ref="M2:M65" si="0">IF(D2="SHOES",O2,0)</f>
        <v>0</v>
      </c>
      <c r="N2">
        <f>IF(D2="SHOES",P2,0)</f>
        <v>0</v>
      </c>
      <c r="O2">
        <f>PRODUCT(E2,G2,F2)</f>
        <v>3057.5048000000002</v>
      </c>
      <c r="P2">
        <f>PRODUCT(O2,0.25)</f>
        <v>764.37620000000004</v>
      </c>
      <c r="Q2">
        <f>PRODUCT(O2,0.2551)</f>
        <v>779.96947448000003</v>
      </c>
      <c r="R2">
        <f>PRODUCT(E2,I2,H2)</f>
        <v>454.23</v>
      </c>
      <c r="S2">
        <f t="shared" ref="S2:S65" si="1">PRODUCT(J2,E2)</f>
        <v>5088.58</v>
      </c>
      <c r="U2" t="s">
        <v>188</v>
      </c>
      <c r="V2" s="79">
        <f>SUMIF($D$2:$D$1703,"JACKET",$E$2:$E$1703)</f>
        <v>17125</v>
      </c>
      <c r="W2" s="79"/>
      <c r="X2" s="79">
        <f>SUMIF($D$2:$D$1703,"JACKET",$E$2:$E$1703)</f>
        <v>17125</v>
      </c>
      <c r="Y2" s="79"/>
    </row>
    <row r="3" spans="1:25" x14ac:dyDescent="0.25">
      <c r="A3">
        <v>133</v>
      </c>
      <c r="B3">
        <v>1247</v>
      </c>
      <c r="C3" t="s">
        <v>33</v>
      </c>
      <c r="D3" t="s">
        <v>172</v>
      </c>
      <c r="E3">
        <v>13</v>
      </c>
      <c r="F3">
        <v>18.670000000000002</v>
      </c>
      <c r="G3">
        <v>10.83</v>
      </c>
      <c r="H3">
        <v>31.65</v>
      </c>
      <c r="I3">
        <v>0.95</v>
      </c>
      <c r="J3">
        <v>336.55</v>
      </c>
      <c r="K3">
        <f t="shared" ref="K3:K66" si="2">E3*J3</f>
        <v>4375.1500000000005</v>
      </c>
      <c r="L3">
        <f t="shared" ref="L3:L66" si="3">IF(D3="SHOES",E3*J3,0)</f>
        <v>0</v>
      </c>
      <c r="M3">
        <f t="shared" si="0"/>
        <v>0</v>
      </c>
      <c r="N3">
        <f t="shared" ref="N3:N66" si="4">IF(D3="SHOES",P3,0)</f>
        <v>0</v>
      </c>
      <c r="O3">
        <f t="shared" ref="O3:O66" si="5">PRODUCT(E3,G3,F3)</f>
        <v>2628.5493000000001</v>
      </c>
      <c r="P3">
        <f t="shared" ref="P3:P66" si="6">PRODUCT(O3,0.25)</f>
        <v>657.13732500000003</v>
      </c>
      <c r="Q3">
        <f t="shared" ref="Q3:Q66" si="7">PRODUCT(O3,0.2551)</f>
        <v>670.54292642999997</v>
      </c>
      <c r="R3">
        <f t="shared" ref="R3:R66" si="8">PRODUCT(E3,I3,H3)</f>
        <v>390.8775</v>
      </c>
      <c r="S3">
        <f t="shared" si="1"/>
        <v>4375.1500000000005</v>
      </c>
      <c r="U3" t="s">
        <v>189</v>
      </c>
      <c r="V3" s="79">
        <f>AVERAGEIF($D$2:$D$1703,"JACKET",$G$2:$G$1703)</f>
        <v>11.048929804372852</v>
      </c>
      <c r="W3" s="79"/>
      <c r="X3" s="79">
        <v>11.04</v>
      </c>
      <c r="Y3" s="79">
        <v>11.04</v>
      </c>
    </row>
    <row r="4" spans="1:25" x14ac:dyDescent="0.25">
      <c r="A4">
        <v>134</v>
      </c>
      <c r="B4">
        <v>1247</v>
      </c>
      <c r="C4" t="s">
        <v>33</v>
      </c>
      <c r="D4" t="s">
        <v>172</v>
      </c>
      <c r="E4">
        <v>17</v>
      </c>
      <c r="F4">
        <v>19.38</v>
      </c>
      <c r="G4">
        <v>9.9499999999999993</v>
      </c>
      <c r="H4">
        <v>32.42</v>
      </c>
      <c r="I4">
        <v>1.03</v>
      </c>
      <c r="J4">
        <v>326.57</v>
      </c>
      <c r="K4">
        <f t="shared" si="2"/>
        <v>5551.69</v>
      </c>
      <c r="L4">
        <f t="shared" si="3"/>
        <v>0</v>
      </c>
      <c r="M4">
        <f t="shared" si="0"/>
        <v>0</v>
      </c>
      <c r="N4">
        <f t="shared" si="4"/>
        <v>0</v>
      </c>
      <c r="O4">
        <f t="shared" si="5"/>
        <v>3278.1269999999995</v>
      </c>
      <c r="P4">
        <f t="shared" si="6"/>
        <v>819.53174999999987</v>
      </c>
      <c r="Q4">
        <f t="shared" si="7"/>
        <v>836.25019769999983</v>
      </c>
      <c r="R4">
        <f t="shared" si="8"/>
        <v>567.67420000000004</v>
      </c>
      <c r="S4">
        <f t="shared" si="1"/>
        <v>5551.69</v>
      </c>
      <c r="U4" t="s">
        <v>190</v>
      </c>
      <c r="V4" s="79">
        <f>V3*V2</f>
        <v>189212.9228998851</v>
      </c>
      <c r="W4" s="79">
        <f>V3*V2</f>
        <v>189212.9228998851</v>
      </c>
      <c r="X4" s="79">
        <f>X3*X2</f>
        <v>189059.99999999997</v>
      </c>
      <c r="Y4" s="79"/>
    </row>
    <row r="5" spans="1:25" x14ac:dyDescent="0.25">
      <c r="A5">
        <v>135</v>
      </c>
      <c r="B5">
        <v>1247</v>
      </c>
      <c r="C5" t="s">
        <v>33</v>
      </c>
      <c r="D5" t="s">
        <v>173</v>
      </c>
      <c r="E5">
        <v>27</v>
      </c>
      <c r="F5">
        <v>14.68</v>
      </c>
      <c r="G5">
        <v>2.8</v>
      </c>
      <c r="H5">
        <v>32.17</v>
      </c>
      <c r="I5">
        <v>0.79</v>
      </c>
      <c r="J5">
        <v>84.47</v>
      </c>
      <c r="K5">
        <f t="shared" si="2"/>
        <v>2280.69</v>
      </c>
      <c r="L5">
        <f t="shared" si="3"/>
        <v>2280.69</v>
      </c>
      <c r="M5">
        <f t="shared" si="0"/>
        <v>1109.808</v>
      </c>
      <c r="N5">
        <f t="shared" si="4"/>
        <v>277.452</v>
      </c>
      <c r="O5">
        <f t="shared" si="5"/>
        <v>1109.808</v>
      </c>
      <c r="P5">
        <f t="shared" si="6"/>
        <v>277.452</v>
      </c>
      <c r="Q5">
        <f t="shared" si="7"/>
        <v>283.11202079999998</v>
      </c>
      <c r="R5">
        <f t="shared" si="8"/>
        <v>686.18610000000012</v>
      </c>
      <c r="S5">
        <f t="shared" si="1"/>
        <v>2280.69</v>
      </c>
      <c r="U5" t="s">
        <v>191</v>
      </c>
      <c r="V5" s="67">
        <f>V6/V4</f>
        <v>19.567362981644674</v>
      </c>
      <c r="W5" s="67">
        <v>19.600000000000001</v>
      </c>
      <c r="X5" s="67">
        <v>19.600000000000001</v>
      </c>
      <c r="Y5" s="67">
        <v>19.600000000000001</v>
      </c>
    </row>
    <row r="6" spans="1:25" x14ac:dyDescent="0.25">
      <c r="A6">
        <v>136</v>
      </c>
      <c r="B6">
        <v>1247</v>
      </c>
      <c r="C6" t="s">
        <v>33</v>
      </c>
      <c r="D6" t="s">
        <v>173</v>
      </c>
      <c r="E6">
        <v>9</v>
      </c>
      <c r="F6">
        <v>15.87</v>
      </c>
      <c r="G6">
        <v>2.62</v>
      </c>
      <c r="H6">
        <v>31.82</v>
      </c>
      <c r="I6">
        <v>0.79</v>
      </c>
      <c r="J6">
        <v>84.82</v>
      </c>
      <c r="K6">
        <f t="shared" si="2"/>
        <v>763.37999999999988</v>
      </c>
      <c r="L6">
        <f t="shared" si="3"/>
        <v>763.37999999999988</v>
      </c>
      <c r="M6">
        <f t="shared" si="0"/>
        <v>374.21460000000002</v>
      </c>
      <c r="N6">
        <f t="shared" si="4"/>
        <v>93.553650000000005</v>
      </c>
      <c r="O6">
        <f t="shared" si="5"/>
        <v>374.21460000000002</v>
      </c>
      <c r="P6">
        <f t="shared" si="6"/>
        <v>93.553650000000005</v>
      </c>
      <c r="Q6">
        <f t="shared" si="7"/>
        <v>95.462144460000005</v>
      </c>
      <c r="R6">
        <f t="shared" si="8"/>
        <v>226.24020000000002</v>
      </c>
      <c r="S6">
        <f t="shared" si="1"/>
        <v>763.37999999999988</v>
      </c>
      <c r="U6" t="s">
        <v>192</v>
      </c>
      <c r="V6" s="67">
        <f>SUMIF(D2:D1703,"JACKET",O2:O1703)</f>
        <v>3702397.9431999996</v>
      </c>
      <c r="W6" s="67">
        <f>W5*W4</f>
        <v>3708573.2888377481</v>
      </c>
      <c r="X6" s="67">
        <f>X5*X4</f>
        <v>3705575.9999999995</v>
      </c>
      <c r="Y6" s="67"/>
    </row>
    <row r="7" spans="1:25" x14ac:dyDescent="0.25">
      <c r="A7">
        <v>137</v>
      </c>
      <c r="B7">
        <v>1247</v>
      </c>
      <c r="C7" t="s">
        <v>33</v>
      </c>
      <c r="D7" t="s">
        <v>172</v>
      </c>
      <c r="E7">
        <v>13</v>
      </c>
      <c r="F7">
        <v>20.170000000000002</v>
      </c>
      <c r="G7">
        <v>9.99</v>
      </c>
      <c r="H7">
        <v>23.94</v>
      </c>
      <c r="I7">
        <v>0.97</v>
      </c>
      <c r="J7">
        <v>327.36</v>
      </c>
      <c r="K7">
        <f t="shared" si="2"/>
        <v>4255.68</v>
      </c>
      <c r="L7">
        <f t="shared" si="3"/>
        <v>0</v>
      </c>
      <c r="M7">
        <f t="shared" si="0"/>
        <v>0</v>
      </c>
      <c r="N7">
        <f t="shared" si="4"/>
        <v>0</v>
      </c>
      <c r="O7">
        <f t="shared" si="5"/>
        <v>2619.4779000000003</v>
      </c>
      <c r="P7">
        <f t="shared" si="6"/>
        <v>654.86947500000008</v>
      </c>
      <c r="Q7">
        <f t="shared" si="7"/>
        <v>668.22881229000006</v>
      </c>
      <c r="R7">
        <f t="shared" si="8"/>
        <v>301.88339999999999</v>
      </c>
      <c r="S7">
        <f t="shared" si="1"/>
        <v>4255.68</v>
      </c>
    </row>
    <row r="8" spans="1:25" x14ac:dyDescent="0.25">
      <c r="A8">
        <v>138</v>
      </c>
      <c r="B8">
        <v>1247</v>
      </c>
      <c r="C8" t="s">
        <v>33</v>
      </c>
      <c r="D8" t="s">
        <v>173</v>
      </c>
      <c r="E8">
        <v>24</v>
      </c>
      <c r="F8">
        <v>15.54</v>
      </c>
      <c r="G8">
        <v>2.99</v>
      </c>
      <c r="H8">
        <v>24.72</v>
      </c>
      <c r="I8">
        <v>0.79</v>
      </c>
      <c r="J8">
        <v>85.37</v>
      </c>
      <c r="K8">
        <f t="shared" si="2"/>
        <v>2048.88</v>
      </c>
      <c r="L8">
        <f t="shared" si="3"/>
        <v>2048.88</v>
      </c>
      <c r="M8">
        <f t="shared" si="0"/>
        <v>1115.1504</v>
      </c>
      <c r="N8">
        <f t="shared" si="4"/>
        <v>278.7876</v>
      </c>
      <c r="O8">
        <f t="shared" si="5"/>
        <v>1115.1504</v>
      </c>
      <c r="P8">
        <f t="shared" si="6"/>
        <v>278.7876</v>
      </c>
      <c r="Q8">
        <f t="shared" si="7"/>
        <v>284.47486703999999</v>
      </c>
      <c r="R8">
        <f t="shared" si="8"/>
        <v>468.69119999999998</v>
      </c>
      <c r="S8">
        <f t="shared" si="1"/>
        <v>2048.88</v>
      </c>
      <c r="V8" s="67">
        <f>W6-V6</f>
        <v>6175.3456377484836</v>
      </c>
      <c r="X8" s="68">
        <f>W6-X6</f>
        <v>2997.2888377485797</v>
      </c>
    </row>
    <row r="9" spans="1:25" x14ac:dyDescent="0.25">
      <c r="A9">
        <v>139</v>
      </c>
      <c r="B9">
        <v>1247</v>
      </c>
      <c r="C9" t="s">
        <v>33</v>
      </c>
      <c r="D9" t="s">
        <v>172</v>
      </c>
      <c r="E9">
        <v>13</v>
      </c>
      <c r="F9">
        <v>22.01</v>
      </c>
      <c r="G9">
        <v>11.09</v>
      </c>
      <c r="H9">
        <v>26.18</v>
      </c>
      <c r="I9">
        <v>0.92</v>
      </c>
      <c r="J9">
        <v>391.75</v>
      </c>
      <c r="K9">
        <f t="shared" si="2"/>
        <v>5092.75</v>
      </c>
      <c r="L9">
        <f t="shared" si="3"/>
        <v>0</v>
      </c>
      <c r="M9">
        <f t="shared" si="0"/>
        <v>0</v>
      </c>
      <c r="N9">
        <f t="shared" si="4"/>
        <v>0</v>
      </c>
      <c r="O9">
        <f t="shared" si="5"/>
        <v>3173.1817000000001</v>
      </c>
      <c r="P9">
        <f t="shared" si="6"/>
        <v>793.29542500000002</v>
      </c>
      <c r="Q9">
        <f t="shared" si="7"/>
        <v>809.47865166999998</v>
      </c>
      <c r="R9">
        <f t="shared" si="8"/>
        <v>313.11279999999999</v>
      </c>
      <c r="S9">
        <f t="shared" si="1"/>
        <v>5092.75</v>
      </c>
      <c r="V9" t="s">
        <v>193</v>
      </c>
      <c r="X9" t="s">
        <v>194</v>
      </c>
    </row>
    <row r="10" spans="1:25" x14ac:dyDescent="0.25">
      <c r="A10">
        <v>140</v>
      </c>
      <c r="B10">
        <v>1248</v>
      </c>
      <c r="C10" t="s">
        <v>33</v>
      </c>
      <c r="D10" t="s">
        <v>172</v>
      </c>
      <c r="E10">
        <v>19</v>
      </c>
      <c r="F10">
        <v>20</v>
      </c>
      <c r="G10">
        <v>10.26</v>
      </c>
      <c r="H10">
        <v>29.36</v>
      </c>
      <c r="I10">
        <v>1.02</v>
      </c>
      <c r="J10">
        <v>340.87</v>
      </c>
      <c r="K10">
        <f t="shared" si="2"/>
        <v>6476.53</v>
      </c>
      <c r="L10">
        <f t="shared" si="3"/>
        <v>0</v>
      </c>
      <c r="M10">
        <f t="shared" si="0"/>
        <v>0</v>
      </c>
      <c r="N10">
        <f t="shared" si="4"/>
        <v>0</v>
      </c>
      <c r="O10">
        <f t="shared" si="5"/>
        <v>3898.8</v>
      </c>
      <c r="P10">
        <f t="shared" si="6"/>
        <v>974.7</v>
      </c>
      <c r="Q10">
        <f t="shared" si="7"/>
        <v>994.58388000000002</v>
      </c>
      <c r="R10">
        <f t="shared" si="8"/>
        <v>568.99680000000001</v>
      </c>
      <c r="S10">
        <f t="shared" si="1"/>
        <v>6476.53</v>
      </c>
    </row>
    <row r="11" spans="1:25" x14ac:dyDescent="0.25">
      <c r="A11">
        <v>141</v>
      </c>
      <c r="B11">
        <v>1248</v>
      </c>
      <c r="C11" t="s">
        <v>33</v>
      </c>
      <c r="D11" t="s">
        <v>173</v>
      </c>
      <c r="E11">
        <v>16</v>
      </c>
      <c r="F11">
        <v>15.57</v>
      </c>
      <c r="G11">
        <v>2.98</v>
      </c>
      <c r="H11">
        <v>30.63</v>
      </c>
      <c r="I11">
        <v>0.78</v>
      </c>
      <c r="J11">
        <v>90.08</v>
      </c>
      <c r="K11">
        <f t="shared" si="2"/>
        <v>1441.28</v>
      </c>
      <c r="L11">
        <f t="shared" si="3"/>
        <v>1441.28</v>
      </c>
      <c r="M11">
        <f t="shared" si="0"/>
        <v>742.37760000000003</v>
      </c>
      <c r="N11">
        <f t="shared" si="4"/>
        <v>185.59440000000001</v>
      </c>
      <c r="O11">
        <f t="shared" si="5"/>
        <v>742.37760000000003</v>
      </c>
      <c r="P11">
        <f t="shared" si="6"/>
        <v>185.59440000000001</v>
      </c>
      <c r="Q11">
        <f t="shared" si="7"/>
        <v>189.38052576000001</v>
      </c>
      <c r="R11">
        <f t="shared" si="8"/>
        <v>382.26240000000001</v>
      </c>
      <c r="S11">
        <f t="shared" si="1"/>
        <v>1441.28</v>
      </c>
      <c r="U11" s="4" t="s">
        <v>195</v>
      </c>
      <c r="V11" s="69" t="s">
        <v>184</v>
      </c>
      <c r="W11" s="69" t="s">
        <v>185</v>
      </c>
      <c r="X11" s="69" t="s">
        <v>186</v>
      </c>
      <c r="Y11" s="69" t="s">
        <v>187</v>
      </c>
    </row>
    <row r="12" spans="1:25" x14ac:dyDescent="0.25">
      <c r="A12">
        <v>142</v>
      </c>
      <c r="B12">
        <v>1248</v>
      </c>
      <c r="C12" t="s">
        <v>33</v>
      </c>
      <c r="D12" t="s">
        <v>173</v>
      </c>
      <c r="E12">
        <v>16</v>
      </c>
      <c r="F12">
        <v>15.25</v>
      </c>
      <c r="G12">
        <v>2.86</v>
      </c>
      <c r="H12">
        <v>36.630000000000003</v>
      </c>
      <c r="I12">
        <v>0.81</v>
      </c>
      <c r="J12">
        <v>92.61</v>
      </c>
      <c r="K12">
        <f t="shared" si="2"/>
        <v>1481.76</v>
      </c>
      <c r="L12">
        <f t="shared" si="3"/>
        <v>1481.76</v>
      </c>
      <c r="M12">
        <f t="shared" si="0"/>
        <v>697.83999999999992</v>
      </c>
      <c r="N12">
        <f t="shared" si="4"/>
        <v>174.45999999999998</v>
      </c>
      <c r="O12">
        <f t="shared" si="5"/>
        <v>697.83999999999992</v>
      </c>
      <c r="P12">
        <f t="shared" si="6"/>
        <v>174.45999999999998</v>
      </c>
      <c r="Q12">
        <f t="shared" si="7"/>
        <v>178.01898399999996</v>
      </c>
      <c r="R12">
        <f t="shared" si="8"/>
        <v>474.72480000000007</v>
      </c>
      <c r="S12">
        <f t="shared" si="1"/>
        <v>1481.76</v>
      </c>
      <c r="U12" t="s">
        <v>188</v>
      </c>
      <c r="V12" s="79">
        <f>SUMIF($D$2:$D$1703,"SHOES",$E$2:$E$1703)</f>
        <v>16037</v>
      </c>
      <c r="W12" s="79"/>
      <c r="X12" s="79">
        <f>SUMIF($D$2:$D$1703,"SHOES",$E$2:$E$1703)</f>
        <v>16037</v>
      </c>
      <c r="Y12" s="79"/>
    </row>
    <row r="13" spans="1:25" x14ac:dyDescent="0.25">
      <c r="A13">
        <v>143</v>
      </c>
      <c r="B13">
        <v>1248</v>
      </c>
      <c r="C13" t="s">
        <v>33</v>
      </c>
      <c r="D13" t="s">
        <v>172</v>
      </c>
      <c r="E13">
        <v>17</v>
      </c>
      <c r="F13">
        <v>17.420000000000002</v>
      </c>
      <c r="G13">
        <v>12.34</v>
      </c>
      <c r="H13">
        <v>31.39</v>
      </c>
      <c r="I13">
        <v>1.01</v>
      </c>
      <c r="J13">
        <v>357.49</v>
      </c>
      <c r="K13">
        <f t="shared" si="2"/>
        <v>6077.33</v>
      </c>
      <c r="L13">
        <f t="shared" si="3"/>
        <v>0</v>
      </c>
      <c r="M13">
        <f t="shared" si="0"/>
        <v>0</v>
      </c>
      <c r="N13">
        <f t="shared" si="4"/>
        <v>0</v>
      </c>
      <c r="O13">
        <f t="shared" si="5"/>
        <v>3654.3676000000005</v>
      </c>
      <c r="P13">
        <f t="shared" si="6"/>
        <v>913.59190000000012</v>
      </c>
      <c r="Q13">
        <f t="shared" si="7"/>
        <v>932.22917476000009</v>
      </c>
      <c r="R13">
        <f t="shared" si="8"/>
        <v>538.96630000000005</v>
      </c>
      <c r="S13">
        <f t="shared" si="1"/>
        <v>6077.33</v>
      </c>
      <c r="U13" t="s">
        <v>189</v>
      </c>
      <c r="V13" s="79">
        <f>AVERAGEIF($D$2:$D$1703,"SHOES",$G$2:$G$1703)</f>
        <v>2.8693877551020388</v>
      </c>
      <c r="W13" s="79"/>
      <c r="X13" s="79">
        <v>2.87</v>
      </c>
      <c r="Y13" s="79">
        <v>2.87</v>
      </c>
    </row>
    <row r="14" spans="1:25" x14ac:dyDescent="0.25">
      <c r="A14">
        <v>144</v>
      </c>
      <c r="B14">
        <v>1248</v>
      </c>
      <c r="C14" t="s">
        <v>33</v>
      </c>
      <c r="D14" t="s">
        <v>172</v>
      </c>
      <c r="E14">
        <v>13</v>
      </c>
      <c r="F14">
        <v>18.850000000000001</v>
      </c>
      <c r="G14">
        <v>11.52</v>
      </c>
      <c r="H14">
        <v>31.37</v>
      </c>
      <c r="I14">
        <v>0.98</v>
      </c>
      <c r="J14">
        <v>359.6</v>
      </c>
      <c r="K14">
        <f t="shared" si="2"/>
        <v>4674.8</v>
      </c>
      <c r="L14">
        <f t="shared" si="3"/>
        <v>0</v>
      </c>
      <c r="M14">
        <f t="shared" si="0"/>
        <v>0</v>
      </c>
      <c r="N14">
        <f t="shared" si="4"/>
        <v>0</v>
      </c>
      <c r="O14">
        <f t="shared" si="5"/>
        <v>2822.9760000000001</v>
      </c>
      <c r="P14">
        <f t="shared" si="6"/>
        <v>705.74400000000003</v>
      </c>
      <c r="Q14">
        <f t="shared" si="7"/>
        <v>720.14117759999999</v>
      </c>
      <c r="R14">
        <f t="shared" si="8"/>
        <v>399.65380000000005</v>
      </c>
      <c r="S14">
        <f t="shared" si="1"/>
        <v>4674.8</v>
      </c>
      <c r="U14" t="s">
        <v>190</v>
      </c>
      <c r="V14" s="79">
        <f>V13*V12</f>
        <v>46016.371428571394</v>
      </c>
      <c r="W14" s="79">
        <f>V13*V12</f>
        <v>46016.371428571394</v>
      </c>
      <c r="X14" s="79">
        <f>X13*X12</f>
        <v>46026.19</v>
      </c>
      <c r="Y14" s="79"/>
    </row>
    <row r="15" spans="1:25" x14ac:dyDescent="0.25">
      <c r="A15">
        <v>145</v>
      </c>
      <c r="B15">
        <v>1248</v>
      </c>
      <c r="C15" t="s">
        <v>33</v>
      </c>
      <c r="D15" t="s">
        <v>173</v>
      </c>
      <c r="E15">
        <v>12</v>
      </c>
      <c r="F15">
        <v>16.64</v>
      </c>
      <c r="G15">
        <v>2.9</v>
      </c>
      <c r="H15">
        <v>30.23</v>
      </c>
      <c r="I15">
        <v>0.78</v>
      </c>
      <c r="J15">
        <v>92.29</v>
      </c>
      <c r="K15">
        <f t="shared" si="2"/>
        <v>1107.48</v>
      </c>
      <c r="L15">
        <f t="shared" si="3"/>
        <v>1107.48</v>
      </c>
      <c r="M15">
        <f t="shared" si="0"/>
        <v>579.072</v>
      </c>
      <c r="N15">
        <f t="shared" si="4"/>
        <v>144.768</v>
      </c>
      <c r="O15">
        <f t="shared" si="5"/>
        <v>579.072</v>
      </c>
      <c r="P15">
        <f t="shared" si="6"/>
        <v>144.768</v>
      </c>
      <c r="Q15">
        <f t="shared" si="7"/>
        <v>147.7212672</v>
      </c>
      <c r="R15">
        <f t="shared" si="8"/>
        <v>282.95279999999997</v>
      </c>
      <c r="S15">
        <f t="shared" si="1"/>
        <v>1107.48</v>
      </c>
      <c r="U15" t="s">
        <v>191</v>
      </c>
      <c r="V15" s="67">
        <f>V16/V14</f>
        <v>14.686880054179497</v>
      </c>
      <c r="W15" s="67">
        <v>14.85</v>
      </c>
      <c r="X15" s="67">
        <v>14.85</v>
      </c>
      <c r="Y15" s="67">
        <v>14.85</v>
      </c>
    </row>
    <row r="16" spans="1:25" x14ac:dyDescent="0.25">
      <c r="A16">
        <v>146</v>
      </c>
      <c r="B16">
        <v>1248</v>
      </c>
      <c r="C16" t="s">
        <v>33</v>
      </c>
      <c r="D16" t="s">
        <v>172</v>
      </c>
      <c r="E16">
        <v>11</v>
      </c>
      <c r="F16">
        <v>19.45</v>
      </c>
      <c r="G16">
        <v>12</v>
      </c>
      <c r="H16">
        <v>32.090000000000003</v>
      </c>
      <c r="I16">
        <v>1.07</v>
      </c>
      <c r="J16">
        <v>388.04</v>
      </c>
      <c r="K16">
        <f t="shared" si="2"/>
        <v>4268.4400000000005</v>
      </c>
      <c r="L16">
        <f t="shared" si="3"/>
        <v>0</v>
      </c>
      <c r="M16">
        <f t="shared" si="0"/>
        <v>0</v>
      </c>
      <c r="N16">
        <f>IF(D16="SHOES",P16,0)</f>
        <v>0</v>
      </c>
      <c r="O16">
        <f t="shared" si="5"/>
        <v>2567.4</v>
      </c>
      <c r="P16">
        <f t="shared" si="6"/>
        <v>641.85</v>
      </c>
      <c r="Q16">
        <f t="shared" si="7"/>
        <v>654.94374000000005</v>
      </c>
      <c r="R16">
        <f t="shared" si="8"/>
        <v>377.69930000000011</v>
      </c>
      <c r="S16">
        <f t="shared" si="1"/>
        <v>4268.4400000000005</v>
      </c>
      <c r="U16" t="s">
        <v>192</v>
      </c>
      <c r="V16" s="67">
        <f>SUMIF(D2:D1703,"SHOES",O2:O1703)</f>
        <v>675836.92770000047</v>
      </c>
      <c r="W16" s="67">
        <f>W15*W14</f>
        <v>683343.11571428517</v>
      </c>
      <c r="X16" s="67">
        <f>X15*X14</f>
        <v>683488.92150000005</v>
      </c>
      <c r="Y16" s="67"/>
    </row>
    <row r="17" spans="1:24" x14ac:dyDescent="0.25">
      <c r="A17">
        <v>147</v>
      </c>
      <c r="B17">
        <v>1248</v>
      </c>
      <c r="C17" t="s">
        <v>33</v>
      </c>
      <c r="D17" t="s">
        <v>172</v>
      </c>
      <c r="E17">
        <v>18</v>
      </c>
      <c r="F17">
        <v>19.2</v>
      </c>
      <c r="G17">
        <v>11.07</v>
      </c>
      <c r="H17">
        <v>29.03</v>
      </c>
      <c r="I17">
        <v>0.91</v>
      </c>
      <c r="J17">
        <v>347.6</v>
      </c>
      <c r="K17">
        <f t="shared" si="2"/>
        <v>6256.8</v>
      </c>
      <c r="L17">
        <f t="shared" si="3"/>
        <v>0</v>
      </c>
      <c r="M17">
        <f t="shared" si="0"/>
        <v>0</v>
      </c>
      <c r="N17">
        <f t="shared" si="4"/>
        <v>0</v>
      </c>
      <c r="O17">
        <f t="shared" si="5"/>
        <v>3825.7919999999995</v>
      </c>
      <c r="P17">
        <f t="shared" si="6"/>
        <v>956.44799999999987</v>
      </c>
      <c r="Q17">
        <f t="shared" si="7"/>
        <v>975.95953919999988</v>
      </c>
      <c r="R17">
        <f t="shared" si="8"/>
        <v>475.51139999999998</v>
      </c>
      <c r="S17">
        <f t="shared" si="1"/>
        <v>6256.8</v>
      </c>
    </row>
    <row r="18" spans="1:24" x14ac:dyDescent="0.25">
      <c r="A18">
        <v>148</v>
      </c>
      <c r="B18">
        <v>1248</v>
      </c>
      <c r="C18" t="s">
        <v>33</v>
      </c>
      <c r="D18" t="s">
        <v>172</v>
      </c>
      <c r="E18">
        <v>13</v>
      </c>
      <c r="F18">
        <v>20.010000000000002</v>
      </c>
      <c r="G18">
        <v>11.07</v>
      </c>
      <c r="H18">
        <v>23.57</v>
      </c>
      <c r="I18">
        <v>1.06</v>
      </c>
      <c r="J18">
        <v>359.23</v>
      </c>
      <c r="K18">
        <f t="shared" si="2"/>
        <v>4669.99</v>
      </c>
      <c r="L18">
        <f t="shared" si="3"/>
        <v>0</v>
      </c>
      <c r="M18">
        <f t="shared" si="0"/>
        <v>0</v>
      </c>
      <c r="N18">
        <f t="shared" si="4"/>
        <v>0</v>
      </c>
      <c r="O18">
        <f t="shared" si="5"/>
        <v>2879.6391000000003</v>
      </c>
      <c r="P18">
        <f t="shared" si="6"/>
        <v>719.90977500000008</v>
      </c>
      <c r="Q18">
        <f t="shared" si="7"/>
        <v>734.59593441000004</v>
      </c>
      <c r="R18">
        <f t="shared" si="8"/>
        <v>324.7946</v>
      </c>
      <c r="S18">
        <f t="shared" si="1"/>
        <v>4669.99</v>
      </c>
      <c r="V18" s="68">
        <f>W16-V16</f>
        <v>7506.1880142847076</v>
      </c>
      <c r="X18" s="68">
        <f>X16-W16</f>
        <v>145.80578571488149</v>
      </c>
    </row>
    <row r="19" spans="1:24" x14ac:dyDescent="0.25">
      <c r="A19">
        <v>149</v>
      </c>
      <c r="B19">
        <v>1249</v>
      </c>
      <c r="C19" t="s">
        <v>35</v>
      </c>
      <c r="D19" t="s">
        <v>172</v>
      </c>
      <c r="E19">
        <v>13</v>
      </c>
      <c r="F19">
        <v>20.85</v>
      </c>
      <c r="G19">
        <v>11.75</v>
      </c>
      <c r="H19">
        <v>31.02</v>
      </c>
      <c r="I19">
        <v>1.02</v>
      </c>
      <c r="J19">
        <v>402.07</v>
      </c>
      <c r="K19">
        <f t="shared" si="2"/>
        <v>5226.91</v>
      </c>
      <c r="L19">
        <f t="shared" si="3"/>
        <v>0</v>
      </c>
      <c r="M19">
        <f t="shared" si="0"/>
        <v>0</v>
      </c>
      <c r="N19">
        <f t="shared" si="4"/>
        <v>0</v>
      </c>
      <c r="O19">
        <f t="shared" si="5"/>
        <v>3184.8375000000001</v>
      </c>
      <c r="P19">
        <f t="shared" si="6"/>
        <v>796.20937500000002</v>
      </c>
      <c r="Q19">
        <f t="shared" si="7"/>
        <v>812.45204624999997</v>
      </c>
      <c r="R19">
        <f t="shared" si="8"/>
        <v>411.3252</v>
      </c>
      <c r="S19">
        <f t="shared" si="1"/>
        <v>5226.91</v>
      </c>
      <c r="V19" t="s">
        <v>193</v>
      </c>
      <c r="X19" t="s">
        <v>196</v>
      </c>
    </row>
    <row r="20" spans="1:24" x14ac:dyDescent="0.25">
      <c r="A20">
        <v>150</v>
      </c>
      <c r="B20">
        <v>1249</v>
      </c>
      <c r="C20" t="s">
        <v>35</v>
      </c>
      <c r="D20" t="s">
        <v>173</v>
      </c>
      <c r="E20">
        <v>20</v>
      </c>
      <c r="F20">
        <v>14.91</v>
      </c>
      <c r="G20">
        <v>3.01</v>
      </c>
      <c r="H20">
        <v>28.11</v>
      </c>
      <c r="I20">
        <v>0.8</v>
      </c>
      <c r="J20">
        <v>77.02</v>
      </c>
      <c r="K20">
        <f t="shared" si="2"/>
        <v>1540.3999999999999</v>
      </c>
      <c r="L20">
        <f t="shared" si="3"/>
        <v>1540.3999999999999</v>
      </c>
      <c r="M20">
        <f t="shared" si="0"/>
        <v>897.58199999999999</v>
      </c>
      <c r="N20">
        <f t="shared" si="4"/>
        <v>224.3955</v>
      </c>
      <c r="O20">
        <f t="shared" si="5"/>
        <v>897.58199999999999</v>
      </c>
      <c r="P20">
        <f t="shared" si="6"/>
        <v>224.3955</v>
      </c>
      <c r="Q20">
        <f t="shared" si="7"/>
        <v>228.9731682</v>
      </c>
      <c r="R20">
        <f t="shared" si="8"/>
        <v>449.76</v>
      </c>
      <c r="S20">
        <f t="shared" si="1"/>
        <v>1540.3999999999999</v>
      </c>
    </row>
    <row r="21" spans="1:24" x14ac:dyDescent="0.25">
      <c r="A21">
        <v>151</v>
      </c>
      <c r="B21">
        <v>1249</v>
      </c>
      <c r="C21" t="s">
        <v>35</v>
      </c>
      <c r="D21" t="s">
        <v>173</v>
      </c>
      <c r="E21">
        <v>19</v>
      </c>
      <c r="F21">
        <v>15.52</v>
      </c>
      <c r="G21">
        <v>2.98</v>
      </c>
      <c r="H21">
        <v>27.87</v>
      </c>
      <c r="I21">
        <v>0.8</v>
      </c>
      <c r="J21">
        <v>88.12</v>
      </c>
      <c r="K21">
        <f t="shared" si="2"/>
        <v>1674.2800000000002</v>
      </c>
      <c r="L21">
        <f t="shared" si="3"/>
        <v>1674.2800000000002</v>
      </c>
      <c r="M21">
        <f t="shared" si="0"/>
        <v>878.74239999999998</v>
      </c>
      <c r="N21">
        <f t="shared" si="4"/>
        <v>219.68559999999999</v>
      </c>
      <c r="O21">
        <f t="shared" si="5"/>
        <v>878.74239999999998</v>
      </c>
      <c r="P21">
        <f t="shared" si="6"/>
        <v>219.68559999999999</v>
      </c>
      <c r="Q21">
        <f t="shared" si="7"/>
        <v>224.16718623999998</v>
      </c>
      <c r="R21">
        <f t="shared" si="8"/>
        <v>423.62400000000002</v>
      </c>
      <c r="S21">
        <f t="shared" si="1"/>
        <v>1674.2800000000002</v>
      </c>
      <c r="X21" s="68">
        <f>X8-X18</f>
        <v>2851.4830520336982</v>
      </c>
    </row>
    <row r="22" spans="1:24" x14ac:dyDescent="0.25">
      <c r="A22">
        <v>152</v>
      </c>
      <c r="B22">
        <v>1249</v>
      </c>
      <c r="C22" t="s">
        <v>35</v>
      </c>
      <c r="D22" t="s">
        <v>172</v>
      </c>
      <c r="E22">
        <v>9</v>
      </c>
      <c r="F22">
        <v>18.95</v>
      </c>
      <c r="G22">
        <v>11.13</v>
      </c>
      <c r="H22">
        <v>26.59</v>
      </c>
      <c r="I22">
        <v>0.93</v>
      </c>
      <c r="J22">
        <v>343.16</v>
      </c>
      <c r="K22">
        <f t="shared" si="2"/>
        <v>3088.44</v>
      </c>
      <c r="L22">
        <f t="shared" si="3"/>
        <v>0</v>
      </c>
      <c r="M22">
        <f t="shared" si="0"/>
        <v>0</v>
      </c>
      <c r="N22">
        <f t="shared" si="4"/>
        <v>0</v>
      </c>
      <c r="O22">
        <f t="shared" si="5"/>
        <v>1898.2214999999999</v>
      </c>
      <c r="P22">
        <f t="shared" si="6"/>
        <v>474.55537499999997</v>
      </c>
      <c r="Q22">
        <f t="shared" si="7"/>
        <v>484.23630464999997</v>
      </c>
      <c r="R22">
        <f t="shared" si="8"/>
        <v>222.55830000000003</v>
      </c>
      <c r="S22">
        <f t="shared" si="1"/>
        <v>3088.44</v>
      </c>
      <c r="X22" t="s">
        <v>197</v>
      </c>
    </row>
    <row r="23" spans="1:24" x14ac:dyDescent="0.25">
      <c r="A23">
        <v>153</v>
      </c>
      <c r="B23">
        <v>1249</v>
      </c>
      <c r="C23" t="s">
        <v>35</v>
      </c>
      <c r="D23" t="s">
        <v>172</v>
      </c>
      <c r="E23">
        <v>18</v>
      </c>
      <c r="F23">
        <v>19.559999999999999</v>
      </c>
      <c r="G23">
        <v>11.54</v>
      </c>
      <c r="H23">
        <v>28.55</v>
      </c>
      <c r="I23">
        <v>0.98</v>
      </c>
      <c r="J23">
        <v>369.06</v>
      </c>
      <c r="K23">
        <f t="shared" si="2"/>
        <v>6643.08</v>
      </c>
      <c r="L23">
        <f t="shared" si="3"/>
        <v>0</v>
      </c>
      <c r="M23">
        <f t="shared" si="0"/>
        <v>0</v>
      </c>
      <c r="N23">
        <f t="shared" si="4"/>
        <v>0</v>
      </c>
      <c r="O23">
        <f t="shared" si="5"/>
        <v>4063.0031999999992</v>
      </c>
      <c r="P23">
        <f t="shared" si="6"/>
        <v>1015.7507999999998</v>
      </c>
      <c r="Q23">
        <f t="shared" si="7"/>
        <v>1036.4721163199997</v>
      </c>
      <c r="R23">
        <f t="shared" si="8"/>
        <v>503.62200000000001</v>
      </c>
      <c r="S23">
        <f t="shared" si="1"/>
        <v>6643.08</v>
      </c>
      <c r="U23" t="s">
        <v>198</v>
      </c>
    </row>
    <row r="24" spans="1:24" x14ac:dyDescent="0.25">
      <c r="A24">
        <v>154</v>
      </c>
      <c r="B24">
        <v>1249</v>
      </c>
      <c r="C24" t="s">
        <v>35</v>
      </c>
      <c r="D24" t="s">
        <v>173</v>
      </c>
      <c r="E24">
        <v>9</v>
      </c>
      <c r="F24">
        <v>15.71</v>
      </c>
      <c r="G24">
        <v>2.87</v>
      </c>
      <c r="H24">
        <v>34.54</v>
      </c>
      <c r="I24">
        <v>0.79</v>
      </c>
      <c r="J24">
        <v>92.01</v>
      </c>
      <c r="K24">
        <f t="shared" si="2"/>
        <v>828.09</v>
      </c>
      <c r="L24">
        <f t="shared" si="3"/>
        <v>828.09</v>
      </c>
      <c r="M24">
        <f t="shared" si="0"/>
        <v>405.78930000000003</v>
      </c>
      <c r="N24">
        <f t="shared" si="4"/>
        <v>101.44732500000001</v>
      </c>
      <c r="O24">
        <f t="shared" si="5"/>
        <v>405.78930000000003</v>
      </c>
      <c r="P24">
        <f t="shared" si="6"/>
        <v>101.44732500000001</v>
      </c>
      <c r="Q24">
        <f t="shared" si="7"/>
        <v>103.51685043000001</v>
      </c>
      <c r="R24">
        <f t="shared" si="8"/>
        <v>245.57939999999999</v>
      </c>
      <c r="S24">
        <f t="shared" si="1"/>
        <v>828.09</v>
      </c>
      <c r="U24" t="s">
        <v>199</v>
      </c>
    </row>
    <row r="25" spans="1:24" x14ac:dyDescent="0.25">
      <c r="A25">
        <v>155</v>
      </c>
      <c r="B25">
        <v>1249</v>
      </c>
      <c r="C25" t="s">
        <v>35</v>
      </c>
      <c r="D25" t="s">
        <v>172</v>
      </c>
      <c r="E25">
        <v>56</v>
      </c>
      <c r="F25">
        <v>19.86</v>
      </c>
      <c r="G25">
        <v>10.96</v>
      </c>
      <c r="H25">
        <v>31.65</v>
      </c>
      <c r="I25">
        <v>1.1000000000000001</v>
      </c>
      <c r="J25">
        <v>365.21</v>
      </c>
      <c r="K25">
        <f t="shared" si="2"/>
        <v>20451.759999999998</v>
      </c>
      <c r="L25">
        <f t="shared" si="3"/>
        <v>0</v>
      </c>
      <c r="M25">
        <f t="shared" si="0"/>
        <v>0</v>
      </c>
      <c r="N25">
        <f t="shared" si="4"/>
        <v>0</v>
      </c>
      <c r="O25">
        <f t="shared" si="5"/>
        <v>12189.273599999999</v>
      </c>
      <c r="P25">
        <f t="shared" si="6"/>
        <v>3047.3183999999997</v>
      </c>
      <c r="Q25">
        <f t="shared" si="7"/>
        <v>3109.4836953599997</v>
      </c>
      <c r="R25">
        <f t="shared" si="8"/>
        <v>1949.64</v>
      </c>
      <c r="S25">
        <f t="shared" si="1"/>
        <v>20451.759999999998</v>
      </c>
      <c r="V25" s="80">
        <f>COUNTIFS(C2:C1703,"East",D2:D1703,"Jacket")</f>
        <v>156</v>
      </c>
    </row>
    <row r="26" spans="1:24" x14ac:dyDescent="0.25">
      <c r="A26">
        <v>156</v>
      </c>
      <c r="B26">
        <v>1249</v>
      </c>
      <c r="C26" t="s">
        <v>35</v>
      </c>
      <c r="D26" t="s">
        <v>173</v>
      </c>
      <c r="E26">
        <v>22</v>
      </c>
      <c r="F26">
        <v>17.2</v>
      </c>
      <c r="G26">
        <v>2.84</v>
      </c>
      <c r="H26">
        <v>34.119999999999997</v>
      </c>
      <c r="I26">
        <v>0.81</v>
      </c>
      <c r="J26">
        <v>97.57</v>
      </c>
      <c r="K26">
        <f t="shared" si="2"/>
        <v>2146.54</v>
      </c>
      <c r="L26">
        <f t="shared" si="3"/>
        <v>2146.54</v>
      </c>
      <c r="M26">
        <f t="shared" si="0"/>
        <v>1074.6559999999999</v>
      </c>
      <c r="N26">
        <f t="shared" si="4"/>
        <v>268.66399999999999</v>
      </c>
      <c r="O26">
        <f t="shared" si="5"/>
        <v>1074.6559999999999</v>
      </c>
      <c r="P26">
        <f t="shared" si="6"/>
        <v>268.66399999999999</v>
      </c>
      <c r="Q26">
        <f t="shared" si="7"/>
        <v>274.14474559999996</v>
      </c>
      <c r="R26">
        <f t="shared" si="8"/>
        <v>608.01839999999993</v>
      </c>
      <c r="S26">
        <f t="shared" si="1"/>
        <v>2146.54</v>
      </c>
    </row>
    <row r="27" spans="1:24" x14ac:dyDescent="0.25">
      <c r="A27">
        <v>157</v>
      </c>
      <c r="B27">
        <v>1249</v>
      </c>
      <c r="C27" t="s">
        <v>35</v>
      </c>
      <c r="D27" t="s">
        <v>173</v>
      </c>
      <c r="E27">
        <v>18</v>
      </c>
      <c r="F27">
        <v>14.24</v>
      </c>
      <c r="G27">
        <v>2.96</v>
      </c>
      <c r="H27">
        <v>29.12</v>
      </c>
      <c r="I27">
        <v>0.78</v>
      </c>
      <c r="J27">
        <v>82.94</v>
      </c>
      <c r="K27">
        <f t="shared" si="2"/>
        <v>1492.92</v>
      </c>
      <c r="L27">
        <f t="shared" si="3"/>
        <v>1492.92</v>
      </c>
      <c r="M27">
        <f t="shared" si="0"/>
        <v>758.70720000000006</v>
      </c>
      <c r="N27">
        <f t="shared" si="4"/>
        <v>189.67680000000001</v>
      </c>
      <c r="O27">
        <f t="shared" si="5"/>
        <v>758.70720000000006</v>
      </c>
      <c r="P27">
        <f t="shared" si="6"/>
        <v>189.67680000000001</v>
      </c>
      <c r="Q27">
        <f t="shared" si="7"/>
        <v>193.54620672000001</v>
      </c>
      <c r="R27">
        <f t="shared" si="8"/>
        <v>408.84480000000002</v>
      </c>
      <c r="S27">
        <f t="shared" si="1"/>
        <v>1492.92</v>
      </c>
    </row>
    <row r="28" spans="1:24" x14ac:dyDescent="0.25">
      <c r="A28">
        <v>158</v>
      </c>
      <c r="B28">
        <v>1249</v>
      </c>
      <c r="C28" t="s">
        <v>35</v>
      </c>
      <c r="D28" t="s">
        <v>172</v>
      </c>
      <c r="E28">
        <v>15</v>
      </c>
      <c r="F28">
        <v>19.39</v>
      </c>
      <c r="G28">
        <v>11.09</v>
      </c>
      <c r="H28">
        <v>32.79</v>
      </c>
      <c r="I28">
        <v>0.93</v>
      </c>
      <c r="J28">
        <v>356.15</v>
      </c>
      <c r="K28">
        <f t="shared" si="2"/>
        <v>5342.25</v>
      </c>
      <c r="L28">
        <f t="shared" si="3"/>
        <v>0</v>
      </c>
      <c r="M28">
        <f t="shared" si="0"/>
        <v>0</v>
      </c>
      <c r="N28">
        <f t="shared" si="4"/>
        <v>0</v>
      </c>
      <c r="O28">
        <f t="shared" si="5"/>
        <v>3225.5264999999999</v>
      </c>
      <c r="P28">
        <f t="shared" si="6"/>
        <v>806.38162499999999</v>
      </c>
      <c r="Q28">
        <f t="shared" si="7"/>
        <v>822.83181014999991</v>
      </c>
      <c r="R28">
        <f t="shared" si="8"/>
        <v>457.4205</v>
      </c>
      <c r="S28">
        <f t="shared" si="1"/>
        <v>5342.25</v>
      </c>
    </row>
    <row r="29" spans="1:24" x14ac:dyDescent="0.25">
      <c r="A29">
        <v>159</v>
      </c>
      <c r="B29">
        <v>1250</v>
      </c>
      <c r="C29" t="s">
        <v>33</v>
      </c>
      <c r="D29" t="s">
        <v>172</v>
      </c>
      <c r="E29">
        <v>13</v>
      </c>
      <c r="F29">
        <v>19.22</v>
      </c>
      <c r="G29">
        <v>10.93</v>
      </c>
      <c r="H29">
        <v>32.369999999999997</v>
      </c>
      <c r="I29">
        <v>0.86</v>
      </c>
      <c r="J29">
        <v>345.61</v>
      </c>
      <c r="K29">
        <f t="shared" si="2"/>
        <v>4492.93</v>
      </c>
      <c r="L29">
        <f t="shared" si="3"/>
        <v>0</v>
      </c>
      <c r="M29">
        <f t="shared" si="0"/>
        <v>0</v>
      </c>
      <c r="N29">
        <f t="shared" si="4"/>
        <v>0</v>
      </c>
      <c r="O29">
        <f t="shared" si="5"/>
        <v>2730.9697999999999</v>
      </c>
      <c r="P29">
        <f t="shared" si="6"/>
        <v>682.74244999999996</v>
      </c>
      <c r="Q29">
        <f t="shared" si="7"/>
        <v>696.67039597999997</v>
      </c>
      <c r="R29">
        <f t="shared" si="8"/>
        <v>361.89659999999998</v>
      </c>
      <c r="S29">
        <f t="shared" si="1"/>
        <v>4492.93</v>
      </c>
    </row>
    <row r="30" spans="1:24" x14ac:dyDescent="0.25">
      <c r="A30">
        <v>160</v>
      </c>
      <c r="B30">
        <v>1250</v>
      </c>
      <c r="C30" t="s">
        <v>33</v>
      </c>
      <c r="D30" t="s">
        <v>173</v>
      </c>
      <c r="E30">
        <v>15</v>
      </c>
      <c r="F30">
        <v>13.45</v>
      </c>
      <c r="G30">
        <v>3.04</v>
      </c>
      <c r="H30">
        <v>31.58</v>
      </c>
      <c r="I30">
        <v>0.78</v>
      </c>
      <c r="J30">
        <v>83.32</v>
      </c>
      <c r="K30">
        <f t="shared" si="2"/>
        <v>1249.8</v>
      </c>
      <c r="L30">
        <f t="shared" si="3"/>
        <v>1249.8</v>
      </c>
      <c r="M30">
        <f t="shared" si="0"/>
        <v>613.31999999999994</v>
      </c>
      <c r="N30">
        <f t="shared" si="4"/>
        <v>153.32999999999998</v>
      </c>
      <c r="O30">
        <f t="shared" si="5"/>
        <v>613.31999999999994</v>
      </c>
      <c r="P30">
        <f t="shared" si="6"/>
        <v>153.32999999999998</v>
      </c>
      <c r="Q30">
        <f t="shared" si="7"/>
        <v>156.45793199999997</v>
      </c>
      <c r="R30">
        <f t="shared" si="8"/>
        <v>369.48599999999999</v>
      </c>
      <c r="S30">
        <f t="shared" si="1"/>
        <v>1249.8</v>
      </c>
    </row>
    <row r="31" spans="1:24" x14ac:dyDescent="0.25">
      <c r="A31">
        <v>161</v>
      </c>
      <c r="B31">
        <v>1250</v>
      </c>
      <c r="C31" t="s">
        <v>33</v>
      </c>
      <c r="D31" t="s">
        <v>172</v>
      </c>
      <c r="E31">
        <v>7</v>
      </c>
      <c r="F31">
        <v>18.690000000000001</v>
      </c>
      <c r="G31">
        <v>10.79</v>
      </c>
      <c r="H31">
        <v>34.21</v>
      </c>
      <c r="I31">
        <v>1.03</v>
      </c>
      <c r="J31">
        <v>341.91</v>
      </c>
      <c r="K31">
        <f t="shared" si="2"/>
        <v>2393.3700000000003</v>
      </c>
      <c r="L31">
        <f t="shared" si="3"/>
        <v>0</v>
      </c>
      <c r="M31">
        <f t="shared" si="0"/>
        <v>0</v>
      </c>
      <c r="N31">
        <f t="shared" si="4"/>
        <v>0</v>
      </c>
      <c r="O31">
        <f t="shared" si="5"/>
        <v>1411.6557</v>
      </c>
      <c r="P31">
        <f t="shared" si="6"/>
        <v>352.91392500000001</v>
      </c>
      <c r="Q31">
        <f t="shared" si="7"/>
        <v>360.11336906999998</v>
      </c>
      <c r="R31">
        <f t="shared" si="8"/>
        <v>246.6541</v>
      </c>
      <c r="S31">
        <f t="shared" si="1"/>
        <v>2393.3700000000003</v>
      </c>
    </row>
    <row r="32" spans="1:24" x14ac:dyDescent="0.25">
      <c r="A32">
        <v>162</v>
      </c>
      <c r="B32">
        <v>1250</v>
      </c>
      <c r="C32" t="s">
        <v>33</v>
      </c>
      <c r="D32" t="s">
        <v>173</v>
      </c>
      <c r="E32">
        <v>12</v>
      </c>
      <c r="F32">
        <v>15.4</v>
      </c>
      <c r="G32">
        <v>2.82</v>
      </c>
      <c r="H32">
        <v>32.44</v>
      </c>
      <c r="I32">
        <v>0.79</v>
      </c>
      <c r="J32">
        <v>87.9</v>
      </c>
      <c r="K32">
        <f t="shared" si="2"/>
        <v>1054.8000000000002</v>
      </c>
      <c r="L32">
        <f t="shared" si="3"/>
        <v>1054.8000000000002</v>
      </c>
      <c r="M32">
        <f t="shared" si="0"/>
        <v>521.13599999999997</v>
      </c>
      <c r="N32">
        <f t="shared" si="4"/>
        <v>130.28399999999999</v>
      </c>
      <c r="O32">
        <f t="shared" si="5"/>
        <v>521.13599999999997</v>
      </c>
      <c r="P32">
        <f t="shared" si="6"/>
        <v>130.28399999999999</v>
      </c>
      <c r="Q32">
        <f t="shared" si="7"/>
        <v>132.94179359999998</v>
      </c>
      <c r="R32">
        <f t="shared" si="8"/>
        <v>307.53120000000001</v>
      </c>
      <c r="S32">
        <f t="shared" si="1"/>
        <v>1054.8000000000002</v>
      </c>
    </row>
    <row r="33" spans="1:19" x14ac:dyDescent="0.25">
      <c r="A33">
        <v>163</v>
      </c>
      <c r="B33">
        <v>1250</v>
      </c>
      <c r="C33" t="s">
        <v>33</v>
      </c>
      <c r="D33" t="s">
        <v>172</v>
      </c>
      <c r="E33">
        <v>25</v>
      </c>
      <c r="F33">
        <v>19.54</v>
      </c>
      <c r="G33">
        <v>10.43</v>
      </c>
      <c r="H33">
        <v>35.799999999999997</v>
      </c>
      <c r="I33">
        <v>0.97</v>
      </c>
      <c r="J33">
        <v>344.48</v>
      </c>
      <c r="K33">
        <f t="shared" si="2"/>
        <v>8612</v>
      </c>
      <c r="L33">
        <f t="shared" si="3"/>
        <v>0</v>
      </c>
      <c r="M33">
        <f t="shared" si="0"/>
        <v>0</v>
      </c>
      <c r="N33">
        <f t="shared" si="4"/>
        <v>0</v>
      </c>
      <c r="O33">
        <f t="shared" si="5"/>
        <v>5095.0549999999994</v>
      </c>
      <c r="P33">
        <f t="shared" si="6"/>
        <v>1273.7637499999998</v>
      </c>
      <c r="Q33">
        <f t="shared" si="7"/>
        <v>1299.7485304999998</v>
      </c>
      <c r="R33">
        <f t="shared" si="8"/>
        <v>868.15</v>
      </c>
      <c r="S33">
        <f t="shared" si="1"/>
        <v>8612</v>
      </c>
    </row>
    <row r="34" spans="1:19" x14ac:dyDescent="0.25">
      <c r="A34">
        <v>164</v>
      </c>
      <c r="B34">
        <v>1250</v>
      </c>
      <c r="C34" t="s">
        <v>33</v>
      </c>
      <c r="D34" t="s">
        <v>173</v>
      </c>
      <c r="E34">
        <v>17</v>
      </c>
      <c r="F34">
        <v>13.65</v>
      </c>
      <c r="G34">
        <v>3.05</v>
      </c>
      <c r="H34">
        <v>32.86</v>
      </c>
      <c r="I34">
        <v>0.79</v>
      </c>
      <c r="J34">
        <v>85.8</v>
      </c>
      <c r="K34">
        <f t="shared" si="2"/>
        <v>1458.6</v>
      </c>
      <c r="L34">
        <f t="shared" si="3"/>
        <v>1458.6</v>
      </c>
      <c r="M34">
        <f t="shared" si="0"/>
        <v>707.75249999999994</v>
      </c>
      <c r="N34">
        <f t="shared" si="4"/>
        <v>176.93812499999999</v>
      </c>
      <c r="O34">
        <f t="shared" si="5"/>
        <v>707.75249999999994</v>
      </c>
      <c r="P34">
        <f t="shared" si="6"/>
        <v>176.93812499999999</v>
      </c>
      <c r="Q34">
        <f t="shared" si="7"/>
        <v>180.54766274999997</v>
      </c>
      <c r="R34">
        <f t="shared" si="8"/>
        <v>441.3098</v>
      </c>
      <c r="S34">
        <f t="shared" si="1"/>
        <v>1458.6</v>
      </c>
    </row>
    <row r="35" spans="1:19" x14ac:dyDescent="0.25">
      <c r="A35">
        <v>165</v>
      </c>
      <c r="B35">
        <v>1250</v>
      </c>
      <c r="C35" t="s">
        <v>33</v>
      </c>
      <c r="D35" t="s">
        <v>172</v>
      </c>
      <c r="E35">
        <v>19</v>
      </c>
      <c r="F35">
        <v>20.100000000000001</v>
      </c>
      <c r="G35">
        <v>10.47</v>
      </c>
      <c r="H35">
        <v>31.54</v>
      </c>
      <c r="I35">
        <v>1.05</v>
      </c>
      <c r="J35">
        <v>352.45</v>
      </c>
      <c r="K35">
        <f t="shared" si="2"/>
        <v>6696.55</v>
      </c>
      <c r="L35">
        <f t="shared" si="3"/>
        <v>0</v>
      </c>
      <c r="M35">
        <f t="shared" si="0"/>
        <v>0</v>
      </c>
      <c r="N35">
        <f t="shared" si="4"/>
        <v>0</v>
      </c>
      <c r="O35">
        <f t="shared" si="5"/>
        <v>3998.4930000000004</v>
      </c>
      <c r="P35">
        <f t="shared" si="6"/>
        <v>999.6232500000001</v>
      </c>
      <c r="Q35">
        <f t="shared" si="7"/>
        <v>1020.0155643000001</v>
      </c>
      <c r="R35">
        <f t="shared" si="8"/>
        <v>629.22299999999996</v>
      </c>
      <c r="S35">
        <f t="shared" si="1"/>
        <v>6696.55</v>
      </c>
    </row>
    <row r="36" spans="1:19" x14ac:dyDescent="0.25">
      <c r="A36">
        <v>166</v>
      </c>
      <c r="B36">
        <v>1250</v>
      </c>
      <c r="C36" t="s">
        <v>33</v>
      </c>
      <c r="D36" t="s">
        <v>173</v>
      </c>
      <c r="E36">
        <v>19</v>
      </c>
      <c r="F36">
        <v>14.21</v>
      </c>
      <c r="G36">
        <v>2.65</v>
      </c>
      <c r="H36">
        <v>26.27</v>
      </c>
      <c r="I36">
        <v>0.8</v>
      </c>
      <c r="J36">
        <v>66.72</v>
      </c>
      <c r="K36">
        <f t="shared" si="2"/>
        <v>1267.68</v>
      </c>
      <c r="L36">
        <f t="shared" si="3"/>
        <v>1267.68</v>
      </c>
      <c r="M36">
        <f t="shared" si="0"/>
        <v>715.47350000000006</v>
      </c>
      <c r="N36">
        <f t="shared" si="4"/>
        <v>178.86837500000001</v>
      </c>
      <c r="O36">
        <f t="shared" si="5"/>
        <v>715.47350000000006</v>
      </c>
      <c r="P36">
        <f t="shared" si="6"/>
        <v>178.86837500000001</v>
      </c>
      <c r="Q36">
        <f t="shared" si="7"/>
        <v>182.51728985</v>
      </c>
      <c r="R36">
        <f t="shared" si="8"/>
        <v>399.30400000000003</v>
      </c>
      <c r="S36">
        <f t="shared" si="1"/>
        <v>1267.68</v>
      </c>
    </row>
    <row r="37" spans="1:19" x14ac:dyDescent="0.25">
      <c r="A37">
        <v>167</v>
      </c>
      <c r="B37">
        <v>1250</v>
      </c>
      <c r="C37" t="s">
        <v>33</v>
      </c>
      <c r="D37" t="s">
        <v>172</v>
      </c>
      <c r="E37">
        <v>15</v>
      </c>
      <c r="F37">
        <v>21</v>
      </c>
      <c r="G37">
        <v>10.66</v>
      </c>
      <c r="H37">
        <v>33.51</v>
      </c>
      <c r="I37">
        <v>1</v>
      </c>
      <c r="J37">
        <v>372.87</v>
      </c>
      <c r="K37">
        <f t="shared" si="2"/>
        <v>5593.05</v>
      </c>
      <c r="L37">
        <f t="shared" si="3"/>
        <v>0</v>
      </c>
      <c r="M37">
        <f t="shared" si="0"/>
        <v>0</v>
      </c>
      <c r="N37">
        <f t="shared" si="4"/>
        <v>0</v>
      </c>
      <c r="O37">
        <f t="shared" si="5"/>
        <v>3357.9</v>
      </c>
      <c r="P37">
        <f t="shared" si="6"/>
        <v>839.47500000000002</v>
      </c>
      <c r="Q37">
        <f t="shared" si="7"/>
        <v>856.60028999999997</v>
      </c>
      <c r="R37">
        <f t="shared" si="8"/>
        <v>502.65</v>
      </c>
      <c r="S37">
        <f t="shared" si="1"/>
        <v>5593.05</v>
      </c>
    </row>
    <row r="38" spans="1:19" x14ac:dyDescent="0.25">
      <c r="A38">
        <v>168</v>
      </c>
      <c r="B38">
        <v>1251</v>
      </c>
      <c r="C38" t="s">
        <v>34</v>
      </c>
      <c r="D38" t="s">
        <v>173</v>
      </c>
      <c r="E38">
        <v>15</v>
      </c>
      <c r="F38">
        <v>15.3</v>
      </c>
      <c r="G38">
        <v>2.87</v>
      </c>
      <c r="H38">
        <v>31.1</v>
      </c>
      <c r="I38">
        <v>0.81</v>
      </c>
      <c r="J38">
        <v>88.09</v>
      </c>
      <c r="K38">
        <f t="shared" si="2"/>
        <v>1321.3500000000001</v>
      </c>
      <c r="L38">
        <f t="shared" si="3"/>
        <v>1321.3500000000001</v>
      </c>
      <c r="M38">
        <f t="shared" si="0"/>
        <v>658.66500000000008</v>
      </c>
      <c r="N38">
        <f t="shared" si="4"/>
        <v>164.66625000000002</v>
      </c>
      <c r="O38">
        <f t="shared" si="5"/>
        <v>658.66500000000008</v>
      </c>
      <c r="P38">
        <f t="shared" si="6"/>
        <v>164.66625000000002</v>
      </c>
      <c r="Q38">
        <f t="shared" si="7"/>
        <v>168.02544150000003</v>
      </c>
      <c r="R38">
        <f t="shared" si="8"/>
        <v>377.86500000000001</v>
      </c>
      <c r="S38">
        <f t="shared" si="1"/>
        <v>1321.3500000000001</v>
      </c>
    </row>
    <row r="39" spans="1:19" x14ac:dyDescent="0.25">
      <c r="A39">
        <v>169</v>
      </c>
      <c r="B39">
        <v>1251</v>
      </c>
      <c r="C39" t="s">
        <v>34</v>
      </c>
      <c r="D39" t="s">
        <v>172</v>
      </c>
      <c r="E39">
        <v>20</v>
      </c>
      <c r="F39">
        <v>21</v>
      </c>
      <c r="G39">
        <v>11.02</v>
      </c>
      <c r="H39">
        <v>33.31</v>
      </c>
      <c r="I39">
        <v>1</v>
      </c>
      <c r="J39">
        <v>383.88</v>
      </c>
      <c r="K39">
        <f t="shared" si="2"/>
        <v>7677.6</v>
      </c>
      <c r="L39">
        <f t="shared" si="3"/>
        <v>0</v>
      </c>
      <c r="M39">
        <f t="shared" si="0"/>
        <v>0</v>
      </c>
      <c r="N39">
        <f t="shared" si="4"/>
        <v>0</v>
      </c>
      <c r="O39">
        <f t="shared" si="5"/>
        <v>4628.3999999999996</v>
      </c>
      <c r="P39">
        <f t="shared" si="6"/>
        <v>1157.0999999999999</v>
      </c>
      <c r="Q39">
        <f t="shared" si="7"/>
        <v>1180.7048399999999</v>
      </c>
      <c r="R39">
        <f t="shared" si="8"/>
        <v>666.2</v>
      </c>
      <c r="S39">
        <f t="shared" si="1"/>
        <v>7677.6</v>
      </c>
    </row>
    <row r="40" spans="1:19" x14ac:dyDescent="0.25">
      <c r="A40">
        <v>170</v>
      </c>
      <c r="B40">
        <v>1251</v>
      </c>
      <c r="C40" t="s">
        <v>34</v>
      </c>
      <c r="D40" t="s">
        <v>173</v>
      </c>
      <c r="E40">
        <v>16</v>
      </c>
      <c r="F40">
        <v>15.21</v>
      </c>
      <c r="G40">
        <v>2.74</v>
      </c>
      <c r="H40">
        <v>31.37</v>
      </c>
      <c r="I40">
        <v>0.77</v>
      </c>
      <c r="J40">
        <v>83.87</v>
      </c>
      <c r="K40">
        <f t="shared" si="2"/>
        <v>1341.92</v>
      </c>
      <c r="L40">
        <f t="shared" si="3"/>
        <v>1341.92</v>
      </c>
      <c r="M40">
        <f t="shared" si="0"/>
        <v>666.80640000000005</v>
      </c>
      <c r="N40">
        <f t="shared" si="4"/>
        <v>166.70160000000001</v>
      </c>
      <c r="O40">
        <f t="shared" si="5"/>
        <v>666.80640000000005</v>
      </c>
      <c r="P40">
        <f t="shared" si="6"/>
        <v>166.70160000000001</v>
      </c>
      <c r="Q40">
        <f t="shared" si="7"/>
        <v>170.10231264000001</v>
      </c>
      <c r="R40">
        <f t="shared" si="8"/>
        <v>386.47840000000002</v>
      </c>
      <c r="S40">
        <f t="shared" si="1"/>
        <v>1341.92</v>
      </c>
    </row>
    <row r="41" spans="1:19" x14ac:dyDescent="0.25">
      <c r="A41">
        <v>171</v>
      </c>
      <c r="B41">
        <v>1251</v>
      </c>
      <c r="C41" t="s">
        <v>34</v>
      </c>
      <c r="D41" t="s">
        <v>172</v>
      </c>
      <c r="E41">
        <v>14</v>
      </c>
      <c r="F41">
        <v>18.940000000000001</v>
      </c>
      <c r="G41">
        <v>11.34</v>
      </c>
      <c r="H41">
        <v>33.61</v>
      </c>
      <c r="I41">
        <v>1.04</v>
      </c>
      <c r="J41">
        <v>361.08</v>
      </c>
      <c r="K41">
        <f t="shared" si="2"/>
        <v>5055.12</v>
      </c>
      <c r="L41">
        <f t="shared" si="3"/>
        <v>0</v>
      </c>
      <c r="M41">
        <f t="shared" si="0"/>
        <v>0</v>
      </c>
      <c r="N41">
        <f t="shared" si="4"/>
        <v>0</v>
      </c>
      <c r="O41">
        <f t="shared" si="5"/>
        <v>3006.9144000000001</v>
      </c>
      <c r="P41">
        <f t="shared" si="6"/>
        <v>751.72860000000003</v>
      </c>
      <c r="Q41">
        <f t="shared" si="7"/>
        <v>767.06386343999998</v>
      </c>
      <c r="R41">
        <f t="shared" si="8"/>
        <v>489.36160000000001</v>
      </c>
      <c r="S41">
        <f t="shared" si="1"/>
        <v>5055.12</v>
      </c>
    </row>
    <row r="42" spans="1:19" x14ac:dyDescent="0.25">
      <c r="A42">
        <v>172</v>
      </c>
      <c r="B42">
        <v>1251</v>
      </c>
      <c r="C42" t="s">
        <v>34</v>
      </c>
      <c r="D42" t="s">
        <v>172</v>
      </c>
      <c r="E42">
        <v>9</v>
      </c>
      <c r="F42">
        <v>19.8</v>
      </c>
      <c r="G42">
        <v>9.98</v>
      </c>
      <c r="H42">
        <v>32.58</v>
      </c>
      <c r="I42">
        <v>0.93</v>
      </c>
      <c r="J42">
        <v>329.99</v>
      </c>
      <c r="K42">
        <f t="shared" si="2"/>
        <v>2969.91</v>
      </c>
      <c r="L42">
        <f t="shared" si="3"/>
        <v>0</v>
      </c>
      <c r="M42">
        <f t="shared" si="0"/>
        <v>0</v>
      </c>
      <c r="N42">
        <f t="shared" si="4"/>
        <v>0</v>
      </c>
      <c r="O42">
        <f t="shared" si="5"/>
        <v>1778.4360000000001</v>
      </c>
      <c r="P42">
        <f t="shared" si="6"/>
        <v>444.60900000000004</v>
      </c>
      <c r="Q42">
        <f t="shared" si="7"/>
        <v>453.67902360000005</v>
      </c>
      <c r="R42">
        <f t="shared" si="8"/>
        <v>272.69460000000004</v>
      </c>
      <c r="S42">
        <f t="shared" si="1"/>
        <v>2969.91</v>
      </c>
    </row>
    <row r="43" spans="1:19" x14ac:dyDescent="0.25">
      <c r="A43">
        <v>173</v>
      </c>
      <c r="B43">
        <v>1251</v>
      </c>
      <c r="C43" t="s">
        <v>34</v>
      </c>
      <c r="D43" t="s">
        <v>173</v>
      </c>
      <c r="E43">
        <v>17</v>
      </c>
      <c r="F43">
        <v>13.49</v>
      </c>
      <c r="G43">
        <v>2.68</v>
      </c>
      <c r="H43">
        <v>30.98</v>
      </c>
      <c r="I43">
        <v>0.82</v>
      </c>
      <c r="J43">
        <v>77.650000000000006</v>
      </c>
      <c r="K43">
        <f t="shared" si="2"/>
        <v>1320.0500000000002</v>
      </c>
      <c r="L43">
        <f t="shared" si="3"/>
        <v>1320.0500000000002</v>
      </c>
      <c r="M43">
        <f t="shared" si="0"/>
        <v>614.60440000000006</v>
      </c>
      <c r="N43">
        <f t="shared" si="4"/>
        <v>153.65110000000001</v>
      </c>
      <c r="O43">
        <f t="shared" si="5"/>
        <v>614.60440000000006</v>
      </c>
      <c r="P43">
        <f t="shared" si="6"/>
        <v>153.65110000000001</v>
      </c>
      <c r="Q43">
        <f t="shared" si="7"/>
        <v>156.78558244000001</v>
      </c>
      <c r="R43">
        <f t="shared" si="8"/>
        <v>431.8612</v>
      </c>
      <c r="S43">
        <f t="shared" si="1"/>
        <v>1320.0500000000002</v>
      </c>
    </row>
    <row r="44" spans="1:19" x14ac:dyDescent="0.25">
      <c r="A44">
        <v>174</v>
      </c>
      <c r="B44">
        <v>1251</v>
      </c>
      <c r="C44" t="s">
        <v>34</v>
      </c>
      <c r="D44" t="s">
        <v>173</v>
      </c>
      <c r="E44">
        <v>12</v>
      </c>
      <c r="F44">
        <v>13.93</v>
      </c>
      <c r="G44">
        <v>3</v>
      </c>
      <c r="H44">
        <v>33.020000000000003</v>
      </c>
      <c r="I44">
        <v>0.79</v>
      </c>
      <c r="J44">
        <v>86.16</v>
      </c>
      <c r="K44">
        <f t="shared" si="2"/>
        <v>1033.92</v>
      </c>
      <c r="L44">
        <f t="shared" si="3"/>
        <v>1033.92</v>
      </c>
      <c r="M44">
        <f t="shared" si="0"/>
        <v>501.48</v>
      </c>
      <c r="N44">
        <f t="shared" si="4"/>
        <v>125.37</v>
      </c>
      <c r="O44">
        <f t="shared" si="5"/>
        <v>501.48</v>
      </c>
      <c r="P44">
        <f t="shared" si="6"/>
        <v>125.37</v>
      </c>
      <c r="Q44">
        <f t="shared" si="7"/>
        <v>127.927548</v>
      </c>
      <c r="R44">
        <f t="shared" si="8"/>
        <v>313.02960000000002</v>
      </c>
      <c r="S44">
        <f t="shared" si="1"/>
        <v>1033.92</v>
      </c>
    </row>
    <row r="45" spans="1:19" x14ac:dyDescent="0.25">
      <c r="A45">
        <v>175</v>
      </c>
      <c r="B45">
        <v>1251</v>
      </c>
      <c r="C45" t="s">
        <v>34</v>
      </c>
      <c r="D45" t="s">
        <v>172</v>
      </c>
      <c r="E45">
        <v>12</v>
      </c>
      <c r="F45">
        <v>19.170000000000002</v>
      </c>
      <c r="G45">
        <v>9.65</v>
      </c>
      <c r="H45">
        <v>32.31</v>
      </c>
      <c r="I45">
        <v>1.04</v>
      </c>
      <c r="J45">
        <v>315.16000000000003</v>
      </c>
      <c r="K45">
        <f t="shared" si="2"/>
        <v>3781.92</v>
      </c>
      <c r="L45">
        <f t="shared" si="3"/>
        <v>0</v>
      </c>
      <c r="M45">
        <f t="shared" si="0"/>
        <v>0</v>
      </c>
      <c r="N45">
        <f t="shared" si="4"/>
        <v>0</v>
      </c>
      <c r="O45">
        <f t="shared" si="5"/>
        <v>2219.8860000000004</v>
      </c>
      <c r="P45">
        <f t="shared" si="6"/>
        <v>554.97150000000011</v>
      </c>
      <c r="Q45">
        <f t="shared" si="7"/>
        <v>566.29291860000012</v>
      </c>
      <c r="R45">
        <f t="shared" si="8"/>
        <v>403.22880000000004</v>
      </c>
      <c r="S45">
        <f t="shared" si="1"/>
        <v>3781.92</v>
      </c>
    </row>
    <row r="46" spans="1:19" x14ac:dyDescent="0.25">
      <c r="A46">
        <v>176</v>
      </c>
      <c r="B46">
        <v>1251</v>
      </c>
      <c r="C46" t="s">
        <v>34</v>
      </c>
      <c r="D46" t="s">
        <v>173</v>
      </c>
      <c r="E46">
        <v>18</v>
      </c>
      <c r="F46">
        <v>15.42</v>
      </c>
      <c r="G46">
        <v>2.5499999999999998</v>
      </c>
      <c r="H46">
        <v>32.22</v>
      </c>
      <c r="I46">
        <v>0.79</v>
      </c>
      <c r="J46">
        <v>82.07</v>
      </c>
      <c r="K46">
        <f t="shared" si="2"/>
        <v>1477.2599999999998</v>
      </c>
      <c r="L46">
        <f t="shared" si="3"/>
        <v>1477.2599999999998</v>
      </c>
      <c r="M46">
        <f t="shared" si="0"/>
        <v>707.77800000000002</v>
      </c>
      <c r="N46">
        <f t="shared" si="4"/>
        <v>176.94450000000001</v>
      </c>
      <c r="O46">
        <f t="shared" si="5"/>
        <v>707.77800000000002</v>
      </c>
      <c r="P46">
        <f t="shared" si="6"/>
        <v>176.94450000000001</v>
      </c>
      <c r="Q46">
        <f t="shared" si="7"/>
        <v>180.55416779999999</v>
      </c>
      <c r="R46">
        <f t="shared" si="8"/>
        <v>458.16840000000002</v>
      </c>
      <c r="S46">
        <f t="shared" si="1"/>
        <v>1477.2599999999998</v>
      </c>
    </row>
    <row r="47" spans="1:19" x14ac:dyDescent="0.25">
      <c r="A47">
        <v>177</v>
      </c>
      <c r="B47">
        <v>1251</v>
      </c>
      <c r="C47" t="s">
        <v>34</v>
      </c>
      <c r="D47" t="s">
        <v>173</v>
      </c>
      <c r="E47">
        <v>14</v>
      </c>
      <c r="F47">
        <v>16.95</v>
      </c>
      <c r="G47">
        <v>3.01</v>
      </c>
      <c r="H47">
        <v>30.67</v>
      </c>
      <c r="I47">
        <v>0.83</v>
      </c>
      <c r="J47">
        <v>98.15</v>
      </c>
      <c r="K47">
        <f t="shared" si="2"/>
        <v>1374.1000000000001</v>
      </c>
      <c r="L47">
        <f t="shared" si="3"/>
        <v>1374.1000000000001</v>
      </c>
      <c r="M47">
        <f t="shared" si="0"/>
        <v>714.27300000000002</v>
      </c>
      <c r="N47">
        <f t="shared" si="4"/>
        <v>178.56825000000001</v>
      </c>
      <c r="O47">
        <f t="shared" si="5"/>
        <v>714.27300000000002</v>
      </c>
      <c r="P47">
        <f t="shared" si="6"/>
        <v>178.56825000000001</v>
      </c>
      <c r="Q47">
        <f t="shared" si="7"/>
        <v>182.2110423</v>
      </c>
      <c r="R47">
        <f t="shared" si="8"/>
        <v>356.3854</v>
      </c>
      <c r="S47">
        <f t="shared" si="1"/>
        <v>1374.1000000000001</v>
      </c>
    </row>
    <row r="48" spans="1:19" x14ac:dyDescent="0.25">
      <c r="A48">
        <v>178</v>
      </c>
      <c r="B48">
        <v>1251</v>
      </c>
      <c r="C48" t="s">
        <v>34</v>
      </c>
      <c r="D48" t="s">
        <v>173</v>
      </c>
      <c r="E48">
        <v>14</v>
      </c>
      <c r="F48">
        <v>13.85</v>
      </c>
      <c r="G48">
        <v>2.85</v>
      </c>
      <c r="H48">
        <v>34.880000000000003</v>
      </c>
      <c r="I48">
        <v>0.81</v>
      </c>
      <c r="J48">
        <v>85.35</v>
      </c>
      <c r="K48">
        <f t="shared" si="2"/>
        <v>1194.8999999999999</v>
      </c>
      <c r="L48">
        <f t="shared" si="3"/>
        <v>1194.8999999999999</v>
      </c>
      <c r="M48">
        <f t="shared" si="0"/>
        <v>552.61500000000001</v>
      </c>
      <c r="N48">
        <f t="shared" si="4"/>
        <v>138.15375</v>
      </c>
      <c r="O48">
        <f t="shared" si="5"/>
        <v>552.61500000000001</v>
      </c>
      <c r="P48">
        <f t="shared" si="6"/>
        <v>138.15375</v>
      </c>
      <c r="Q48">
        <f t="shared" si="7"/>
        <v>140.97208649999999</v>
      </c>
      <c r="R48">
        <f t="shared" si="8"/>
        <v>395.53920000000005</v>
      </c>
      <c r="S48">
        <f t="shared" si="1"/>
        <v>1194.8999999999999</v>
      </c>
    </row>
    <row r="49" spans="1:19" x14ac:dyDescent="0.25">
      <c r="A49">
        <v>179</v>
      </c>
      <c r="B49">
        <v>1251</v>
      </c>
      <c r="C49" t="s">
        <v>34</v>
      </c>
      <c r="D49" t="s">
        <v>172</v>
      </c>
      <c r="E49">
        <v>22</v>
      </c>
      <c r="F49">
        <v>16.89</v>
      </c>
      <c r="G49">
        <v>10</v>
      </c>
      <c r="H49">
        <v>26.9</v>
      </c>
      <c r="I49">
        <v>1.0900000000000001</v>
      </c>
      <c r="J49">
        <v>286.13</v>
      </c>
      <c r="K49">
        <f t="shared" si="2"/>
        <v>6294.86</v>
      </c>
      <c r="L49">
        <f t="shared" si="3"/>
        <v>0</v>
      </c>
      <c r="M49">
        <f t="shared" si="0"/>
        <v>0</v>
      </c>
      <c r="N49">
        <f t="shared" si="4"/>
        <v>0</v>
      </c>
      <c r="O49">
        <f t="shared" si="5"/>
        <v>3715.8</v>
      </c>
      <c r="P49">
        <f t="shared" si="6"/>
        <v>928.95</v>
      </c>
      <c r="Q49">
        <f t="shared" si="7"/>
        <v>947.90057999999999</v>
      </c>
      <c r="R49">
        <f t="shared" si="8"/>
        <v>645.06200000000001</v>
      </c>
      <c r="S49">
        <f t="shared" si="1"/>
        <v>6294.86</v>
      </c>
    </row>
    <row r="50" spans="1:19" x14ac:dyDescent="0.25">
      <c r="A50">
        <v>180</v>
      </c>
      <c r="B50">
        <v>1251</v>
      </c>
      <c r="C50" t="s">
        <v>34</v>
      </c>
      <c r="D50" t="s">
        <v>173</v>
      </c>
      <c r="E50">
        <v>23</v>
      </c>
      <c r="F50">
        <v>14.15</v>
      </c>
      <c r="G50">
        <v>3.24</v>
      </c>
      <c r="H50">
        <v>33.5</v>
      </c>
      <c r="I50">
        <v>0.78</v>
      </c>
      <c r="J50">
        <v>91.78</v>
      </c>
      <c r="K50">
        <f t="shared" si="2"/>
        <v>2110.94</v>
      </c>
      <c r="L50">
        <f t="shared" si="3"/>
        <v>2110.94</v>
      </c>
      <c r="M50">
        <f t="shared" si="0"/>
        <v>1054.4580000000001</v>
      </c>
      <c r="N50">
        <f t="shared" si="4"/>
        <v>263.61450000000002</v>
      </c>
      <c r="O50">
        <f t="shared" si="5"/>
        <v>1054.4580000000001</v>
      </c>
      <c r="P50">
        <f t="shared" si="6"/>
        <v>263.61450000000002</v>
      </c>
      <c r="Q50">
        <f t="shared" si="7"/>
        <v>268.9922358</v>
      </c>
      <c r="R50">
        <f t="shared" si="8"/>
        <v>600.99</v>
      </c>
      <c r="S50">
        <f t="shared" si="1"/>
        <v>2110.94</v>
      </c>
    </row>
    <row r="51" spans="1:19" x14ac:dyDescent="0.25">
      <c r="A51">
        <v>181</v>
      </c>
      <c r="B51">
        <v>1251</v>
      </c>
      <c r="C51" t="s">
        <v>34</v>
      </c>
      <c r="D51" t="s">
        <v>172</v>
      </c>
      <c r="E51">
        <v>41</v>
      </c>
      <c r="F51">
        <v>21.8</v>
      </c>
      <c r="G51">
        <v>11.63</v>
      </c>
      <c r="H51">
        <v>32.56</v>
      </c>
      <c r="I51">
        <v>1.03</v>
      </c>
      <c r="J51">
        <v>417.04</v>
      </c>
      <c r="K51">
        <f t="shared" si="2"/>
        <v>17098.64</v>
      </c>
      <c r="L51">
        <f t="shared" si="3"/>
        <v>0</v>
      </c>
      <c r="M51">
        <f t="shared" si="0"/>
        <v>0</v>
      </c>
      <c r="N51">
        <f t="shared" si="4"/>
        <v>0</v>
      </c>
      <c r="O51">
        <f t="shared" si="5"/>
        <v>10394.894000000002</v>
      </c>
      <c r="P51">
        <f t="shared" si="6"/>
        <v>2598.7235000000005</v>
      </c>
      <c r="Q51">
        <f t="shared" si="7"/>
        <v>2651.7374594000003</v>
      </c>
      <c r="R51">
        <f t="shared" si="8"/>
        <v>1375.0088000000003</v>
      </c>
      <c r="S51">
        <f t="shared" si="1"/>
        <v>17098.64</v>
      </c>
    </row>
    <row r="52" spans="1:19" x14ac:dyDescent="0.25">
      <c r="A52">
        <v>182</v>
      </c>
      <c r="B52">
        <v>1251</v>
      </c>
      <c r="C52" t="s">
        <v>34</v>
      </c>
      <c r="D52" t="s">
        <v>173</v>
      </c>
      <c r="E52">
        <v>12</v>
      </c>
      <c r="F52">
        <v>13.02</v>
      </c>
      <c r="G52">
        <v>2.67</v>
      </c>
      <c r="H52">
        <v>31.45</v>
      </c>
      <c r="I52">
        <v>0.8</v>
      </c>
      <c r="J52">
        <v>75.48</v>
      </c>
      <c r="K52">
        <f t="shared" si="2"/>
        <v>905.76</v>
      </c>
      <c r="L52">
        <f t="shared" si="3"/>
        <v>905.76</v>
      </c>
      <c r="M52">
        <f t="shared" si="0"/>
        <v>417.16079999999999</v>
      </c>
      <c r="N52">
        <f t="shared" si="4"/>
        <v>104.2902</v>
      </c>
      <c r="O52">
        <f t="shared" si="5"/>
        <v>417.16079999999999</v>
      </c>
      <c r="P52">
        <f t="shared" si="6"/>
        <v>104.2902</v>
      </c>
      <c r="Q52">
        <f t="shared" si="7"/>
        <v>106.41772008</v>
      </c>
      <c r="R52">
        <f t="shared" si="8"/>
        <v>301.92</v>
      </c>
      <c r="S52">
        <f t="shared" si="1"/>
        <v>905.76</v>
      </c>
    </row>
    <row r="53" spans="1:19" x14ac:dyDescent="0.25">
      <c r="A53">
        <v>183</v>
      </c>
      <c r="B53">
        <v>1251</v>
      </c>
      <c r="C53" t="s">
        <v>34</v>
      </c>
      <c r="D53" t="s">
        <v>173</v>
      </c>
      <c r="E53">
        <v>12</v>
      </c>
      <c r="F53">
        <v>13.9</v>
      </c>
      <c r="G53">
        <v>2.9</v>
      </c>
      <c r="H53">
        <v>34.44</v>
      </c>
      <c r="I53">
        <v>0.8</v>
      </c>
      <c r="J53">
        <v>85.73</v>
      </c>
      <c r="K53">
        <f t="shared" si="2"/>
        <v>1028.76</v>
      </c>
      <c r="L53">
        <f t="shared" si="3"/>
        <v>1028.76</v>
      </c>
      <c r="M53">
        <f t="shared" si="0"/>
        <v>483.71999999999997</v>
      </c>
      <c r="N53">
        <f t="shared" si="4"/>
        <v>120.92999999999999</v>
      </c>
      <c r="O53">
        <f t="shared" si="5"/>
        <v>483.71999999999997</v>
      </c>
      <c r="P53">
        <f t="shared" si="6"/>
        <v>120.92999999999999</v>
      </c>
      <c r="Q53">
        <f t="shared" si="7"/>
        <v>123.39697199999999</v>
      </c>
      <c r="R53">
        <f t="shared" si="8"/>
        <v>330.62400000000002</v>
      </c>
      <c r="S53">
        <f t="shared" si="1"/>
        <v>1028.76</v>
      </c>
    </row>
    <row r="54" spans="1:19" x14ac:dyDescent="0.25">
      <c r="A54">
        <v>184</v>
      </c>
      <c r="B54">
        <v>1252</v>
      </c>
      <c r="C54" t="s">
        <v>33</v>
      </c>
      <c r="D54" t="s">
        <v>173</v>
      </c>
      <c r="E54">
        <v>12</v>
      </c>
      <c r="F54">
        <v>13.95</v>
      </c>
      <c r="G54">
        <v>2.59</v>
      </c>
      <c r="H54">
        <v>26.63</v>
      </c>
      <c r="I54">
        <v>0.81</v>
      </c>
      <c r="J54">
        <v>73.41</v>
      </c>
      <c r="K54">
        <f t="shared" si="2"/>
        <v>880.92</v>
      </c>
      <c r="L54">
        <f t="shared" si="3"/>
        <v>880.92</v>
      </c>
      <c r="M54">
        <f t="shared" si="0"/>
        <v>433.56599999999997</v>
      </c>
      <c r="N54">
        <f t="shared" si="4"/>
        <v>108.39149999999999</v>
      </c>
      <c r="O54">
        <f t="shared" si="5"/>
        <v>433.56599999999997</v>
      </c>
      <c r="P54">
        <f t="shared" si="6"/>
        <v>108.39149999999999</v>
      </c>
      <c r="Q54">
        <f t="shared" si="7"/>
        <v>110.60268659999998</v>
      </c>
      <c r="R54">
        <f t="shared" si="8"/>
        <v>258.84359999999998</v>
      </c>
      <c r="S54">
        <f t="shared" si="1"/>
        <v>880.92</v>
      </c>
    </row>
    <row r="55" spans="1:19" x14ac:dyDescent="0.25">
      <c r="A55">
        <v>185</v>
      </c>
      <c r="B55">
        <v>1252</v>
      </c>
      <c r="C55" t="s">
        <v>33</v>
      </c>
      <c r="D55" t="s">
        <v>172</v>
      </c>
      <c r="E55">
        <v>17</v>
      </c>
      <c r="F55">
        <v>19.190000000000001</v>
      </c>
      <c r="G55">
        <v>11.06</v>
      </c>
      <c r="H55">
        <v>35.29</v>
      </c>
      <c r="I55">
        <v>1.1000000000000001</v>
      </c>
      <c r="J55">
        <v>361.9</v>
      </c>
      <c r="K55">
        <f t="shared" si="2"/>
        <v>6152.2999999999993</v>
      </c>
      <c r="L55">
        <f t="shared" si="3"/>
        <v>0</v>
      </c>
      <c r="M55">
        <f t="shared" si="0"/>
        <v>0</v>
      </c>
      <c r="N55">
        <f t="shared" si="4"/>
        <v>0</v>
      </c>
      <c r="O55">
        <f t="shared" si="5"/>
        <v>3608.1038000000003</v>
      </c>
      <c r="P55">
        <f t="shared" si="6"/>
        <v>902.02595000000008</v>
      </c>
      <c r="Q55">
        <f t="shared" si="7"/>
        <v>920.42727938000007</v>
      </c>
      <c r="R55">
        <f t="shared" si="8"/>
        <v>659.92300000000012</v>
      </c>
      <c r="S55">
        <f t="shared" si="1"/>
        <v>6152.2999999999993</v>
      </c>
    </row>
    <row r="56" spans="1:19" x14ac:dyDescent="0.25">
      <c r="A56">
        <v>186</v>
      </c>
      <c r="B56">
        <v>1252</v>
      </c>
      <c r="C56" t="s">
        <v>33</v>
      </c>
      <c r="D56" t="s">
        <v>172</v>
      </c>
      <c r="E56">
        <v>9</v>
      </c>
      <c r="F56">
        <v>18.87</v>
      </c>
      <c r="G56">
        <v>10.56</v>
      </c>
      <c r="H56">
        <v>35</v>
      </c>
      <c r="I56">
        <v>0.94</v>
      </c>
      <c r="J56">
        <v>276.63</v>
      </c>
      <c r="K56">
        <f t="shared" si="2"/>
        <v>2489.67</v>
      </c>
      <c r="L56">
        <f t="shared" si="3"/>
        <v>0</v>
      </c>
      <c r="M56">
        <f t="shared" si="0"/>
        <v>0</v>
      </c>
      <c r="N56">
        <f t="shared" si="4"/>
        <v>0</v>
      </c>
      <c r="O56">
        <f t="shared" si="5"/>
        <v>1793.4048000000003</v>
      </c>
      <c r="P56">
        <f t="shared" si="6"/>
        <v>448.35120000000006</v>
      </c>
      <c r="Q56">
        <f t="shared" si="7"/>
        <v>457.49756448000005</v>
      </c>
      <c r="R56">
        <f t="shared" si="8"/>
        <v>296.09999999999997</v>
      </c>
      <c r="S56">
        <f t="shared" si="1"/>
        <v>2489.67</v>
      </c>
    </row>
    <row r="57" spans="1:19" x14ac:dyDescent="0.25">
      <c r="A57">
        <v>187</v>
      </c>
      <c r="B57">
        <v>1252</v>
      </c>
      <c r="C57" t="s">
        <v>33</v>
      </c>
      <c r="D57" t="s">
        <v>173</v>
      </c>
      <c r="E57">
        <v>6</v>
      </c>
      <c r="F57">
        <v>14.7</v>
      </c>
      <c r="G57">
        <v>2.79</v>
      </c>
      <c r="H57">
        <v>26.83</v>
      </c>
      <c r="I57">
        <v>0.78</v>
      </c>
      <c r="J57">
        <v>79.41</v>
      </c>
      <c r="K57">
        <f t="shared" si="2"/>
        <v>476.46</v>
      </c>
      <c r="L57">
        <f t="shared" si="3"/>
        <v>476.46</v>
      </c>
      <c r="M57">
        <f t="shared" si="0"/>
        <v>246.07800000000003</v>
      </c>
      <c r="N57">
        <f t="shared" si="4"/>
        <v>61.519500000000008</v>
      </c>
      <c r="O57">
        <f t="shared" si="5"/>
        <v>246.07800000000003</v>
      </c>
      <c r="P57">
        <f t="shared" si="6"/>
        <v>61.519500000000008</v>
      </c>
      <c r="Q57">
        <f t="shared" si="7"/>
        <v>62.774497800000006</v>
      </c>
      <c r="R57">
        <f t="shared" si="8"/>
        <v>125.56439999999998</v>
      </c>
      <c r="S57">
        <f t="shared" si="1"/>
        <v>476.46</v>
      </c>
    </row>
    <row r="58" spans="1:19" x14ac:dyDescent="0.25">
      <c r="A58">
        <v>188</v>
      </c>
      <c r="B58">
        <v>1252</v>
      </c>
      <c r="C58" t="s">
        <v>33</v>
      </c>
      <c r="D58" t="s">
        <v>172</v>
      </c>
      <c r="E58">
        <v>8</v>
      </c>
      <c r="F58">
        <v>19.02</v>
      </c>
      <c r="G58">
        <v>11.87</v>
      </c>
      <c r="H58">
        <v>34.19</v>
      </c>
      <c r="I58">
        <v>1.02</v>
      </c>
      <c r="J58">
        <v>377.33</v>
      </c>
      <c r="K58">
        <f t="shared" si="2"/>
        <v>3018.64</v>
      </c>
      <c r="L58">
        <f t="shared" si="3"/>
        <v>0</v>
      </c>
      <c r="M58">
        <f t="shared" si="0"/>
        <v>0</v>
      </c>
      <c r="N58">
        <f t="shared" si="4"/>
        <v>0</v>
      </c>
      <c r="O58">
        <f t="shared" si="5"/>
        <v>1806.1391999999998</v>
      </c>
      <c r="P58">
        <f t="shared" si="6"/>
        <v>451.53479999999996</v>
      </c>
      <c r="Q58">
        <f t="shared" si="7"/>
        <v>460.74610991999992</v>
      </c>
      <c r="R58">
        <f t="shared" si="8"/>
        <v>278.99039999999997</v>
      </c>
      <c r="S58">
        <f t="shared" si="1"/>
        <v>3018.64</v>
      </c>
    </row>
    <row r="59" spans="1:19" x14ac:dyDescent="0.25">
      <c r="A59">
        <v>189</v>
      </c>
      <c r="B59">
        <v>1252</v>
      </c>
      <c r="C59" t="s">
        <v>33</v>
      </c>
      <c r="D59" t="s">
        <v>172</v>
      </c>
      <c r="E59">
        <v>61</v>
      </c>
      <c r="F59">
        <v>18.87</v>
      </c>
      <c r="G59">
        <v>10.87</v>
      </c>
      <c r="H59">
        <v>28.77</v>
      </c>
      <c r="I59">
        <v>1.04</v>
      </c>
      <c r="J59">
        <v>340.72</v>
      </c>
      <c r="K59">
        <f t="shared" si="2"/>
        <v>20783.920000000002</v>
      </c>
      <c r="L59">
        <f t="shared" si="3"/>
        <v>0</v>
      </c>
      <c r="M59">
        <f t="shared" si="0"/>
        <v>0</v>
      </c>
      <c r="N59">
        <f t="shared" si="4"/>
        <v>0</v>
      </c>
      <c r="O59">
        <f t="shared" si="5"/>
        <v>12512.1309</v>
      </c>
      <c r="P59">
        <f t="shared" si="6"/>
        <v>3128.032725</v>
      </c>
      <c r="Q59">
        <f t="shared" si="7"/>
        <v>3191.84459259</v>
      </c>
      <c r="R59">
        <f t="shared" si="8"/>
        <v>1825.1688000000001</v>
      </c>
      <c r="S59">
        <f t="shared" si="1"/>
        <v>20783.920000000002</v>
      </c>
    </row>
    <row r="60" spans="1:19" x14ac:dyDescent="0.25">
      <c r="A60">
        <v>190</v>
      </c>
      <c r="B60">
        <v>1252</v>
      </c>
      <c r="C60" t="s">
        <v>33</v>
      </c>
      <c r="D60" t="s">
        <v>172</v>
      </c>
      <c r="E60">
        <v>7</v>
      </c>
      <c r="F60">
        <v>20.98</v>
      </c>
      <c r="G60">
        <v>11.82</v>
      </c>
      <c r="H60">
        <v>30.05</v>
      </c>
      <c r="I60">
        <v>1.07</v>
      </c>
      <c r="J60">
        <v>407.14</v>
      </c>
      <c r="K60">
        <f t="shared" si="2"/>
        <v>2849.98</v>
      </c>
      <c r="L60">
        <f t="shared" si="3"/>
        <v>0</v>
      </c>
      <c r="M60">
        <f t="shared" si="0"/>
        <v>0</v>
      </c>
      <c r="N60">
        <f t="shared" si="4"/>
        <v>0</v>
      </c>
      <c r="O60">
        <f t="shared" si="5"/>
        <v>1735.8852000000002</v>
      </c>
      <c r="P60">
        <f t="shared" si="6"/>
        <v>433.97130000000004</v>
      </c>
      <c r="Q60">
        <f t="shared" si="7"/>
        <v>442.82431452000003</v>
      </c>
      <c r="R60">
        <f t="shared" si="8"/>
        <v>225.0745</v>
      </c>
      <c r="S60">
        <f t="shared" si="1"/>
        <v>2849.98</v>
      </c>
    </row>
    <row r="61" spans="1:19" x14ac:dyDescent="0.25">
      <c r="A61">
        <v>191</v>
      </c>
      <c r="B61">
        <v>1253</v>
      </c>
      <c r="C61" t="s">
        <v>32</v>
      </c>
      <c r="D61" t="s">
        <v>173</v>
      </c>
      <c r="E61">
        <v>13</v>
      </c>
      <c r="F61">
        <v>15.46</v>
      </c>
      <c r="G61">
        <v>2.96</v>
      </c>
      <c r="H61">
        <v>29.42</v>
      </c>
      <c r="I61">
        <v>0.76</v>
      </c>
      <c r="J61">
        <v>87.52</v>
      </c>
      <c r="K61">
        <f t="shared" si="2"/>
        <v>1137.76</v>
      </c>
      <c r="L61">
        <f t="shared" si="3"/>
        <v>1137.76</v>
      </c>
      <c r="M61">
        <f t="shared" si="0"/>
        <v>594.9008</v>
      </c>
      <c r="N61">
        <f t="shared" si="4"/>
        <v>148.7252</v>
      </c>
      <c r="O61">
        <f t="shared" si="5"/>
        <v>594.9008</v>
      </c>
      <c r="P61">
        <f t="shared" si="6"/>
        <v>148.7252</v>
      </c>
      <c r="Q61">
        <f t="shared" si="7"/>
        <v>151.75919407999999</v>
      </c>
      <c r="R61">
        <f t="shared" si="8"/>
        <v>290.66960000000006</v>
      </c>
      <c r="S61">
        <f t="shared" si="1"/>
        <v>1137.76</v>
      </c>
    </row>
    <row r="62" spans="1:19" x14ac:dyDescent="0.25">
      <c r="A62">
        <v>192</v>
      </c>
      <c r="B62">
        <v>1253</v>
      </c>
      <c r="C62" t="s">
        <v>32</v>
      </c>
      <c r="D62" t="s">
        <v>172</v>
      </c>
      <c r="E62">
        <v>24</v>
      </c>
      <c r="F62">
        <v>18.63</v>
      </c>
      <c r="G62">
        <v>11.42</v>
      </c>
      <c r="H62">
        <v>29.92</v>
      </c>
      <c r="I62">
        <v>1.05</v>
      </c>
      <c r="J62">
        <v>353.86</v>
      </c>
      <c r="K62">
        <f t="shared" si="2"/>
        <v>8492.64</v>
      </c>
      <c r="L62">
        <f t="shared" si="3"/>
        <v>0</v>
      </c>
      <c r="M62">
        <f t="shared" si="0"/>
        <v>0</v>
      </c>
      <c r="N62">
        <f t="shared" si="4"/>
        <v>0</v>
      </c>
      <c r="O62">
        <f t="shared" si="5"/>
        <v>5106.1103999999996</v>
      </c>
      <c r="P62">
        <f t="shared" si="6"/>
        <v>1276.5275999999999</v>
      </c>
      <c r="Q62">
        <f t="shared" si="7"/>
        <v>1302.5687630399998</v>
      </c>
      <c r="R62">
        <f t="shared" si="8"/>
        <v>753.98400000000015</v>
      </c>
      <c r="S62">
        <f t="shared" si="1"/>
        <v>8492.64</v>
      </c>
    </row>
    <row r="63" spans="1:19" x14ac:dyDescent="0.25">
      <c r="A63">
        <v>193</v>
      </c>
      <c r="B63">
        <v>1253</v>
      </c>
      <c r="C63" t="s">
        <v>32</v>
      </c>
      <c r="D63" t="s">
        <v>172</v>
      </c>
      <c r="E63">
        <v>12</v>
      </c>
      <c r="F63">
        <v>20.84</v>
      </c>
      <c r="G63">
        <v>10.7</v>
      </c>
      <c r="H63">
        <v>30.21</v>
      </c>
      <c r="I63">
        <v>1.1299999999999999</v>
      </c>
      <c r="J63">
        <v>372.32</v>
      </c>
      <c r="K63">
        <f t="shared" si="2"/>
        <v>4467.84</v>
      </c>
      <c r="L63">
        <f t="shared" si="3"/>
        <v>0</v>
      </c>
      <c r="M63">
        <f t="shared" si="0"/>
        <v>0</v>
      </c>
      <c r="N63">
        <f t="shared" si="4"/>
        <v>0</v>
      </c>
      <c r="O63">
        <f t="shared" si="5"/>
        <v>2675.8559999999993</v>
      </c>
      <c r="P63">
        <f t="shared" si="6"/>
        <v>668.96399999999983</v>
      </c>
      <c r="Q63">
        <f t="shared" si="7"/>
        <v>682.61086559999978</v>
      </c>
      <c r="R63">
        <f t="shared" si="8"/>
        <v>409.64759999999995</v>
      </c>
      <c r="S63">
        <f t="shared" si="1"/>
        <v>4467.84</v>
      </c>
    </row>
    <row r="64" spans="1:19" x14ac:dyDescent="0.25">
      <c r="A64">
        <v>194</v>
      </c>
      <c r="B64">
        <v>1253</v>
      </c>
      <c r="C64" t="s">
        <v>32</v>
      </c>
      <c r="D64" t="s">
        <v>173</v>
      </c>
      <c r="E64">
        <v>4</v>
      </c>
      <c r="F64">
        <v>14.77</v>
      </c>
      <c r="G64">
        <v>2.83</v>
      </c>
      <c r="H64">
        <v>27.06</v>
      </c>
      <c r="I64">
        <v>0.79</v>
      </c>
      <c r="J64">
        <v>80.989999999999995</v>
      </c>
      <c r="K64">
        <f t="shared" si="2"/>
        <v>323.95999999999998</v>
      </c>
      <c r="L64">
        <f t="shared" si="3"/>
        <v>323.95999999999998</v>
      </c>
      <c r="M64">
        <f t="shared" si="0"/>
        <v>167.19640000000001</v>
      </c>
      <c r="N64">
        <f t="shared" si="4"/>
        <v>41.799100000000003</v>
      </c>
      <c r="O64">
        <f t="shared" si="5"/>
        <v>167.19640000000001</v>
      </c>
      <c r="P64">
        <f t="shared" si="6"/>
        <v>41.799100000000003</v>
      </c>
      <c r="Q64">
        <f t="shared" si="7"/>
        <v>42.651801640000002</v>
      </c>
      <c r="R64">
        <f t="shared" si="8"/>
        <v>85.509600000000006</v>
      </c>
      <c r="S64">
        <f t="shared" si="1"/>
        <v>323.95999999999998</v>
      </c>
    </row>
    <row r="65" spans="1:19" x14ac:dyDescent="0.25">
      <c r="A65">
        <v>195</v>
      </c>
      <c r="B65">
        <v>1253</v>
      </c>
      <c r="C65" t="s">
        <v>32</v>
      </c>
      <c r="D65" t="s">
        <v>173</v>
      </c>
      <c r="E65">
        <v>14</v>
      </c>
      <c r="F65">
        <v>13.77</v>
      </c>
      <c r="G65">
        <v>2.7</v>
      </c>
      <c r="H65">
        <v>34.520000000000003</v>
      </c>
      <c r="I65">
        <v>0.81</v>
      </c>
      <c r="J65">
        <v>81.88</v>
      </c>
      <c r="K65">
        <f t="shared" si="2"/>
        <v>1146.32</v>
      </c>
      <c r="L65">
        <f t="shared" si="3"/>
        <v>1146.32</v>
      </c>
      <c r="M65">
        <f t="shared" si="0"/>
        <v>520.50600000000009</v>
      </c>
      <c r="N65">
        <f t="shared" si="4"/>
        <v>130.12650000000002</v>
      </c>
      <c r="O65">
        <f t="shared" si="5"/>
        <v>520.50600000000009</v>
      </c>
      <c r="P65">
        <f t="shared" si="6"/>
        <v>130.12650000000002</v>
      </c>
      <c r="Q65">
        <f t="shared" si="7"/>
        <v>132.78108060000002</v>
      </c>
      <c r="R65">
        <f t="shared" si="8"/>
        <v>391.45680000000004</v>
      </c>
      <c r="S65">
        <f t="shared" si="1"/>
        <v>1146.32</v>
      </c>
    </row>
    <row r="66" spans="1:19" x14ac:dyDescent="0.25">
      <c r="A66">
        <v>196</v>
      </c>
      <c r="B66">
        <v>1253</v>
      </c>
      <c r="C66" t="s">
        <v>32</v>
      </c>
      <c r="D66" t="s">
        <v>173</v>
      </c>
      <c r="E66">
        <v>10</v>
      </c>
      <c r="F66">
        <v>16.05</v>
      </c>
      <c r="G66">
        <v>2.62</v>
      </c>
      <c r="H66">
        <v>32.58</v>
      </c>
      <c r="I66">
        <v>0.84</v>
      </c>
      <c r="J66">
        <v>87.92</v>
      </c>
      <c r="K66">
        <f t="shared" si="2"/>
        <v>879.2</v>
      </c>
      <c r="L66">
        <f t="shared" si="3"/>
        <v>879.2</v>
      </c>
      <c r="M66">
        <f t="shared" ref="M66:M129" si="9">IF(D66="SHOES",O66,0)</f>
        <v>420.51000000000005</v>
      </c>
      <c r="N66">
        <f t="shared" si="4"/>
        <v>105.12750000000001</v>
      </c>
      <c r="O66">
        <f t="shared" si="5"/>
        <v>420.51000000000005</v>
      </c>
      <c r="P66">
        <f t="shared" si="6"/>
        <v>105.12750000000001</v>
      </c>
      <c r="Q66">
        <f t="shared" si="7"/>
        <v>107.27210100000001</v>
      </c>
      <c r="R66">
        <f t="shared" si="8"/>
        <v>273.67200000000003</v>
      </c>
      <c r="S66">
        <f t="shared" ref="S66:S129" si="10">PRODUCT(J66,E66)</f>
        <v>879.2</v>
      </c>
    </row>
    <row r="67" spans="1:19" x14ac:dyDescent="0.25">
      <c r="A67">
        <v>197</v>
      </c>
      <c r="B67">
        <v>1253</v>
      </c>
      <c r="C67" t="s">
        <v>32</v>
      </c>
      <c r="D67" t="s">
        <v>173</v>
      </c>
      <c r="E67">
        <v>19</v>
      </c>
      <c r="F67">
        <v>14.86</v>
      </c>
      <c r="G67">
        <v>2.74</v>
      </c>
      <c r="H67">
        <v>27.61</v>
      </c>
      <c r="I67">
        <v>0.82</v>
      </c>
      <c r="J67">
        <v>80.89</v>
      </c>
      <c r="K67">
        <f t="shared" ref="K67:K130" si="11">E67*J67</f>
        <v>1536.91</v>
      </c>
      <c r="L67">
        <f t="shared" ref="L67:L130" si="12">IF(D67="SHOES",E67*J67,0)</f>
        <v>1536.91</v>
      </c>
      <c r="M67">
        <f t="shared" si="9"/>
        <v>773.61159999999995</v>
      </c>
      <c r="N67">
        <f t="shared" ref="N67:N130" si="13">IF(D67="SHOES",P67,0)</f>
        <v>193.40289999999999</v>
      </c>
      <c r="O67">
        <f t="shared" ref="O67:O130" si="14">PRODUCT(E67,G67,F67)</f>
        <v>773.61159999999995</v>
      </c>
      <c r="P67">
        <f t="shared" ref="P67:P130" si="15">PRODUCT(O67,0.25)</f>
        <v>193.40289999999999</v>
      </c>
      <c r="Q67">
        <f t="shared" ref="Q67:Q130" si="16">PRODUCT(O67,0.2551)</f>
        <v>197.34831915999999</v>
      </c>
      <c r="R67">
        <f t="shared" ref="R67:R130" si="17">PRODUCT(E67,I67,H67)</f>
        <v>430.16379999999992</v>
      </c>
      <c r="S67">
        <f t="shared" si="10"/>
        <v>1536.91</v>
      </c>
    </row>
    <row r="68" spans="1:19" x14ac:dyDescent="0.25">
      <c r="A68">
        <v>198</v>
      </c>
      <c r="B68">
        <v>1254</v>
      </c>
      <c r="C68" t="s">
        <v>33</v>
      </c>
      <c r="D68" t="s">
        <v>173</v>
      </c>
      <c r="E68">
        <v>14</v>
      </c>
      <c r="F68">
        <v>13.17</v>
      </c>
      <c r="G68">
        <v>2.88</v>
      </c>
      <c r="H68">
        <v>28.53</v>
      </c>
      <c r="I68">
        <v>0.82</v>
      </c>
      <c r="J68">
        <v>77.89</v>
      </c>
      <c r="K68">
        <f t="shared" si="11"/>
        <v>1090.46</v>
      </c>
      <c r="L68">
        <f t="shared" si="12"/>
        <v>1090.46</v>
      </c>
      <c r="M68">
        <f t="shared" si="9"/>
        <v>531.01440000000002</v>
      </c>
      <c r="N68">
        <f t="shared" si="13"/>
        <v>132.75360000000001</v>
      </c>
      <c r="O68">
        <f t="shared" si="14"/>
        <v>531.01440000000002</v>
      </c>
      <c r="P68">
        <f t="shared" si="15"/>
        <v>132.75360000000001</v>
      </c>
      <c r="Q68">
        <f t="shared" si="16"/>
        <v>135.46177344</v>
      </c>
      <c r="R68">
        <f t="shared" si="17"/>
        <v>327.52439999999996</v>
      </c>
      <c r="S68">
        <f t="shared" si="10"/>
        <v>1090.46</v>
      </c>
    </row>
    <row r="69" spans="1:19" x14ac:dyDescent="0.25">
      <c r="A69">
        <v>199</v>
      </c>
      <c r="B69">
        <v>1254</v>
      </c>
      <c r="C69" t="s">
        <v>33</v>
      </c>
      <c r="D69" t="s">
        <v>172</v>
      </c>
      <c r="E69">
        <v>23</v>
      </c>
      <c r="F69">
        <v>20.36</v>
      </c>
      <c r="G69">
        <v>10.85</v>
      </c>
      <c r="H69">
        <v>30.64</v>
      </c>
      <c r="I69">
        <v>0.92</v>
      </c>
      <c r="J69">
        <v>362.14</v>
      </c>
      <c r="K69">
        <f t="shared" si="11"/>
        <v>8329.2199999999993</v>
      </c>
      <c r="L69">
        <f t="shared" si="12"/>
        <v>0</v>
      </c>
      <c r="M69">
        <f t="shared" si="9"/>
        <v>0</v>
      </c>
      <c r="N69">
        <f t="shared" si="13"/>
        <v>0</v>
      </c>
      <c r="O69">
        <f t="shared" si="14"/>
        <v>5080.8379999999997</v>
      </c>
      <c r="P69">
        <f t="shared" si="15"/>
        <v>1270.2094999999999</v>
      </c>
      <c r="Q69">
        <f t="shared" si="16"/>
        <v>1296.1217737999998</v>
      </c>
      <c r="R69">
        <f t="shared" si="17"/>
        <v>648.3424</v>
      </c>
      <c r="S69">
        <f t="shared" si="10"/>
        <v>8329.2199999999993</v>
      </c>
    </row>
    <row r="70" spans="1:19" x14ac:dyDescent="0.25">
      <c r="A70">
        <v>200</v>
      </c>
      <c r="B70">
        <v>1254</v>
      </c>
      <c r="C70" t="s">
        <v>33</v>
      </c>
      <c r="D70" t="s">
        <v>172</v>
      </c>
      <c r="E70">
        <v>12</v>
      </c>
      <c r="F70">
        <v>18.23</v>
      </c>
      <c r="G70">
        <v>11.7</v>
      </c>
      <c r="H70">
        <v>28.6</v>
      </c>
      <c r="I70">
        <v>1.1599999999999999</v>
      </c>
      <c r="J70">
        <v>288.39999999999998</v>
      </c>
      <c r="K70">
        <f t="shared" si="11"/>
        <v>3460.7999999999997</v>
      </c>
      <c r="L70">
        <f t="shared" si="12"/>
        <v>0</v>
      </c>
      <c r="M70">
        <f t="shared" si="9"/>
        <v>0</v>
      </c>
      <c r="N70">
        <f t="shared" si="13"/>
        <v>0</v>
      </c>
      <c r="O70">
        <f t="shared" si="14"/>
        <v>2559.4919999999997</v>
      </c>
      <c r="P70">
        <f t="shared" si="15"/>
        <v>639.87299999999993</v>
      </c>
      <c r="Q70">
        <f t="shared" si="16"/>
        <v>652.92640919999997</v>
      </c>
      <c r="R70">
        <f t="shared" si="17"/>
        <v>398.11199999999997</v>
      </c>
      <c r="S70">
        <f t="shared" si="10"/>
        <v>3460.7999999999997</v>
      </c>
    </row>
    <row r="71" spans="1:19" x14ac:dyDescent="0.25">
      <c r="A71">
        <v>201</v>
      </c>
      <c r="B71">
        <v>1254</v>
      </c>
      <c r="C71" t="s">
        <v>33</v>
      </c>
      <c r="D71" t="s">
        <v>173</v>
      </c>
      <c r="E71">
        <v>12</v>
      </c>
      <c r="F71">
        <v>15.53</v>
      </c>
      <c r="G71">
        <v>2.73</v>
      </c>
      <c r="H71">
        <v>31.92</v>
      </c>
      <c r="I71">
        <v>0.83</v>
      </c>
      <c r="J71">
        <v>87.44</v>
      </c>
      <c r="K71">
        <f t="shared" si="11"/>
        <v>1049.28</v>
      </c>
      <c r="L71">
        <f t="shared" si="12"/>
        <v>1049.28</v>
      </c>
      <c r="M71">
        <f t="shared" si="9"/>
        <v>508.76279999999997</v>
      </c>
      <c r="N71">
        <f t="shared" si="13"/>
        <v>127.19069999999999</v>
      </c>
      <c r="O71">
        <f t="shared" si="14"/>
        <v>508.76279999999997</v>
      </c>
      <c r="P71">
        <f t="shared" si="15"/>
        <v>127.19069999999999</v>
      </c>
      <c r="Q71">
        <f t="shared" si="16"/>
        <v>129.78539028</v>
      </c>
      <c r="R71">
        <f t="shared" si="17"/>
        <v>317.92320000000001</v>
      </c>
      <c r="S71">
        <f t="shared" si="10"/>
        <v>1049.28</v>
      </c>
    </row>
    <row r="72" spans="1:19" x14ac:dyDescent="0.25">
      <c r="A72">
        <v>202</v>
      </c>
      <c r="B72">
        <v>1254</v>
      </c>
      <c r="C72" t="s">
        <v>33</v>
      </c>
      <c r="D72" t="s">
        <v>173</v>
      </c>
      <c r="E72">
        <v>12</v>
      </c>
      <c r="F72">
        <v>15.47</v>
      </c>
      <c r="G72">
        <v>3.01</v>
      </c>
      <c r="H72">
        <v>29.95</v>
      </c>
      <c r="I72">
        <v>0.79</v>
      </c>
      <c r="J72">
        <v>90.05</v>
      </c>
      <c r="K72">
        <f t="shared" si="11"/>
        <v>1080.5999999999999</v>
      </c>
      <c r="L72">
        <f t="shared" si="12"/>
        <v>1080.5999999999999</v>
      </c>
      <c r="M72">
        <f t="shared" si="9"/>
        <v>558.77639999999997</v>
      </c>
      <c r="N72">
        <f t="shared" si="13"/>
        <v>139.69409999999999</v>
      </c>
      <c r="O72">
        <f t="shared" si="14"/>
        <v>558.77639999999997</v>
      </c>
      <c r="P72">
        <f t="shared" si="15"/>
        <v>139.69409999999999</v>
      </c>
      <c r="Q72">
        <f t="shared" si="16"/>
        <v>142.54385963999999</v>
      </c>
      <c r="R72">
        <f t="shared" si="17"/>
        <v>283.92599999999999</v>
      </c>
      <c r="S72">
        <f t="shared" si="10"/>
        <v>1080.5999999999999</v>
      </c>
    </row>
    <row r="73" spans="1:19" x14ac:dyDescent="0.25">
      <c r="A73">
        <v>203</v>
      </c>
      <c r="B73">
        <v>1254</v>
      </c>
      <c r="C73" t="s">
        <v>33</v>
      </c>
      <c r="D73" t="s">
        <v>172</v>
      </c>
      <c r="E73">
        <v>11</v>
      </c>
      <c r="F73">
        <v>19.350000000000001</v>
      </c>
      <c r="G73">
        <v>11.58</v>
      </c>
      <c r="H73">
        <v>34.57</v>
      </c>
      <c r="I73">
        <v>1.06</v>
      </c>
      <c r="J73">
        <v>376.92</v>
      </c>
      <c r="K73">
        <f t="shared" si="11"/>
        <v>4146.12</v>
      </c>
      <c r="L73">
        <f t="shared" si="12"/>
        <v>0</v>
      </c>
      <c r="M73">
        <f t="shared" si="9"/>
        <v>0</v>
      </c>
      <c r="N73">
        <f t="shared" si="13"/>
        <v>0</v>
      </c>
      <c r="O73">
        <f t="shared" si="14"/>
        <v>2464.8029999999999</v>
      </c>
      <c r="P73">
        <f t="shared" si="15"/>
        <v>616.20074999999997</v>
      </c>
      <c r="Q73">
        <f t="shared" si="16"/>
        <v>628.77124529999992</v>
      </c>
      <c r="R73">
        <f t="shared" si="17"/>
        <v>403.08620000000002</v>
      </c>
      <c r="S73">
        <f t="shared" si="10"/>
        <v>4146.12</v>
      </c>
    </row>
    <row r="74" spans="1:19" x14ac:dyDescent="0.25">
      <c r="A74">
        <v>204</v>
      </c>
      <c r="B74">
        <v>1254</v>
      </c>
      <c r="C74" t="s">
        <v>33</v>
      </c>
      <c r="D74" t="s">
        <v>172</v>
      </c>
      <c r="E74">
        <v>14</v>
      </c>
      <c r="F74">
        <v>18.670000000000002</v>
      </c>
      <c r="G74">
        <v>10.06</v>
      </c>
      <c r="H74">
        <v>32.020000000000003</v>
      </c>
      <c r="I74">
        <v>0.94</v>
      </c>
      <c r="J74">
        <v>315.2</v>
      </c>
      <c r="K74">
        <f t="shared" si="11"/>
        <v>4412.8</v>
      </c>
      <c r="L74">
        <f t="shared" si="12"/>
        <v>0</v>
      </c>
      <c r="M74">
        <f t="shared" si="9"/>
        <v>0</v>
      </c>
      <c r="N74">
        <f t="shared" si="13"/>
        <v>0</v>
      </c>
      <c r="O74">
        <f t="shared" si="14"/>
        <v>2629.4828000000002</v>
      </c>
      <c r="P74">
        <f t="shared" si="15"/>
        <v>657.37070000000006</v>
      </c>
      <c r="Q74">
        <f t="shared" si="16"/>
        <v>670.78106228000001</v>
      </c>
      <c r="R74">
        <f t="shared" si="17"/>
        <v>421.38320000000004</v>
      </c>
      <c r="S74">
        <f t="shared" si="10"/>
        <v>4412.8</v>
      </c>
    </row>
    <row r="75" spans="1:19" x14ac:dyDescent="0.25">
      <c r="A75">
        <v>205</v>
      </c>
      <c r="B75">
        <v>1255</v>
      </c>
      <c r="C75" t="s">
        <v>35</v>
      </c>
      <c r="D75" t="s">
        <v>172</v>
      </c>
      <c r="E75">
        <v>15</v>
      </c>
      <c r="F75">
        <v>18.27</v>
      </c>
      <c r="G75">
        <v>11.99</v>
      </c>
      <c r="H75">
        <v>33.03</v>
      </c>
      <c r="I75">
        <v>1.05</v>
      </c>
      <c r="J75">
        <v>367.12</v>
      </c>
      <c r="K75">
        <f t="shared" si="11"/>
        <v>5506.8</v>
      </c>
      <c r="L75">
        <f t="shared" si="12"/>
        <v>0</v>
      </c>
      <c r="M75">
        <f t="shared" si="9"/>
        <v>0</v>
      </c>
      <c r="N75">
        <f t="shared" si="13"/>
        <v>0</v>
      </c>
      <c r="O75">
        <f t="shared" si="14"/>
        <v>3285.8595</v>
      </c>
      <c r="P75">
        <f t="shared" si="15"/>
        <v>821.46487500000001</v>
      </c>
      <c r="Q75">
        <f t="shared" si="16"/>
        <v>838.22275845000001</v>
      </c>
      <c r="R75">
        <f t="shared" si="17"/>
        <v>520.22249999999997</v>
      </c>
      <c r="S75">
        <f t="shared" si="10"/>
        <v>5506.8</v>
      </c>
    </row>
    <row r="76" spans="1:19" x14ac:dyDescent="0.25">
      <c r="A76">
        <v>206</v>
      </c>
      <c r="B76">
        <v>1255</v>
      </c>
      <c r="C76" t="s">
        <v>35</v>
      </c>
      <c r="D76" t="s">
        <v>172</v>
      </c>
      <c r="E76">
        <v>16</v>
      </c>
      <c r="F76">
        <v>18.62</v>
      </c>
      <c r="G76">
        <v>10.56</v>
      </c>
      <c r="H76">
        <v>34.08</v>
      </c>
      <c r="I76">
        <v>0.91</v>
      </c>
      <c r="J76">
        <v>329.39</v>
      </c>
      <c r="K76">
        <f t="shared" si="11"/>
        <v>5270.24</v>
      </c>
      <c r="L76">
        <f t="shared" si="12"/>
        <v>0</v>
      </c>
      <c r="M76">
        <f t="shared" si="9"/>
        <v>0</v>
      </c>
      <c r="N76">
        <f t="shared" si="13"/>
        <v>0</v>
      </c>
      <c r="O76">
        <f t="shared" si="14"/>
        <v>3146.0352000000003</v>
      </c>
      <c r="P76">
        <f t="shared" si="15"/>
        <v>786.50880000000006</v>
      </c>
      <c r="Q76">
        <f t="shared" si="16"/>
        <v>802.55357952000008</v>
      </c>
      <c r="R76">
        <f t="shared" si="17"/>
        <v>496.20479999999998</v>
      </c>
      <c r="S76">
        <f t="shared" si="10"/>
        <v>5270.24</v>
      </c>
    </row>
    <row r="77" spans="1:19" x14ac:dyDescent="0.25">
      <c r="A77">
        <v>207</v>
      </c>
      <c r="B77">
        <v>1255</v>
      </c>
      <c r="C77" t="s">
        <v>35</v>
      </c>
      <c r="D77" t="s">
        <v>173</v>
      </c>
      <c r="E77">
        <v>16</v>
      </c>
      <c r="F77">
        <v>14.25</v>
      </c>
      <c r="G77">
        <v>3</v>
      </c>
      <c r="H77">
        <v>30.61</v>
      </c>
      <c r="I77">
        <v>0.74</v>
      </c>
      <c r="J77">
        <v>83.7</v>
      </c>
      <c r="K77">
        <f t="shared" si="11"/>
        <v>1339.2</v>
      </c>
      <c r="L77">
        <f t="shared" si="12"/>
        <v>1339.2</v>
      </c>
      <c r="M77">
        <f t="shared" si="9"/>
        <v>684</v>
      </c>
      <c r="N77">
        <f t="shared" si="13"/>
        <v>171</v>
      </c>
      <c r="O77">
        <f t="shared" si="14"/>
        <v>684</v>
      </c>
      <c r="P77">
        <f t="shared" si="15"/>
        <v>171</v>
      </c>
      <c r="Q77">
        <f t="shared" si="16"/>
        <v>174.48839999999998</v>
      </c>
      <c r="R77">
        <f t="shared" si="17"/>
        <v>362.42239999999998</v>
      </c>
      <c r="S77">
        <f t="shared" si="10"/>
        <v>1339.2</v>
      </c>
    </row>
    <row r="78" spans="1:19" x14ac:dyDescent="0.25">
      <c r="A78">
        <v>208</v>
      </c>
      <c r="B78">
        <v>1255</v>
      </c>
      <c r="C78" t="s">
        <v>35</v>
      </c>
      <c r="D78" t="s">
        <v>172</v>
      </c>
      <c r="E78">
        <v>24</v>
      </c>
      <c r="F78">
        <v>19.850000000000001</v>
      </c>
      <c r="G78">
        <v>11.48</v>
      </c>
      <c r="H78">
        <v>35.71</v>
      </c>
      <c r="I78">
        <v>0.98</v>
      </c>
      <c r="J78">
        <v>380.61</v>
      </c>
      <c r="K78">
        <f t="shared" si="11"/>
        <v>9134.64</v>
      </c>
      <c r="L78">
        <f t="shared" si="12"/>
        <v>0</v>
      </c>
      <c r="M78">
        <f t="shared" si="9"/>
        <v>0</v>
      </c>
      <c r="N78">
        <f t="shared" si="13"/>
        <v>0</v>
      </c>
      <c r="O78">
        <f t="shared" si="14"/>
        <v>5469.0720000000001</v>
      </c>
      <c r="P78">
        <f t="shared" si="15"/>
        <v>1367.268</v>
      </c>
      <c r="Q78">
        <f t="shared" si="16"/>
        <v>1395.1602671999999</v>
      </c>
      <c r="R78">
        <f t="shared" si="17"/>
        <v>839.89919999999995</v>
      </c>
      <c r="S78">
        <f t="shared" si="10"/>
        <v>9134.64</v>
      </c>
    </row>
    <row r="79" spans="1:19" x14ac:dyDescent="0.25">
      <c r="A79">
        <v>209</v>
      </c>
      <c r="B79">
        <v>1255</v>
      </c>
      <c r="C79" t="s">
        <v>35</v>
      </c>
      <c r="D79" t="s">
        <v>173</v>
      </c>
      <c r="E79">
        <v>18</v>
      </c>
      <c r="F79">
        <v>16.87</v>
      </c>
      <c r="G79">
        <v>2.81</v>
      </c>
      <c r="H79">
        <v>30.46</v>
      </c>
      <c r="I79">
        <v>0.78</v>
      </c>
      <c r="J79">
        <v>91.32</v>
      </c>
      <c r="K79">
        <f t="shared" si="11"/>
        <v>1643.7599999999998</v>
      </c>
      <c r="L79">
        <f t="shared" si="12"/>
        <v>1643.7599999999998</v>
      </c>
      <c r="M79">
        <f t="shared" si="9"/>
        <v>853.28460000000007</v>
      </c>
      <c r="N79">
        <f t="shared" si="13"/>
        <v>213.32115000000002</v>
      </c>
      <c r="O79">
        <f t="shared" si="14"/>
        <v>853.28460000000007</v>
      </c>
      <c r="P79">
        <f t="shared" si="15"/>
        <v>213.32115000000002</v>
      </c>
      <c r="Q79">
        <f t="shared" si="16"/>
        <v>217.67290146000002</v>
      </c>
      <c r="R79">
        <f t="shared" si="17"/>
        <v>427.65840000000003</v>
      </c>
      <c r="S79">
        <f t="shared" si="10"/>
        <v>1643.7599999999998</v>
      </c>
    </row>
    <row r="80" spans="1:19" x14ac:dyDescent="0.25">
      <c r="A80">
        <v>210</v>
      </c>
      <c r="B80">
        <v>1255</v>
      </c>
      <c r="C80" t="s">
        <v>35</v>
      </c>
      <c r="D80" t="s">
        <v>173</v>
      </c>
      <c r="E80">
        <v>32</v>
      </c>
      <c r="F80">
        <v>14.62</v>
      </c>
      <c r="G80">
        <v>2.63</v>
      </c>
      <c r="H80">
        <v>29.82</v>
      </c>
      <c r="I80">
        <v>0.8</v>
      </c>
      <c r="J80">
        <v>79.11</v>
      </c>
      <c r="K80">
        <f t="shared" si="11"/>
        <v>2531.52</v>
      </c>
      <c r="L80">
        <f t="shared" si="12"/>
        <v>2531.52</v>
      </c>
      <c r="M80">
        <f t="shared" si="9"/>
        <v>1230.4191999999998</v>
      </c>
      <c r="N80">
        <f t="shared" si="13"/>
        <v>307.60479999999995</v>
      </c>
      <c r="O80">
        <f t="shared" si="14"/>
        <v>1230.4191999999998</v>
      </c>
      <c r="P80">
        <f t="shared" si="15"/>
        <v>307.60479999999995</v>
      </c>
      <c r="Q80">
        <f t="shared" si="16"/>
        <v>313.87993791999992</v>
      </c>
      <c r="R80">
        <f t="shared" si="17"/>
        <v>763.39200000000005</v>
      </c>
      <c r="S80">
        <f t="shared" si="10"/>
        <v>2531.52</v>
      </c>
    </row>
    <row r="81" spans="1:19" x14ac:dyDescent="0.25">
      <c r="A81">
        <v>211</v>
      </c>
      <c r="B81">
        <v>1255</v>
      </c>
      <c r="C81" t="s">
        <v>35</v>
      </c>
      <c r="D81" t="s">
        <v>172</v>
      </c>
      <c r="E81">
        <v>9</v>
      </c>
      <c r="F81">
        <v>19.79</v>
      </c>
      <c r="G81">
        <v>10.72</v>
      </c>
      <c r="H81">
        <v>34.47</v>
      </c>
      <c r="I81">
        <v>1.0900000000000001</v>
      </c>
      <c r="J81">
        <v>360.28</v>
      </c>
      <c r="K81">
        <f t="shared" si="11"/>
        <v>3242.5199999999995</v>
      </c>
      <c r="L81">
        <f t="shared" si="12"/>
        <v>0</v>
      </c>
      <c r="M81">
        <f t="shared" si="9"/>
        <v>0</v>
      </c>
      <c r="N81">
        <f t="shared" si="13"/>
        <v>0</v>
      </c>
      <c r="O81">
        <f t="shared" si="14"/>
        <v>1909.3391999999999</v>
      </c>
      <c r="P81">
        <f t="shared" si="15"/>
        <v>477.33479999999997</v>
      </c>
      <c r="Q81">
        <f t="shared" si="16"/>
        <v>487.07242991999993</v>
      </c>
      <c r="R81">
        <f t="shared" si="17"/>
        <v>338.15070000000003</v>
      </c>
      <c r="S81">
        <f t="shared" si="10"/>
        <v>3242.5199999999995</v>
      </c>
    </row>
    <row r="82" spans="1:19" x14ac:dyDescent="0.25">
      <c r="A82">
        <v>212</v>
      </c>
      <c r="B82">
        <v>1256</v>
      </c>
      <c r="C82" t="s">
        <v>32</v>
      </c>
      <c r="D82" t="s">
        <v>173</v>
      </c>
      <c r="E82">
        <v>20</v>
      </c>
      <c r="F82">
        <v>13.9</v>
      </c>
      <c r="G82">
        <v>2.78</v>
      </c>
      <c r="H82">
        <v>33.61</v>
      </c>
      <c r="I82">
        <v>0.79</v>
      </c>
      <c r="J82">
        <v>82.34</v>
      </c>
      <c r="K82">
        <f t="shared" si="11"/>
        <v>1646.8000000000002</v>
      </c>
      <c r="L82">
        <f t="shared" si="12"/>
        <v>1646.8000000000002</v>
      </c>
      <c r="M82">
        <f t="shared" si="9"/>
        <v>772.83999999999992</v>
      </c>
      <c r="N82">
        <f t="shared" si="13"/>
        <v>193.20999999999998</v>
      </c>
      <c r="O82">
        <f t="shared" si="14"/>
        <v>772.83999999999992</v>
      </c>
      <c r="P82">
        <f t="shared" si="15"/>
        <v>193.20999999999998</v>
      </c>
      <c r="Q82">
        <f t="shared" si="16"/>
        <v>197.15148399999998</v>
      </c>
      <c r="R82">
        <f t="shared" si="17"/>
        <v>531.03800000000001</v>
      </c>
      <c r="S82">
        <f t="shared" si="10"/>
        <v>1646.8000000000002</v>
      </c>
    </row>
    <row r="83" spans="1:19" x14ac:dyDescent="0.25">
      <c r="A83">
        <v>213</v>
      </c>
      <c r="B83">
        <v>1256</v>
      </c>
      <c r="C83" t="s">
        <v>32</v>
      </c>
      <c r="D83" t="s">
        <v>173</v>
      </c>
      <c r="E83">
        <v>14</v>
      </c>
      <c r="F83">
        <v>14.75</v>
      </c>
      <c r="G83">
        <v>2.94</v>
      </c>
      <c r="H83">
        <v>28.79</v>
      </c>
      <c r="I83">
        <v>0.81</v>
      </c>
      <c r="J83">
        <v>85.28</v>
      </c>
      <c r="K83">
        <f t="shared" si="11"/>
        <v>1193.92</v>
      </c>
      <c r="L83">
        <f t="shared" si="12"/>
        <v>1193.92</v>
      </c>
      <c r="M83">
        <f t="shared" si="9"/>
        <v>607.1099999999999</v>
      </c>
      <c r="N83">
        <f t="shared" si="13"/>
        <v>151.77749999999997</v>
      </c>
      <c r="O83">
        <f t="shared" si="14"/>
        <v>607.1099999999999</v>
      </c>
      <c r="P83">
        <f t="shared" si="15"/>
        <v>151.77749999999997</v>
      </c>
      <c r="Q83">
        <f t="shared" si="16"/>
        <v>154.87376099999997</v>
      </c>
      <c r="R83">
        <f t="shared" si="17"/>
        <v>326.47859999999997</v>
      </c>
      <c r="S83">
        <f t="shared" si="10"/>
        <v>1193.92</v>
      </c>
    </row>
    <row r="84" spans="1:19" x14ac:dyDescent="0.25">
      <c r="A84">
        <v>214</v>
      </c>
      <c r="B84">
        <v>1256</v>
      </c>
      <c r="C84" t="s">
        <v>32</v>
      </c>
      <c r="D84" t="s">
        <v>172</v>
      </c>
      <c r="E84">
        <v>19</v>
      </c>
      <c r="F84">
        <v>18.73</v>
      </c>
      <c r="G84">
        <v>11.58</v>
      </c>
      <c r="H84">
        <v>30.59</v>
      </c>
      <c r="I84">
        <v>1.03</v>
      </c>
      <c r="J84">
        <v>360.12</v>
      </c>
      <c r="K84">
        <f t="shared" si="11"/>
        <v>6842.28</v>
      </c>
      <c r="L84">
        <f t="shared" si="12"/>
        <v>0</v>
      </c>
      <c r="M84">
        <f t="shared" si="9"/>
        <v>0</v>
      </c>
      <c r="N84">
        <f t="shared" si="13"/>
        <v>0</v>
      </c>
      <c r="O84">
        <f t="shared" si="14"/>
        <v>4120.9746000000005</v>
      </c>
      <c r="P84">
        <f t="shared" si="15"/>
        <v>1030.2436500000001</v>
      </c>
      <c r="Q84">
        <f t="shared" si="16"/>
        <v>1051.2606204600002</v>
      </c>
      <c r="R84">
        <f t="shared" si="17"/>
        <v>598.6463</v>
      </c>
      <c r="S84">
        <f t="shared" si="10"/>
        <v>6842.28</v>
      </c>
    </row>
    <row r="85" spans="1:19" x14ac:dyDescent="0.25">
      <c r="A85">
        <v>215</v>
      </c>
      <c r="B85">
        <v>1256</v>
      </c>
      <c r="C85" t="s">
        <v>32</v>
      </c>
      <c r="D85" t="s">
        <v>173</v>
      </c>
      <c r="E85">
        <v>44</v>
      </c>
      <c r="F85">
        <v>14.42</v>
      </c>
      <c r="G85">
        <v>2.74</v>
      </c>
      <c r="H85">
        <v>34.5</v>
      </c>
      <c r="I85">
        <v>0.76</v>
      </c>
      <c r="J85">
        <v>83.17</v>
      </c>
      <c r="K85">
        <f t="shared" si="11"/>
        <v>3659.48</v>
      </c>
      <c r="L85">
        <f t="shared" si="12"/>
        <v>3659.48</v>
      </c>
      <c r="M85">
        <f t="shared" si="9"/>
        <v>1738.4752000000001</v>
      </c>
      <c r="N85">
        <f t="shared" si="13"/>
        <v>434.61880000000002</v>
      </c>
      <c r="O85">
        <f t="shared" si="14"/>
        <v>1738.4752000000001</v>
      </c>
      <c r="P85">
        <f t="shared" si="15"/>
        <v>434.61880000000002</v>
      </c>
      <c r="Q85">
        <f t="shared" si="16"/>
        <v>443.48502352000003</v>
      </c>
      <c r="R85">
        <f t="shared" si="17"/>
        <v>1153.6799999999998</v>
      </c>
      <c r="S85">
        <f t="shared" si="10"/>
        <v>3659.48</v>
      </c>
    </row>
    <row r="86" spans="1:19" x14ac:dyDescent="0.25">
      <c r="A86">
        <v>216</v>
      </c>
      <c r="B86">
        <v>1256</v>
      </c>
      <c r="C86" t="s">
        <v>32</v>
      </c>
      <c r="D86" t="s">
        <v>173</v>
      </c>
      <c r="E86">
        <v>9</v>
      </c>
      <c r="F86">
        <v>15.25</v>
      </c>
      <c r="G86">
        <v>2.72</v>
      </c>
      <c r="H86">
        <v>31.93</v>
      </c>
      <c r="I86">
        <v>0.79</v>
      </c>
      <c r="J86">
        <v>84.78</v>
      </c>
      <c r="K86">
        <f t="shared" si="11"/>
        <v>763.02</v>
      </c>
      <c r="L86">
        <f t="shared" si="12"/>
        <v>763.02</v>
      </c>
      <c r="M86">
        <f t="shared" si="9"/>
        <v>373.32</v>
      </c>
      <c r="N86">
        <f t="shared" si="13"/>
        <v>93.33</v>
      </c>
      <c r="O86">
        <f t="shared" si="14"/>
        <v>373.32</v>
      </c>
      <c r="P86">
        <f t="shared" si="15"/>
        <v>93.33</v>
      </c>
      <c r="Q86">
        <f t="shared" si="16"/>
        <v>95.233931999999996</v>
      </c>
      <c r="R86">
        <f t="shared" si="17"/>
        <v>227.0223</v>
      </c>
      <c r="S86">
        <f t="shared" si="10"/>
        <v>763.02</v>
      </c>
    </row>
    <row r="87" spans="1:19" x14ac:dyDescent="0.25">
      <c r="A87">
        <v>217</v>
      </c>
      <c r="B87">
        <v>1256</v>
      </c>
      <c r="C87" t="s">
        <v>32</v>
      </c>
      <c r="D87" t="s">
        <v>172</v>
      </c>
      <c r="E87">
        <v>94</v>
      </c>
      <c r="F87">
        <v>19.93</v>
      </c>
      <c r="G87">
        <v>12.36</v>
      </c>
      <c r="H87">
        <v>31.28</v>
      </c>
      <c r="I87">
        <v>1.01</v>
      </c>
      <c r="J87">
        <v>404.02</v>
      </c>
      <c r="K87">
        <f t="shared" si="11"/>
        <v>37977.879999999997</v>
      </c>
      <c r="L87">
        <f t="shared" si="12"/>
        <v>0</v>
      </c>
      <c r="M87">
        <f t="shared" si="9"/>
        <v>0</v>
      </c>
      <c r="N87">
        <f t="shared" si="13"/>
        <v>0</v>
      </c>
      <c r="O87">
        <f t="shared" si="14"/>
        <v>23155.471199999996</v>
      </c>
      <c r="P87">
        <f t="shared" si="15"/>
        <v>5788.8677999999991</v>
      </c>
      <c r="Q87">
        <f t="shared" si="16"/>
        <v>5906.9607031199985</v>
      </c>
      <c r="R87">
        <f t="shared" si="17"/>
        <v>2969.7231999999999</v>
      </c>
      <c r="S87">
        <f t="shared" si="10"/>
        <v>37977.879999999997</v>
      </c>
    </row>
    <row r="88" spans="1:19" x14ac:dyDescent="0.25">
      <c r="A88">
        <v>218</v>
      </c>
      <c r="B88">
        <v>1256</v>
      </c>
      <c r="C88" t="s">
        <v>32</v>
      </c>
      <c r="D88" t="s">
        <v>173</v>
      </c>
      <c r="E88">
        <v>13</v>
      </c>
      <c r="F88">
        <v>15.27</v>
      </c>
      <c r="G88">
        <v>2.75</v>
      </c>
      <c r="H88">
        <v>33.130000000000003</v>
      </c>
      <c r="I88">
        <v>0.82</v>
      </c>
      <c r="J88">
        <v>78.86</v>
      </c>
      <c r="K88">
        <f t="shared" si="11"/>
        <v>1025.18</v>
      </c>
      <c r="L88">
        <f t="shared" si="12"/>
        <v>1025.18</v>
      </c>
      <c r="M88">
        <f t="shared" si="9"/>
        <v>545.90250000000003</v>
      </c>
      <c r="N88">
        <f t="shared" si="13"/>
        <v>136.47562500000001</v>
      </c>
      <c r="O88">
        <f t="shared" si="14"/>
        <v>545.90250000000003</v>
      </c>
      <c r="P88">
        <f t="shared" si="15"/>
        <v>136.47562500000001</v>
      </c>
      <c r="Q88">
        <f t="shared" si="16"/>
        <v>139.25972775</v>
      </c>
      <c r="R88">
        <f t="shared" si="17"/>
        <v>353.16580000000005</v>
      </c>
      <c r="S88">
        <f t="shared" si="10"/>
        <v>1025.18</v>
      </c>
    </row>
    <row r="89" spans="1:19" x14ac:dyDescent="0.25">
      <c r="A89">
        <v>219</v>
      </c>
      <c r="B89">
        <v>1256</v>
      </c>
      <c r="C89" t="s">
        <v>32</v>
      </c>
      <c r="D89" t="s">
        <v>172</v>
      </c>
      <c r="E89">
        <v>15</v>
      </c>
      <c r="F89">
        <v>20.32</v>
      </c>
      <c r="G89">
        <v>10.64</v>
      </c>
      <c r="H89">
        <v>24.47</v>
      </c>
      <c r="I89">
        <v>1.06</v>
      </c>
      <c r="J89">
        <v>352.47</v>
      </c>
      <c r="K89">
        <f t="shared" si="11"/>
        <v>5287.05</v>
      </c>
      <c r="L89">
        <f t="shared" si="12"/>
        <v>0</v>
      </c>
      <c r="M89">
        <f t="shared" si="9"/>
        <v>0</v>
      </c>
      <c r="N89">
        <f t="shared" si="13"/>
        <v>0</v>
      </c>
      <c r="O89">
        <f t="shared" si="14"/>
        <v>3243.0720000000006</v>
      </c>
      <c r="P89">
        <f t="shared" si="15"/>
        <v>810.76800000000014</v>
      </c>
      <c r="Q89">
        <f t="shared" si="16"/>
        <v>827.30766720000008</v>
      </c>
      <c r="R89">
        <f t="shared" si="17"/>
        <v>389.07299999999998</v>
      </c>
      <c r="S89">
        <f t="shared" si="10"/>
        <v>5287.05</v>
      </c>
    </row>
    <row r="90" spans="1:19" x14ac:dyDescent="0.25">
      <c r="A90">
        <v>220</v>
      </c>
      <c r="B90">
        <v>1256</v>
      </c>
      <c r="C90" t="s">
        <v>32</v>
      </c>
      <c r="D90" t="s">
        <v>172</v>
      </c>
      <c r="E90">
        <v>11</v>
      </c>
      <c r="F90">
        <v>20.61</v>
      </c>
      <c r="G90">
        <v>11.26</v>
      </c>
      <c r="H90">
        <v>28.73</v>
      </c>
      <c r="I90">
        <v>0.93</v>
      </c>
      <c r="J90">
        <v>377</v>
      </c>
      <c r="K90">
        <f t="shared" si="11"/>
        <v>4147</v>
      </c>
      <c r="L90">
        <f t="shared" si="12"/>
        <v>0</v>
      </c>
      <c r="M90">
        <f t="shared" si="9"/>
        <v>0</v>
      </c>
      <c r="N90">
        <f t="shared" si="13"/>
        <v>0</v>
      </c>
      <c r="O90">
        <f t="shared" si="14"/>
        <v>2552.7545999999998</v>
      </c>
      <c r="P90">
        <f t="shared" si="15"/>
        <v>638.18864999999994</v>
      </c>
      <c r="Q90">
        <f t="shared" si="16"/>
        <v>651.20769845999996</v>
      </c>
      <c r="R90">
        <f t="shared" si="17"/>
        <v>293.90790000000004</v>
      </c>
      <c r="S90">
        <f t="shared" si="10"/>
        <v>4147</v>
      </c>
    </row>
    <row r="91" spans="1:19" x14ac:dyDescent="0.25">
      <c r="A91">
        <v>221</v>
      </c>
      <c r="B91">
        <v>1257</v>
      </c>
      <c r="C91" t="s">
        <v>33</v>
      </c>
      <c r="D91" t="s">
        <v>172</v>
      </c>
      <c r="E91">
        <v>10</v>
      </c>
      <c r="F91">
        <v>20.329999999999998</v>
      </c>
      <c r="G91">
        <v>10.84</v>
      </c>
      <c r="H91">
        <v>30.75</v>
      </c>
      <c r="I91">
        <v>1.05</v>
      </c>
      <c r="J91">
        <v>366.23</v>
      </c>
      <c r="K91">
        <f t="shared" si="11"/>
        <v>3662.3</v>
      </c>
      <c r="L91">
        <f t="shared" si="12"/>
        <v>0</v>
      </c>
      <c r="M91">
        <f t="shared" si="9"/>
        <v>0</v>
      </c>
      <c r="N91">
        <f t="shared" si="13"/>
        <v>0</v>
      </c>
      <c r="O91">
        <f t="shared" si="14"/>
        <v>2203.7719999999999</v>
      </c>
      <c r="P91">
        <f t="shared" si="15"/>
        <v>550.94299999999998</v>
      </c>
      <c r="Q91">
        <f t="shared" si="16"/>
        <v>562.18223719999992</v>
      </c>
      <c r="R91">
        <f t="shared" si="17"/>
        <v>322.875</v>
      </c>
      <c r="S91">
        <f t="shared" si="10"/>
        <v>3662.3</v>
      </c>
    </row>
    <row r="92" spans="1:19" x14ac:dyDescent="0.25">
      <c r="A92">
        <v>222</v>
      </c>
      <c r="B92">
        <v>1257</v>
      </c>
      <c r="C92" t="s">
        <v>33</v>
      </c>
      <c r="D92" t="s">
        <v>172</v>
      </c>
      <c r="E92">
        <v>20</v>
      </c>
      <c r="F92">
        <v>19.86</v>
      </c>
      <c r="G92">
        <v>11.07</v>
      </c>
      <c r="H92">
        <v>29.2</v>
      </c>
      <c r="I92">
        <v>1.04</v>
      </c>
      <c r="J92">
        <v>363.16</v>
      </c>
      <c r="K92">
        <f t="shared" si="11"/>
        <v>7263.2000000000007</v>
      </c>
      <c r="L92">
        <f t="shared" si="12"/>
        <v>0</v>
      </c>
      <c r="M92">
        <f t="shared" si="9"/>
        <v>0</v>
      </c>
      <c r="N92">
        <f t="shared" si="13"/>
        <v>0</v>
      </c>
      <c r="O92">
        <f t="shared" si="14"/>
        <v>4397.0039999999999</v>
      </c>
      <c r="P92">
        <f t="shared" si="15"/>
        <v>1099.251</v>
      </c>
      <c r="Q92">
        <f t="shared" si="16"/>
        <v>1121.6757204</v>
      </c>
      <c r="R92">
        <f t="shared" si="17"/>
        <v>607.36</v>
      </c>
      <c r="S92">
        <f t="shared" si="10"/>
        <v>7263.2000000000007</v>
      </c>
    </row>
    <row r="93" spans="1:19" x14ac:dyDescent="0.25">
      <c r="A93">
        <v>223</v>
      </c>
      <c r="B93">
        <v>1257</v>
      </c>
      <c r="C93" t="s">
        <v>33</v>
      </c>
      <c r="D93" t="s">
        <v>172</v>
      </c>
      <c r="E93">
        <v>17</v>
      </c>
      <c r="F93">
        <v>21.93</v>
      </c>
      <c r="G93">
        <v>10.99</v>
      </c>
      <c r="H93">
        <v>29.29</v>
      </c>
      <c r="I93">
        <v>0.98</v>
      </c>
      <c r="J93">
        <v>392.66</v>
      </c>
      <c r="K93">
        <f t="shared" si="11"/>
        <v>6675.22</v>
      </c>
      <c r="L93">
        <f t="shared" si="12"/>
        <v>0</v>
      </c>
      <c r="M93">
        <f t="shared" si="9"/>
        <v>0</v>
      </c>
      <c r="N93">
        <f t="shared" si="13"/>
        <v>0</v>
      </c>
      <c r="O93">
        <f t="shared" si="14"/>
        <v>4097.1819000000005</v>
      </c>
      <c r="P93">
        <f t="shared" si="15"/>
        <v>1024.2954750000001</v>
      </c>
      <c r="Q93">
        <f t="shared" si="16"/>
        <v>1045.1911026900002</v>
      </c>
      <c r="R93">
        <f t="shared" si="17"/>
        <v>487.97140000000002</v>
      </c>
      <c r="S93">
        <f t="shared" si="10"/>
        <v>6675.22</v>
      </c>
    </row>
    <row r="94" spans="1:19" x14ac:dyDescent="0.25">
      <c r="A94">
        <v>224</v>
      </c>
      <c r="B94">
        <v>1257</v>
      </c>
      <c r="C94" t="s">
        <v>33</v>
      </c>
      <c r="D94" t="s">
        <v>172</v>
      </c>
      <c r="E94">
        <v>15</v>
      </c>
      <c r="F94">
        <v>18.670000000000002</v>
      </c>
      <c r="G94">
        <v>10.51</v>
      </c>
      <c r="H94">
        <v>28.14</v>
      </c>
      <c r="I94">
        <v>1.06</v>
      </c>
      <c r="J94">
        <v>327.38</v>
      </c>
      <c r="K94">
        <f t="shared" si="11"/>
        <v>4910.7</v>
      </c>
      <c r="L94">
        <f t="shared" si="12"/>
        <v>0</v>
      </c>
      <c r="M94">
        <f t="shared" si="9"/>
        <v>0</v>
      </c>
      <c r="N94">
        <f t="shared" si="13"/>
        <v>0</v>
      </c>
      <c r="O94">
        <f t="shared" si="14"/>
        <v>2943.3255000000004</v>
      </c>
      <c r="P94">
        <f t="shared" si="15"/>
        <v>735.83137500000009</v>
      </c>
      <c r="Q94">
        <f t="shared" si="16"/>
        <v>750.84233505000009</v>
      </c>
      <c r="R94">
        <f t="shared" si="17"/>
        <v>447.42600000000004</v>
      </c>
      <c r="S94">
        <f t="shared" si="10"/>
        <v>4910.7</v>
      </c>
    </row>
    <row r="95" spans="1:19" x14ac:dyDescent="0.25">
      <c r="A95">
        <v>225</v>
      </c>
      <c r="B95">
        <v>1257</v>
      </c>
      <c r="C95" t="s">
        <v>33</v>
      </c>
      <c r="D95" t="s">
        <v>172</v>
      </c>
      <c r="E95">
        <v>15</v>
      </c>
      <c r="F95">
        <v>20.61</v>
      </c>
      <c r="G95">
        <v>10.55</v>
      </c>
      <c r="H95">
        <v>31.24</v>
      </c>
      <c r="I95">
        <v>1.02</v>
      </c>
      <c r="J95">
        <v>292.12</v>
      </c>
      <c r="K95">
        <f t="shared" si="11"/>
        <v>4381.8</v>
      </c>
      <c r="L95">
        <f t="shared" si="12"/>
        <v>0</v>
      </c>
      <c r="M95">
        <f t="shared" si="9"/>
        <v>0</v>
      </c>
      <c r="N95">
        <f t="shared" si="13"/>
        <v>0</v>
      </c>
      <c r="O95">
        <f t="shared" si="14"/>
        <v>3261.5324999999998</v>
      </c>
      <c r="P95">
        <f t="shared" si="15"/>
        <v>815.38312499999995</v>
      </c>
      <c r="Q95">
        <f t="shared" si="16"/>
        <v>832.01694074999989</v>
      </c>
      <c r="R95">
        <f t="shared" si="17"/>
        <v>477.97199999999998</v>
      </c>
      <c r="S95">
        <f t="shared" si="10"/>
        <v>4381.8</v>
      </c>
    </row>
    <row r="96" spans="1:19" x14ac:dyDescent="0.25">
      <c r="A96">
        <v>226</v>
      </c>
      <c r="B96">
        <v>1257</v>
      </c>
      <c r="C96" t="s">
        <v>33</v>
      </c>
      <c r="D96" t="s">
        <v>173</v>
      </c>
      <c r="E96">
        <v>10</v>
      </c>
      <c r="F96">
        <v>14.76</v>
      </c>
      <c r="G96">
        <v>2.77</v>
      </c>
      <c r="H96">
        <v>32.78</v>
      </c>
      <c r="I96">
        <v>0.8</v>
      </c>
      <c r="J96">
        <v>85.06</v>
      </c>
      <c r="K96">
        <f t="shared" si="11"/>
        <v>850.6</v>
      </c>
      <c r="L96">
        <f t="shared" si="12"/>
        <v>850.6</v>
      </c>
      <c r="M96">
        <f t="shared" si="9"/>
        <v>408.85199999999998</v>
      </c>
      <c r="N96">
        <f t="shared" si="13"/>
        <v>102.21299999999999</v>
      </c>
      <c r="O96">
        <f t="shared" si="14"/>
        <v>408.85199999999998</v>
      </c>
      <c r="P96">
        <f t="shared" si="15"/>
        <v>102.21299999999999</v>
      </c>
      <c r="Q96">
        <f t="shared" si="16"/>
        <v>104.29814519999999</v>
      </c>
      <c r="R96">
        <f t="shared" si="17"/>
        <v>262.24</v>
      </c>
      <c r="S96">
        <f t="shared" si="10"/>
        <v>850.6</v>
      </c>
    </row>
    <row r="97" spans="1:19" x14ac:dyDescent="0.25">
      <c r="A97">
        <v>227</v>
      </c>
      <c r="B97">
        <v>1257</v>
      </c>
      <c r="C97" t="s">
        <v>33</v>
      </c>
      <c r="D97" t="s">
        <v>173</v>
      </c>
      <c r="E97">
        <v>25</v>
      </c>
      <c r="F97">
        <v>17.91</v>
      </c>
      <c r="G97">
        <v>3.13</v>
      </c>
      <c r="H97">
        <v>27.34</v>
      </c>
      <c r="I97">
        <v>0.79</v>
      </c>
      <c r="J97">
        <v>100.84</v>
      </c>
      <c r="K97">
        <f t="shared" si="11"/>
        <v>2521</v>
      </c>
      <c r="L97">
        <f t="shared" si="12"/>
        <v>2521</v>
      </c>
      <c r="M97">
        <f t="shared" si="9"/>
        <v>1401.4575</v>
      </c>
      <c r="N97">
        <f t="shared" si="13"/>
        <v>350.364375</v>
      </c>
      <c r="O97">
        <f t="shared" si="14"/>
        <v>1401.4575</v>
      </c>
      <c r="P97">
        <f t="shared" si="15"/>
        <v>350.364375</v>
      </c>
      <c r="Q97">
        <f t="shared" si="16"/>
        <v>357.51180825</v>
      </c>
      <c r="R97">
        <f t="shared" si="17"/>
        <v>539.96500000000003</v>
      </c>
      <c r="S97">
        <f t="shared" si="10"/>
        <v>2521</v>
      </c>
    </row>
    <row r="98" spans="1:19" x14ac:dyDescent="0.25">
      <c r="A98">
        <v>228</v>
      </c>
      <c r="B98">
        <v>1257</v>
      </c>
      <c r="C98" t="s">
        <v>33</v>
      </c>
      <c r="D98" t="s">
        <v>173</v>
      </c>
      <c r="E98">
        <v>16</v>
      </c>
      <c r="F98">
        <v>15.56</v>
      </c>
      <c r="G98">
        <v>2.44</v>
      </c>
      <c r="H98">
        <v>32.17</v>
      </c>
      <c r="I98">
        <v>0.77</v>
      </c>
      <c r="J98">
        <v>79.45</v>
      </c>
      <c r="K98">
        <f t="shared" si="11"/>
        <v>1271.2</v>
      </c>
      <c r="L98">
        <f t="shared" si="12"/>
        <v>1271.2</v>
      </c>
      <c r="M98">
        <f t="shared" si="9"/>
        <v>607.4624</v>
      </c>
      <c r="N98">
        <f t="shared" si="13"/>
        <v>151.8656</v>
      </c>
      <c r="O98">
        <f t="shared" si="14"/>
        <v>607.4624</v>
      </c>
      <c r="P98">
        <f t="shared" si="15"/>
        <v>151.8656</v>
      </c>
      <c r="Q98">
        <f t="shared" si="16"/>
        <v>154.96365824</v>
      </c>
      <c r="R98">
        <f t="shared" si="17"/>
        <v>396.33440000000002</v>
      </c>
      <c r="S98">
        <f t="shared" si="10"/>
        <v>1271.2</v>
      </c>
    </row>
    <row r="99" spans="1:19" x14ac:dyDescent="0.25">
      <c r="A99">
        <v>229</v>
      </c>
      <c r="B99">
        <v>1257</v>
      </c>
      <c r="C99" t="s">
        <v>33</v>
      </c>
      <c r="D99" t="s">
        <v>173</v>
      </c>
      <c r="E99">
        <v>16</v>
      </c>
      <c r="F99">
        <v>14.28</v>
      </c>
      <c r="G99">
        <v>2.84</v>
      </c>
      <c r="H99">
        <v>27.18</v>
      </c>
      <c r="I99">
        <v>0.81</v>
      </c>
      <c r="J99">
        <v>79.98</v>
      </c>
      <c r="K99">
        <f t="shared" si="11"/>
        <v>1279.68</v>
      </c>
      <c r="L99">
        <f t="shared" si="12"/>
        <v>1279.68</v>
      </c>
      <c r="M99">
        <f t="shared" si="9"/>
        <v>648.88319999999999</v>
      </c>
      <c r="N99">
        <f t="shared" si="13"/>
        <v>162.2208</v>
      </c>
      <c r="O99">
        <f t="shared" si="14"/>
        <v>648.88319999999999</v>
      </c>
      <c r="P99">
        <f t="shared" si="15"/>
        <v>162.2208</v>
      </c>
      <c r="Q99">
        <f t="shared" si="16"/>
        <v>165.53010431999999</v>
      </c>
      <c r="R99">
        <f t="shared" si="17"/>
        <v>352.25280000000004</v>
      </c>
      <c r="S99">
        <f t="shared" si="10"/>
        <v>1279.68</v>
      </c>
    </row>
    <row r="100" spans="1:19" x14ac:dyDescent="0.25">
      <c r="A100">
        <v>230</v>
      </c>
      <c r="B100">
        <v>1257</v>
      </c>
      <c r="C100" t="s">
        <v>33</v>
      </c>
      <c r="D100" t="s">
        <v>172</v>
      </c>
      <c r="E100">
        <v>7</v>
      </c>
      <c r="F100">
        <v>19.850000000000001</v>
      </c>
      <c r="G100">
        <v>11.76</v>
      </c>
      <c r="H100">
        <v>38.450000000000003</v>
      </c>
      <c r="I100">
        <v>0.93</v>
      </c>
      <c r="J100">
        <v>389.79</v>
      </c>
      <c r="K100">
        <f t="shared" si="11"/>
        <v>2728.53</v>
      </c>
      <c r="L100">
        <f t="shared" si="12"/>
        <v>0</v>
      </c>
      <c r="M100">
        <f t="shared" si="9"/>
        <v>0</v>
      </c>
      <c r="N100">
        <f t="shared" si="13"/>
        <v>0</v>
      </c>
      <c r="O100">
        <f t="shared" si="14"/>
        <v>1634.0519999999999</v>
      </c>
      <c r="P100">
        <f t="shared" si="15"/>
        <v>408.51299999999998</v>
      </c>
      <c r="Q100">
        <f t="shared" si="16"/>
        <v>416.84666519999996</v>
      </c>
      <c r="R100">
        <f t="shared" si="17"/>
        <v>250.30950000000004</v>
      </c>
      <c r="S100">
        <f t="shared" si="10"/>
        <v>2728.53</v>
      </c>
    </row>
    <row r="101" spans="1:19" x14ac:dyDescent="0.25">
      <c r="A101">
        <v>231</v>
      </c>
      <c r="B101">
        <v>1257</v>
      </c>
      <c r="C101" t="s">
        <v>33</v>
      </c>
      <c r="D101" t="s">
        <v>172</v>
      </c>
      <c r="E101">
        <v>10</v>
      </c>
      <c r="F101">
        <v>20.97</v>
      </c>
      <c r="G101">
        <v>11.08</v>
      </c>
      <c r="H101">
        <v>32.53</v>
      </c>
      <c r="I101">
        <v>0.96</v>
      </c>
      <c r="J101">
        <v>382.78</v>
      </c>
      <c r="K101">
        <f t="shared" si="11"/>
        <v>3827.7999999999997</v>
      </c>
      <c r="L101">
        <f t="shared" si="12"/>
        <v>0</v>
      </c>
      <c r="M101">
        <f t="shared" si="9"/>
        <v>0</v>
      </c>
      <c r="N101">
        <f t="shared" si="13"/>
        <v>0</v>
      </c>
      <c r="O101">
        <f t="shared" si="14"/>
        <v>2323.4759999999997</v>
      </c>
      <c r="P101">
        <f t="shared" si="15"/>
        <v>580.86899999999991</v>
      </c>
      <c r="Q101">
        <f t="shared" si="16"/>
        <v>592.71872759999985</v>
      </c>
      <c r="R101">
        <f t="shared" si="17"/>
        <v>312.28800000000001</v>
      </c>
      <c r="S101">
        <f t="shared" si="10"/>
        <v>3827.7999999999997</v>
      </c>
    </row>
    <row r="102" spans="1:19" x14ac:dyDescent="0.25">
      <c r="A102">
        <v>232</v>
      </c>
      <c r="B102">
        <v>1257</v>
      </c>
      <c r="C102" t="s">
        <v>33</v>
      </c>
      <c r="D102" t="s">
        <v>172</v>
      </c>
      <c r="E102">
        <v>12</v>
      </c>
      <c r="F102">
        <v>18.670000000000002</v>
      </c>
      <c r="G102">
        <v>10.75</v>
      </c>
      <c r="H102">
        <v>32</v>
      </c>
      <c r="I102">
        <v>1</v>
      </c>
      <c r="J102">
        <v>336.62</v>
      </c>
      <c r="K102">
        <f t="shared" si="11"/>
        <v>4039.44</v>
      </c>
      <c r="L102">
        <f t="shared" si="12"/>
        <v>0</v>
      </c>
      <c r="M102">
        <f t="shared" si="9"/>
        <v>0</v>
      </c>
      <c r="N102">
        <f t="shared" si="13"/>
        <v>0</v>
      </c>
      <c r="O102">
        <f t="shared" si="14"/>
        <v>2408.4300000000003</v>
      </c>
      <c r="P102">
        <f t="shared" si="15"/>
        <v>602.10750000000007</v>
      </c>
      <c r="Q102">
        <f t="shared" si="16"/>
        <v>614.39049300000011</v>
      </c>
      <c r="R102">
        <f t="shared" si="17"/>
        <v>384</v>
      </c>
      <c r="S102">
        <f t="shared" si="10"/>
        <v>4039.44</v>
      </c>
    </row>
    <row r="103" spans="1:19" x14ac:dyDescent="0.25">
      <c r="A103">
        <v>233</v>
      </c>
      <c r="B103">
        <v>1257</v>
      </c>
      <c r="C103" t="s">
        <v>33</v>
      </c>
      <c r="D103" t="s">
        <v>172</v>
      </c>
      <c r="E103">
        <v>17</v>
      </c>
      <c r="F103">
        <v>18.38</v>
      </c>
      <c r="G103">
        <v>11.7</v>
      </c>
      <c r="H103">
        <v>30.25</v>
      </c>
      <c r="I103">
        <v>1.04</v>
      </c>
      <c r="J103">
        <v>357.32</v>
      </c>
      <c r="K103">
        <f t="shared" si="11"/>
        <v>6074.44</v>
      </c>
      <c r="L103">
        <f t="shared" si="12"/>
        <v>0</v>
      </c>
      <c r="M103">
        <f t="shared" si="9"/>
        <v>0</v>
      </c>
      <c r="N103">
        <f t="shared" si="13"/>
        <v>0</v>
      </c>
      <c r="O103">
        <f t="shared" si="14"/>
        <v>3655.7819999999992</v>
      </c>
      <c r="P103">
        <f t="shared" si="15"/>
        <v>913.94549999999981</v>
      </c>
      <c r="Q103">
        <f t="shared" si="16"/>
        <v>932.58998819999977</v>
      </c>
      <c r="R103">
        <f t="shared" si="17"/>
        <v>534.81999999999994</v>
      </c>
      <c r="S103">
        <f t="shared" si="10"/>
        <v>6074.44</v>
      </c>
    </row>
    <row r="104" spans="1:19" x14ac:dyDescent="0.25">
      <c r="A104">
        <v>234</v>
      </c>
      <c r="B104">
        <v>1257</v>
      </c>
      <c r="C104" t="s">
        <v>33</v>
      </c>
      <c r="D104" t="s">
        <v>173</v>
      </c>
      <c r="E104">
        <v>11</v>
      </c>
      <c r="F104">
        <v>15.19</v>
      </c>
      <c r="G104">
        <v>2.78</v>
      </c>
      <c r="H104">
        <v>36.229999999999997</v>
      </c>
      <c r="I104">
        <v>0.81</v>
      </c>
      <c r="J104">
        <v>90.35</v>
      </c>
      <c r="K104">
        <f t="shared" si="11"/>
        <v>993.84999999999991</v>
      </c>
      <c r="L104">
        <f t="shared" si="12"/>
        <v>993.84999999999991</v>
      </c>
      <c r="M104">
        <f t="shared" si="9"/>
        <v>464.51019999999994</v>
      </c>
      <c r="N104">
        <f t="shared" si="13"/>
        <v>116.12754999999999</v>
      </c>
      <c r="O104">
        <f t="shared" si="14"/>
        <v>464.51019999999994</v>
      </c>
      <c r="P104">
        <f t="shared" si="15"/>
        <v>116.12754999999999</v>
      </c>
      <c r="Q104">
        <f t="shared" si="16"/>
        <v>118.49655201999998</v>
      </c>
      <c r="R104">
        <f t="shared" si="17"/>
        <v>322.80929999999995</v>
      </c>
      <c r="S104">
        <f t="shared" si="10"/>
        <v>993.84999999999991</v>
      </c>
    </row>
    <row r="105" spans="1:19" x14ac:dyDescent="0.25">
      <c r="A105">
        <v>235</v>
      </c>
      <c r="B105">
        <v>1257</v>
      </c>
      <c r="C105" t="s">
        <v>33</v>
      </c>
      <c r="D105" t="s">
        <v>172</v>
      </c>
      <c r="E105">
        <v>14</v>
      </c>
      <c r="F105">
        <v>20.13</v>
      </c>
      <c r="G105">
        <v>10.27</v>
      </c>
      <c r="H105">
        <v>31.68</v>
      </c>
      <c r="I105">
        <v>1.02</v>
      </c>
      <c r="J105">
        <v>345.97</v>
      </c>
      <c r="K105">
        <f t="shared" si="11"/>
        <v>4843.58</v>
      </c>
      <c r="L105">
        <f t="shared" si="12"/>
        <v>0</v>
      </c>
      <c r="M105">
        <f t="shared" si="9"/>
        <v>0</v>
      </c>
      <c r="N105">
        <f t="shared" si="13"/>
        <v>0</v>
      </c>
      <c r="O105">
        <f t="shared" si="14"/>
        <v>2894.2914000000001</v>
      </c>
      <c r="P105">
        <f t="shared" si="15"/>
        <v>723.57285000000002</v>
      </c>
      <c r="Q105">
        <f t="shared" si="16"/>
        <v>738.33373614000004</v>
      </c>
      <c r="R105">
        <f t="shared" si="17"/>
        <v>452.39040000000006</v>
      </c>
      <c r="S105">
        <f t="shared" si="10"/>
        <v>4843.58</v>
      </c>
    </row>
    <row r="106" spans="1:19" x14ac:dyDescent="0.25">
      <c r="A106">
        <v>236</v>
      </c>
      <c r="B106">
        <v>1257</v>
      </c>
      <c r="C106" t="s">
        <v>33</v>
      </c>
      <c r="D106" t="s">
        <v>172</v>
      </c>
      <c r="E106">
        <v>14</v>
      </c>
      <c r="F106">
        <v>19.350000000000001</v>
      </c>
      <c r="G106">
        <v>10.68</v>
      </c>
      <c r="H106">
        <v>34.24</v>
      </c>
      <c r="I106">
        <v>1.04</v>
      </c>
      <c r="J106">
        <v>288.35000000000002</v>
      </c>
      <c r="K106">
        <f t="shared" si="11"/>
        <v>4036.9000000000005</v>
      </c>
      <c r="L106">
        <f t="shared" si="12"/>
        <v>0</v>
      </c>
      <c r="M106">
        <f t="shared" si="9"/>
        <v>0</v>
      </c>
      <c r="N106">
        <f t="shared" si="13"/>
        <v>0</v>
      </c>
      <c r="O106">
        <f t="shared" si="14"/>
        <v>2893.212</v>
      </c>
      <c r="P106">
        <f t="shared" si="15"/>
        <v>723.303</v>
      </c>
      <c r="Q106">
        <f t="shared" si="16"/>
        <v>738.05838119999999</v>
      </c>
      <c r="R106">
        <f t="shared" si="17"/>
        <v>498.53440000000006</v>
      </c>
      <c r="S106">
        <f t="shared" si="10"/>
        <v>4036.9000000000005</v>
      </c>
    </row>
    <row r="107" spans="1:19" x14ac:dyDescent="0.25">
      <c r="A107">
        <v>237</v>
      </c>
      <c r="B107">
        <v>1257</v>
      </c>
      <c r="C107" t="s">
        <v>33</v>
      </c>
      <c r="D107" t="s">
        <v>172</v>
      </c>
      <c r="E107">
        <v>18</v>
      </c>
      <c r="F107">
        <v>19.93</v>
      </c>
      <c r="G107">
        <v>9.94</v>
      </c>
      <c r="H107">
        <v>31.65</v>
      </c>
      <c r="I107">
        <v>0.99</v>
      </c>
      <c r="J107">
        <v>331.97</v>
      </c>
      <c r="K107">
        <f t="shared" si="11"/>
        <v>5975.4600000000009</v>
      </c>
      <c r="L107">
        <f t="shared" si="12"/>
        <v>0</v>
      </c>
      <c r="M107">
        <f t="shared" si="9"/>
        <v>0</v>
      </c>
      <c r="N107">
        <f t="shared" si="13"/>
        <v>0</v>
      </c>
      <c r="O107">
        <f t="shared" si="14"/>
        <v>3565.8755999999998</v>
      </c>
      <c r="P107">
        <f t="shared" si="15"/>
        <v>891.46889999999996</v>
      </c>
      <c r="Q107">
        <f t="shared" si="16"/>
        <v>909.65486555999996</v>
      </c>
      <c r="R107">
        <f t="shared" si="17"/>
        <v>564.00299999999993</v>
      </c>
      <c r="S107">
        <f t="shared" si="10"/>
        <v>5975.4600000000009</v>
      </c>
    </row>
    <row r="108" spans="1:19" x14ac:dyDescent="0.25">
      <c r="A108">
        <v>238</v>
      </c>
      <c r="B108">
        <v>1257</v>
      </c>
      <c r="C108" t="s">
        <v>33</v>
      </c>
      <c r="D108" t="s">
        <v>173</v>
      </c>
      <c r="E108">
        <v>13</v>
      </c>
      <c r="F108">
        <v>13.17</v>
      </c>
      <c r="G108">
        <v>3.05</v>
      </c>
      <c r="H108">
        <v>27.73</v>
      </c>
      <c r="I108">
        <v>0.81</v>
      </c>
      <c r="J108">
        <v>79.94</v>
      </c>
      <c r="K108">
        <f t="shared" si="11"/>
        <v>1039.22</v>
      </c>
      <c r="L108">
        <f t="shared" si="12"/>
        <v>1039.22</v>
      </c>
      <c r="M108">
        <f t="shared" si="9"/>
        <v>522.19049999999993</v>
      </c>
      <c r="N108">
        <f t="shared" si="13"/>
        <v>130.54762499999998</v>
      </c>
      <c r="O108">
        <f t="shared" si="14"/>
        <v>522.19049999999993</v>
      </c>
      <c r="P108">
        <f t="shared" si="15"/>
        <v>130.54762499999998</v>
      </c>
      <c r="Q108">
        <f t="shared" si="16"/>
        <v>133.21079654999997</v>
      </c>
      <c r="R108">
        <f t="shared" si="17"/>
        <v>291.99690000000004</v>
      </c>
      <c r="S108">
        <f t="shared" si="10"/>
        <v>1039.22</v>
      </c>
    </row>
    <row r="109" spans="1:19" x14ac:dyDescent="0.25">
      <c r="A109">
        <v>239</v>
      </c>
      <c r="B109">
        <v>1257</v>
      </c>
      <c r="C109" t="s">
        <v>33</v>
      </c>
      <c r="D109" t="s">
        <v>172</v>
      </c>
      <c r="E109">
        <v>14</v>
      </c>
      <c r="F109">
        <v>19.87</v>
      </c>
      <c r="G109">
        <v>10.62</v>
      </c>
      <c r="H109">
        <v>39.1</v>
      </c>
      <c r="I109">
        <v>0.92</v>
      </c>
      <c r="J109">
        <v>356.7</v>
      </c>
      <c r="K109">
        <f t="shared" si="11"/>
        <v>4993.8</v>
      </c>
      <c r="L109">
        <f t="shared" si="12"/>
        <v>0</v>
      </c>
      <c r="M109">
        <f t="shared" si="9"/>
        <v>0</v>
      </c>
      <c r="N109">
        <f t="shared" si="13"/>
        <v>0</v>
      </c>
      <c r="O109">
        <f t="shared" si="14"/>
        <v>2954.2715999999996</v>
      </c>
      <c r="P109">
        <f t="shared" si="15"/>
        <v>738.5678999999999</v>
      </c>
      <c r="Q109">
        <f t="shared" si="16"/>
        <v>753.63468515999989</v>
      </c>
      <c r="R109">
        <f t="shared" si="17"/>
        <v>503.60800000000006</v>
      </c>
      <c r="S109">
        <f t="shared" si="10"/>
        <v>4993.8</v>
      </c>
    </row>
    <row r="110" spans="1:19" x14ac:dyDescent="0.25">
      <c r="A110">
        <v>240</v>
      </c>
      <c r="B110">
        <v>1257</v>
      </c>
      <c r="C110" t="s">
        <v>33</v>
      </c>
      <c r="D110" t="s">
        <v>173</v>
      </c>
      <c r="E110">
        <v>12</v>
      </c>
      <c r="F110">
        <v>14.94</v>
      </c>
      <c r="G110">
        <v>3.08</v>
      </c>
      <c r="H110">
        <v>29.46</v>
      </c>
      <c r="I110">
        <v>0.82</v>
      </c>
      <c r="J110">
        <v>89.84</v>
      </c>
      <c r="K110">
        <f t="shared" si="11"/>
        <v>1078.08</v>
      </c>
      <c r="L110">
        <f t="shared" si="12"/>
        <v>1078.08</v>
      </c>
      <c r="M110">
        <f t="shared" si="9"/>
        <v>552.18240000000003</v>
      </c>
      <c r="N110">
        <f t="shared" si="13"/>
        <v>138.04560000000001</v>
      </c>
      <c r="O110">
        <f t="shared" si="14"/>
        <v>552.18240000000003</v>
      </c>
      <c r="P110">
        <f t="shared" si="15"/>
        <v>138.04560000000001</v>
      </c>
      <c r="Q110">
        <f t="shared" si="16"/>
        <v>140.86173024000001</v>
      </c>
      <c r="R110">
        <f t="shared" si="17"/>
        <v>289.88639999999998</v>
      </c>
      <c r="S110">
        <f t="shared" si="10"/>
        <v>1078.08</v>
      </c>
    </row>
    <row r="111" spans="1:19" x14ac:dyDescent="0.25">
      <c r="A111">
        <v>241</v>
      </c>
      <c r="B111">
        <v>1257</v>
      </c>
      <c r="C111" t="s">
        <v>33</v>
      </c>
      <c r="D111" t="s">
        <v>173</v>
      </c>
      <c r="E111">
        <v>33</v>
      </c>
      <c r="F111">
        <v>12.97</v>
      </c>
      <c r="G111">
        <v>3.02</v>
      </c>
      <c r="H111">
        <v>25.95</v>
      </c>
      <c r="I111">
        <v>0.79</v>
      </c>
      <c r="J111">
        <v>76.41</v>
      </c>
      <c r="K111">
        <f t="shared" si="11"/>
        <v>2521.5299999999997</v>
      </c>
      <c r="L111">
        <f t="shared" si="12"/>
        <v>2521.5299999999997</v>
      </c>
      <c r="M111">
        <f t="shared" si="9"/>
        <v>1292.5902000000001</v>
      </c>
      <c r="N111">
        <f t="shared" si="13"/>
        <v>323.14755000000002</v>
      </c>
      <c r="O111">
        <f t="shared" si="14"/>
        <v>1292.5902000000001</v>
      </c>
      <c r="P111">
        <f t="shared" si="15"/>
        <v>323.14755000000002</v>
      </c>
      <c r="Q111">
        <f t="shared" si="16"/>
        <v>329.73976002000001</v>
      </c>
      <c r="R111">
        <f t="shared" si="17"/>
        <v>676.51649999999995</v>
      </c>
      <c r="S111">
        <f t="shared" si="10"/>
        <v>2521.5299999999997</v>
      </c>
    </row>
    <row r="112" spans="1:19" x14ac:dyDescent="0.25">
      <c r="A112">
        <v>242</v>
      </c>
      <c r="B112">
        <v>1258</v>
      </c>
      <c r="C112" t="s">
        <v>32</v>
      </c>
      <c r="D112" t="s">
        <v>173</v>
      </c>
      <c r="E112">
        <v>8</v>
      </c>
      <c r="F112">
        <v>14</v>
      </c>
      <c r="G112">
        <v>2.79</v>
      </c>
      <c r="H112">
        <v>26.76</v>
      </c>
      <c r="I112">
        <v>0.83</v>
      </c>
      <c r="J112">
        <v>78.14</v>
      </c>
      <c r="K112">
        <f t="shared" si="11"/>
        <v>625.12</v>
      </c>
      <c r="L112">
        <f t="shared" si="12"/>
        <v>625.12</v>
      </c>
      <c r="M112">
        <f t="shared" si="9"/>
        <v>312.48</v>
      </c>
      <c r="N112">
        <f t="shared" si="13"/>
        <v>78.12</v>
      </c>
      <c r="O112">
        <f t="shared" si="14"/>
        <v>312.48</v>
      </c>
      <c r="P112">
        <f t="shared" si="15"/>
        <v>78.12</v>
      </c>
      <c r="Q112">
        <f t="shared" si="16"/>
        <v>79.713648000000006</v>
      </c>
      <c r="R112">
        <f t="shared" si="17"/>
        <v>177.68639999999999</v>
      </c>
      <c r="S112">
        <f t="shared" si="10"/>
        <v>625.12</v>
      </c>
    </row>
    <row r="113" spans="1:19" x14ac:dyDescent="0.25">
      <c r="A113">
        <v>243</v>
      </c>
      <c r="B113">
        <v>1258</v>
      </c>
      <c r="C113" t="s">
        <v>32</v>
      </c>
      <c r="D113" t="s">
        <v>172</v>
      </c>
      <c r="E113">
        <v>10</v>
      </c>
      <c r="F113">
        <v>19.47</v>
      </c>
      <c r="G113">
        <v>12.71</v>
      </c>
      <c r="H113">
        <v>27.45</v>
      </c>
      <c r="I113">
        <v>0.95</v>
      </c>
      <c r="J113">
        <v>399.13</v>
      </c>
      <c r="K113">
        <f t="shared" si="11"/>
        <v>3991.3</v>
      </c>
      <c r="L113">
        <f t="shared" si="12"/>
        <v>0</v>
      </c>
      <c r="M113">
        <f t="shared" si="9"/>
        <v>0</v>
      </c>
      <c r="N113">
        <f t="shared" si="13"/>
        <v>0</v>
      </c>
      <c r="O113">
        <f t="shared" si="14"/>
        <v>2474.6370000000002</v>
      </c>
      <c r="P113">
        <f t="shared" si="15"/>
        <v>618.65925000000004</v>
      </c>
      <c r="Q113">
        <f t="shared" si="16"/>
        <v>631.27989869999999</v>
      </c>
      <c r="R113">
        <f t="shared" si="17"/>
        <v>260.77499999999998</v>
      </c>
      <c r="S113">
        <f t="shared" si="10"/>
        <v>3991.3</v>
      </c>
    </row>
    <row r="114" spans="1:19" x14ac:dyDescent="0.25">
      <c r="A114">
        <v>244</v>
      </c>
      <c r="B114">
        <v>1258</v>
      </c>
      <c r="C114" t="s">
        <v>32</v>
      </c>
      <c r="D114" t="s">
        <v>173</v>
      </c>
      <c r="E114">
        <v>16</v>
      </c>
      <c r="F114">
        <v>13.78</v>
      </c>
      <c r="G114">
        <v>2.88</v>
      </c>
      <c r="H114">
        <v>26.65</v>
      </c>
      <c r="I114">
        <v>0.76</v>
      </c>
      <c r="J114">
        <v>76.849999999999994</v>
      </c>
      <c r="K114">
        <f t="shared" si="11"/>
        <v>1229.5999999999999</v>
      </c>
      <c r="L114">
        <f t="shared" si="12"/>
        <v>1229.5999999999999</v>
      </c>
      <c r="M114">
        <f t="shared" si="9"/>
        <v>634.98239999999998</v>
      </c>
      <c r="N114">
        <f t="shared" si="13"/>
        <v>158.7456</v>
      </c>
      <c r="O114">
        <f t="shared" si="14"/>
        <v>634.98239999999998</v>
      </c>
      <c r="P114">
        <f t="shared" si="15"/>
        <v>158.7456</v>
      </c>
      <c r="Q114">
        <f t="shared" si="16"/>
        <v>161.98401024</v>
      </c>
      <c r="R114">
        <f t="shared" si="17"/>
        <v>324.06399999999996</v>
      </c>
      <c r="S114">
        <f t="shared" si="10"/>
        <v>1229.5999999999999</v>
      </c>
    </row>
    <row r="115" spans="1:19" x14ac:dyDescent="0.25">
      <c r="A115">
        <v>245</v>
      </c>
      <c r="B115">
        <v>1258</v>
      </c>
      <c r="C115" t="s">
        <v>32</v>
      </c>
      <c r="D115" t="s">
        <v>172</v>
      </c>
      <c r="E115">
        <v>89</v>
      </c>
      <c r="F115">
        <v>19.88</v>
      </c>
      <c r="G115">
        <v>10.89</v>
      </c>
      <c r="H115">
        <v>27.14</v>
      </c>
      <c r="I115">
        <v>0.99</v>
      </c>
      <c r="J115">
        <v>354.01</v>
      </c>
      <c r="K115">
        <f t="shared" si="11"/>
        <v>31506.89</v>
      </c>
      <c r="L115">
        <f t="shared" si="12"/>
        <v>0</v>
      </c>
      <c r="M115">
        <f t="shared" si="9"/>
        <v>0</v>
      </c>
      <c r="N115">
        <f t="shared" si="13"/>
        <v>0</v>
      </c>
      <c r="O115">
        <f t="shared" si="14"/>
        <v>19267.894799999998</v>
      </c>
      <c r="P115">
        <f t="shared" si="15"/>
        <v>4816.9736999999996</v>
      </c>
      <c r="Q115">
        <f t="shared" si="16"/>
        <v>4915.2399634799995</v>
      </c>
      <c r="R115">
        <f t="shared" si="17"/>
        <v>2391.3054000000002</v>
      </c>
      <c r="S115">
        <f t="shared" si="10"/>
        <v>31506.89</v>
      </c>
    </row>
    <row r="116" spans="1:19" x14ac:dyDescent="0.25">
      <c r="A116">
        <v>246</v>
      </c>
      <c r="B116">
        <v>1258</v>
      </c>
      <c r="C116" t="s">
        <v>32</v>
      </c>
      <c r="D116" t="s">
        <v>173</v>
      </c>
      <c r="E116">
        <v>18</v>
      </c>
      <c r="F116">
        <v>15.48</v>
      </c>
      <c r="G116">
        <v>2.62</v>
      </c>
      <c r="H116">
        <v>32.11</v>
      </c>
      <c r="I116">
        <v>0.78</v>
      </c>
      <c r="J116">
        <v>83.32</v>
      </c>
      <c r="K116">
        <f t="shared" si="11"/>
        <v>1499.7599999999998</v>
      </c>
      <c r="L116">
        <f t="shared" si="12"/>
        <v>1499.7599999999998</v>
      </c>
      <c r="M116">
        <f t="shared" si="9"/>
        <v>730.03680000000008</v>
      </c>
      <c r="N116">
        <f t="shared" si="13"/>
        <v>182.50920000000002</v>
      </c>
      <c r="O116">
        <f t="shared" si="14"/>
        <v>730.03680000000008</v>
      </c>
      <c r="P116">
        <f t="shared" si="15"/>
        <v>182.50920000000002</v>
      </c>
      <c r="Q116">
        <f t="shared" si="16"/>
        <v>186.23238768000002</v>
      </c>
      <c r="R116">
        <f t="shared" si="17"/>
        <v>450.82440000000003</v>
      </c>
      <c r="S116">
        <f t="shared" si="10"/>
        <v>1499.7599999999998</v>
      </c>
    </row>
    <row r="117" spans="1:19" x14ac:dyDescent="0.25">
      <c r="A117">
        <v>247</v>
      </c>
      <c r="B117">
        <v>1258</v>
      </c>
      <c r="C117" t="s">
        <v>32</v>
      </c>
      <c r="D117" t="s">
        <v>172</v>
      </c>
      <c r="E117">
        <v>8</v>
      </c>
      <c r="F117">
        <v>18.8</v>
      </c>
      <c r="G117">
        <v>10.81</v>
      </c>
      <c r="H117">
        <v>28</v>
      </c>
      <c r="I117">
        <v>0.93</v>
      </c>
      <c r="J117">
        <v>333.29</v>
      </c>
      <c r="K117">
        <f t="shared" si="11"/>
        <v>2666.32</v>
      </c>
      <c r="L117">
        <f t="shared" si="12"/>
        <v>0</v>
      </c>
      <c r="M117">
        <f t="shared" si="9"/>
        <v>0</v>
      </c>
      <c r="N117">
        <f t="shared" si="13"/>
        <v>0</v>
      </c>
      <c r="O117">
        <f t="shared" si="14"/>
        <v>1625.8240000000001</v>
      </c>
      <c r="P117">
        <f t="shared" si="15"/>
        <v>406.45600000000002</v>
      </c>
      <c r="Q117">
        <f t="shared" si="16"/>
        <v>414.74770239999998</v>
      </c>
      <c r="R117">
        <f t="shared" si="17"/>
        <v>208.32000000000002</v>
      </c>
      <c r="S117">
        <f t="shared" si="10"/>
        <v>2666.32</v>
      </c>
    </row>
    <row r="118" spans="1:19" x14ac:dyDescent="0.25">
      <c r="A118">
        <v>248</v>
      </c>
      <c r="B118">
        <v>1258</v>
      </c>
      <c r="C118" t="s">
        <v>32</v>
      </c>
      <c r="D118" t="s">
        <v>173</v>
      </c>
      <c r="E118">
        <v>8</v>
      </c>
      <c r="F118">
        <v>13.85</v>
      </c>
      <c r="G118">
        <v>3.06</v>
      </c>
      <c r="H118">
        <v>31.35</v>
      </c>
      <c r="I118">
        <v>0.85</v>
      </c>
      <c r="J118">
        <v>78.03</v>
      </c>
      <c r="K118">
        <f t="shared" si="11"/>
        <v>624.24</v>
      </c>
      <c r="L118">
        <f t="shared" si="12"/>
        <v>624.24</v>
      </c>
      <c r="M118">
        <f t="shared" si="9"/>
        <v>339.048</v>
      </c>
      <c r="N118">
        <f t="shared" si="13"/>
        <v>84.762</v>
      </c>
      <c r="O118">
        <f t="shared" si="14"/>
        <v>339.048</v>
      </c>
      <c r="P118">
        <f t="shared" si="15"/>
        <v>84.762</v>
      </c>
      <c r="Q118">
        <f t="shared" si="16"/>
        <v>86.491144800000001</v>
      </c>
      <c r="R118">
        <f t="shared" si="17"/>
        <v>213.18</v>
      </c>
      <c r="S118">
        <f t="shared" si="10"/>
        <v>624.24</v>
      </c>
    </row>
    <row r="119" spans="1:19" x14ac:dyDescent="0.25">
      <c r="A119">
        <v>249</v>
      </c>
      <c r="B119">
        <v>1258</v>
      </c>
      <c r="C119" t="s">
        <v>32</v>
      </c>
      <c r="D119" t="s">
        <v>172</v>
      </c>
      <c r="E119">
        <v>17</v>
      </c>
      <c r="F119">
        <v>20.170000000000002</v>
      </c>
      <c r="G119">
        <v>11.05</v>
      </c>
      <c r="H119">
        <v>35.24</v>
      </c>
      <c r="I119">
        <v>1.03</v>
      </c>
      <c r="J119">
        <v>308.91000000000003</v>
      </c>
      <c r="K119">
        <f t="shared" si="11"/>
        <v>5251.47</v>
      </c>
      <c r="L119">
        <f t="shared" si="12"/>
        <v>0</v>
      </c>
      <c r="M119">
        <f t="shared" si="9"/>
        <v>0</v>
      </c>
      <c r="N119">
        <f t="shared" si="13"/>
        <v>0</v>
      </c>
      <c r="O119">
        <f t="shared" si="14"/>
        <v>3788.9345000000008</v>
      </c>
      <c r="P119">
        <f t="shared" si="15"/>
        <v>947.23362500000019</v>
      </c>
      <c r="Q119">
        <f t="shared" si="16"/>
        <v>966.55719095000018</v>
      </c>
      <c r="R119">
        <f t="shared" si="17"/>
        <v>617.05240000000003</v>
      </c>
      <c r="S119">
        <f t="shared" si="10"/>
        <v>5251.47</v>
      </c>
    </row>
    <row r="120" spans="1:19" x14ac:dyDescent="0.25">
      <c r="A120">
        <v>250</v>
      </c>
      <c r="B120">
        <v>1259</v>
      </c>
      <c r="C120" t="s">
        <v>32</v>
      </c>
      <c r="D120" t="s">
        <v>172</v>
      </c>
      <c r="E120">
        <v>12</v>
      </c>
      <c r="F120">
        <v>18.02</v>
      </c>
      <c r="G120">
        <v>12.81</v>
      </c>
      <c r="H120">
        <v>29.6</v>
      </c>
      <c r="I120">
        <v>0.99</v>
      </c>
      <c r="J120">
        <v>378.24</v>
      </c>
      <c r="K120">
        <f t="shared" si="11"/>
        <v>4538.88</v>
      </c>
      <c r="L120">
        <f t="shared" si="12"/>
        <v>0</v>
      </c>
      <c r="M120">
        <f t="shared" si="9"/>
        <v>0</v>
      </c>
      <c r="N120">
        <f t="shared" si="13"/>
        <v>0</v>
      </c>
      <c r="O120">
        <f t="shared" si="14"/>
        <v>2770.0344</v>
      </c>
      <c r="P120">
        <f t="shared" si="15"/>
        <v>692.5086</v>
      </c>
      <c r="Q120">
        <f t="shared" si="16"/>
        <v>706.63577543999997</v>
      </c>
      <c r="R120">
        <f t="shared" si="17"/>
        <v>351.64799999999997</v>
      </c>
      <c r="S120">
        <f t="shared" si="10"/>
        <v>4538.88</v>
      </c>
    </row>
    <row r="121" spans="1:19" x14ac:dyDescent="0.25">
      <c r="A121">
        <v>251</v>
      </c>
      <c r="B121">
        <v>1259</v>
      </c>
      <c r="C121" t="s">
        <v>32</v>
      </c>
      <c r="D121" t="s">
        <v>173</v>
      </c>
      <c r="E121">
        <v>13</v>
      </c>
      <c r="F121">
        <v>15.04</v>
      </c>
      <c r="G121">
        <v>3.1</v>
      </c>
      <c r="H121">
        <v>30.22</v>
      </c>
      <c r="I121">
        <v>0.78</v>
      </c>
      <c r="J121">
        <v>90.04</v>
      </c>
      <c r="K121">
        <f t="shared" si="11"/>
        <v>1170.52</v>
      </c>
      <c r="L121">
        <f t="shared" si="12"/>
        <v>1170.52</v>
      </c>
      <c r="M121">
        <f t="shared" si="9"/>
        <v>606.11200000000008</v>
      </c>
      <c r="N121">
        <f t="shared" si="13"/>
        <v>151.52800000000002</v>
      </c>
      <c r="O121">
        <f t="shared" si="14"/>
        <v>606.11200000000008</v>
      </c>
      <c r="P121">
        <f t="shared" si="15"/>
        <v>151.52800000000002</v>
      </c>
      <c r="Q121">
        <f t="shared" si="16"/>
        <v>154.61917120000001</v>
      </c>
      <c r="R121">
        <f t="shared" si="17"/>
        <v>306.43080000000003</v>
      </c>
      <c r="S121">
        <f t="shared" si="10"/>
        <v>1170.52</v>
      </c>
    </row>
    <row r="122" spans="1:19" x14ac:dyDescent="0.25">
      <c r="A122">
        <v>252</v>
      </c>
      <c r="B122">
        <v>1259</v>
      </c>
      <c r="C122" t="s">
        <v>32</v>
      </c>
      <c r="D122" t="s">
        <v>173</v>
      </c>
      <c r="E122">
        <v>16</v>
      </c>
      <c r="F122">
        <v>16.55</v>
      </c>
      <c r="G122">
        <v>2.7</v>
      </c>
      <c r="H122">
        <v>30.34</v>
      </c>
      <c r="I122">
        <v>0.77</v>
      </c>
      <c r="J122">
        <v>87.14</v>
      </c>
      <c r="K122">
        <f t="shared" si="11"/>
        <v>1394.24</v>
      </c>
      <c r="L122">
        <f t="shared" si="12"/>
        <v>1394.24</v>
      </c>
      <c r="M122">
        <f t="shared" si="9"/>
        <v>714.96</v>
      </c>
      <c r="N122">
        <f t="shared" si="13"/>
        <v>178.74</v>
      </c>
      <c r="O122">
        <f t="shared" si="14"/>
        <v>714.96</v>
      </c>
      <c r="P122">
        <f t="shared" si="15"/>
        <v>178.74</v>
      </c>
      <c r="Q122">
        <f t="shared" si="16"/>
        <v>182.38629600000002</v>
      </c>
      <c r="R122">
        <f t="shared" si="17"/>
        <v>373.78879999999998</v>
      </c>
      <c r="S122">
        <f t="shared" si="10"/>
        <v>1394.24</v>
      </c>
    </row>
    <row r="123" spans="1:19" x14ac:dyDescent="0.25">
      <c r="A123">
        <v>253</v>
      </c>
      <c r="B123">
        <v>1259</v>
      </c>
      <c r="C123" t="s">
        <v>32</v>
      </c>
      <c r="D123" t="s">
        <v>172</v>
      </c>
      <c r="E123">
        <v>20</v>
      </c>
      <c r="F123">
        <v>19.059999999999999</v>
      </c>
      <c r="G123">
        <v>11.51</v>
      </c>
      <c r="H123">
        <v>31.31</v>
      </c>
      <c r="I123">
        <v>1.04</v>
      </c>
      <c r="J123">
        <v>365.08</v>
      </c>
      <c r="K123">
        <f t="shared" si="11"/>
        <v>7301.5999999999995</v>
      </c>
      <c r="L123">
        <f t="shared" si="12"/>
        <v>0</v>
      </c>
      <c r="M123">
        <f t="shared" si="9"/>
        <v>0</v>
      </c>
      <c r="N123">
        <f t="shared" si="13"/>
        <v>0</v>
      </c>
      <c r="O123">
        <f t="shared" si="14"/>
        <v>4387.6119999999992</v>
      </c>
      <c r="P123">
        <f t="shared" si="15"/>
        <v>1096.9029999999998</v>
      </c>
      <c r="Q123">
        <f t="shared" si="16"/>
        <v>1119.2798211999998</v>
      </c>
      <c r="R123">
        <f t="shared" si="17"/>
        <v>651.24800000000005</v>
      </c>
      <c r="S123">
        <f t="shared" si="10"/>
        <v>7301.5999999999995</v>
      </c>
    </row>
    <row r="124" spans="1:19" x14ac:dyDescent="0.25">
      <c r="A124">
        <v>254</v>
      </c>
      <c r="B124">
        <v>1259</v>
      </c>
      <c r="C124" t="s">
        <v>32</v>
      </c>
      <c r="D124" t="s">
        <v>172</v>
      </c>
      <c r="E124">
        <v>21</v>
      </c>
      <c r="F124">
        <v>18.93</v>
      </c>
      <c r="G124">
        <v>11.3</v>
      </c>
      <c r="H124">
        <v>31.92</v>
      </c>
      <c r="I124">
        <v>1.03</v>
      </c>
      <c r="J124">
        <v>288.85000000000002</v>
      </c>
      <c r="K124">
        <f t="shared" si="11"/>
        <v>6065.85</v>
      </c>
      <c r="L124">
        <f t="shared" si="12"/>
        <v>0</v>
      </c>
      <c r="M124">
        <f t="shared" si="9"/>
        <v>0</v>
      </c>
      <c r="N124">
        <f t="shared" si="13"/>
        <v>0</v>
      </c>
      <c r="O124">
        <f t="shared" si="14"/>
        <v>4492.0889999999999</v>
      </c>
      <c r="P124">
        <f t="shared" si="15"/>
        <v>1123.02225</v>
      </c>
      <c r="Q124">
        <f t="shared" si="16"/>
        <v>1145.9319039</v>
      </c>
      <c r="R124">
        <f t="shared" si="17"/>
        <v>690.42960000000005</v>
      </c>
      <c r="S124">
        <f t="shared" si="10"/>
        <v>6065.85</v>
      </c>
    </row>
    <row r="125" spans="1:19" x14ac:dyDescent="0.25">
      <c r="A125">
        <v>255</v>
      </c>
      <c r="B125">
        <v>1259</v>
      </c>
      <c r="C125" t="s">
        <v>32</v>
      </c>
      <c r="D125" t="s">
        <v>173</v>
      </c>
      <c r="E125">
        <v>16</v>
      </c>
      <c r="F125">
        <v>15.44</v>
      </c>
      <c r="G125">
        <v>2.82</v>
      </c>
      <c r="H125">
        <v>31.83</v>
      </c>
      <c r="I125">
        <v>0.79</v>
      </c>
      <c r="J125">
        <v>87.53</v>
      </c>
      <c r="K125">
        <f t="shared" si="11"/>
        <v>1400.48</v>
      </c>
      <c r="L125">
        <f t="shared" si="12"/>
        <v>1400.48</v>
      </c>
      <c r="M125">
        <f t="shared" si="9"/>
        <v>696.65279999999996</v>
      </c>
      <c r="N125">
        <f t="shared" si="13"/>
        <v>174.16319999999999</v>
      </c>
      <c r="O125">
        <f t="shared" si="14"/>
        <v>696.65279999999996</v>
      </c>
      <c r="P125">
        <f t="shared" si="15"/>
        <v>174.16319999999999</v>
      </c>
      <c r="Q125">
        <f t="shared" si="16"/>
        <v>177.71612927999999</v>
      </c>
      <c r="R125">
        <f t="shared" si="17"/>
        <v>402.33120000000002</v>
      </c>
      <c r="S125">
        <f t="shared" si="10"/>
        <v>1400.48</v>
      </c>
    </row>
    <row r="126" spans="1:19" x14ac:dyDescent="0.25">
      <c r="A126">
        <v>256</v>
      </c>
      <c r="B126">
        <v>1259</v>
      </c>
      <c r="C126" t="s">
        <v>32</v>
      </c>
      <c r="D126" t="s">
        <v>173</v>
      </c>
      <c r="E126">
        <v>10</v>
      </c>
      <c r="F126">
        <v>14.1</v>
      </c>
      <c r="G126">
        <v>2.87</v>
      </c>
      <c r="H126">
        <v>29.39</v>
      </c>
      <c r="I126">
        <v>0.78</v>
      </c>
      <c r="J126">
        <v>80.86</v>
      </c>
      <c r="K126">
        <f t="shared" si="11"/>
        <v>808.6</v>
      </c>
      <c r="L126">
        <f t="shared" si="12"/>
        <v>808.6</v>
      </c>
      <c r="M126">
        <f t="shared" si="9"/>
        <v>404.67</v>
      </c>
      <c r="N126">
        <f t="shared" si="13"/>
        <v>101.1675</v>
      </c>
      <c r="O126">
        <f t="shared" si="14"/>
        <v>404.67</v>
      </c>
      <c r="P126">
        <f t="shared" si="15"/>
        <v>101.1675</v>
      </c>
      <c r="Q126">
        <f t="shared" si="16"/>
        <v>103.231317</v>
      </c>
      <c r="R126">
        <f t="shared" si="17"/>
        <v>229.24200000000002</v>
      </c>
      <c r="S126">
        <f t="shared" si="10"/>
        <v>808.6</v>
      </c>
    </row>
    <row r="127" spans="1:19" x14ac:dyDescent="0.25">
      <c r="A127">
        <v>257</v>
      </c>
      <c r="B127">
        <v>1259</v>
      </c>
      <c r="C127" t="s">
        <v>32</v>
      </c>
      <c r="D127" t="s">
        <v>172</v>
      </c>
      <c r="E127">
        <v>19</v>
      </c>
      <c r="F127">
        <v>19.920000000000002</v>
      </c>
      <c r="G127">
        <v>12.08</v>
      </c>
      <c r="H127">
        <v>34.94</v>
      </c>
      <c r="I127">
        <v>1.05</v>
      </c>
      <c r="J127">
        <v>401.6</v>
      </c>
      <c r="K127">
        <f t="shared" si="11"/>
        <v>7630.4000000000005</v>
      </c>
      <c r="L127">
        <f t="shared" si="12"/>
        <v>0</v>
      </c>
      <c r="M127">
        <f t="shared" si="9"/>
        <v>0</v>
      </c>
      <c r="N127">
        <f t="shared" si="13"/>
        <v>0</v>
      </c>
      <c r="O127">
        <f t="shared" si="14"/>
        <v>4572.0384000000004</v>
      </c>
      <c r="P127">
        <f t="shared" si="15"/>
        <v>1143.0096000000001</v>
      </c>
      <c r="Q127">
        <f t="shared" si="16"/>
        <v>1166.3269958400001</v>
      </c>
      <c r="R127">
        <f t="shared" si="17"/>
        <v>697.05299999999988</v>
      </c>
      <c r="S127">
        <f t="shared" si="10"/>
        <v>7630.4000000000005</v>
      </c>
    </row>
    <row r="128" spans="1:19" x14ac:dyDescent="0.25">
      <c r="A128">
        <v>258</v>
      </c>
      <c r="B128">
        <v>1260</v>
      </c>
      <c r="C128" t="s">
        <v>34</v>
      </c>
      <c r="D128" t="s">
        <v>172</v>
      </c>
      <c r="E128">
        <v>13</v>
      </c>
      <c r="F128">
        <v>21.36</v>
      </c>
      <c r="G128">
        <v>11.71</v>
      </c>
      <c r="H128">
        <v>35.950000000000003</v>
      </c>
      <c r="I128">
        <v>1.07</v>
      </c>
      <c r="J128">
        <v>417.84</v>
      </c>
      <c r="K128">
        <f t="shared" si="11"/>
        <v>5431.92</v>
      </c>
      <c r="L128">
        <f t="shared" si="12"/>
        <v>0</v>
      </c>
      <c r="M128">
        <f t="shared" si="9"/>
        <v>0</v>
      </c>
      <c r="N128">
        <f t="shared" si="13"/>
        <v>0</v>
      </c>
      <c r="O128">
        <f t="shared" si="14"/>
        <v>3251.6328000000003</v>
      </c>
      <c r="P128">
        <f t="shared" si="15"/>
        <v>812.90820000000008</v>
      </c>
      <c r="Q128">
        <f t="shared" si="16"/>
        <v>829.49152728000001</v>
      </c>
      <c r="R128">
        <f t="shared" si="17"/>
        <v>500.06450000000007</v>
      </c>
      <c r="S128">
        <f t="shared" si="10"/>
        <v>5431.92</v>
      </c>
    </row>
    <row r="129" spans="1:19" x14ac:dyDescent="0.25">
      <c r="A129">
        <v>259</v>
      </c>
      <c r="B129">
        <v>1260</v>
      </c>
      <c r="C129" t="s">
        <v>34</v>
      </c>
      <c r="D129" t="s">
        <v>173</v>
      </c>
      <c r="E129">
        <v>7</v>
      </c>
      <c r="F129">
        <v>14.88</v>
      </c>
      <c r="G129">
        <v>2.7</v>
      </c>
      <c r="H129">
        <v>37.04</v>
      </c>
      <c r="I129">
        <v>0.83</v>
      </c>
      <c r="J129">
        <v>89.06</v>
      </c>
      <c r="K129">
        <f t="shared" si="11"/>
        <v>623.42000000000007</v>
      </c>
      <c r="L129">
        <f t="shared" si="12"/>
        <v>623.42000000000007</v>
      </c>
      <c r="M129">
        <f t="shared" si="9"/>
        <v>281.23200000000003</v>
      </c>
      <c r="N129">
        <f t="shared" si="13"/>
        <v>70.308000000000007</v>
      </c>
      <c r="O129">
        <f t="shared" si="14"/>
        <v>281.23200000000003</v>
      </c>
      <c r="P129">
        <f t="shared" si="15"/>
        <v>70.308000000000007</v>
      </c>
      <c r="Q129">
        <f t="shared" si="16"/>
        <v>71.742283200000003</v>
      </c>
      <c r="R129">
        <f t="shared" si="17"/>
        <v>215.20239999999998</v>
      </c>
      <c r="S129">
        <f t="shared" si="10"/>
        <v>623.42000000000007</v>
      </c>
    </row>
    <row r="130" spans="1:19" x14ac:dyDescent="0.25">
      <c r="A130">
        <v>260</v>
      </c>
      <c r="B130">
        <v>1260</v>
      </c>
      <c r="C130" t="s">
        <v>34</v>
      </c>
      <c r="D130" t="s">
        <v>172</v>
      </c>
      <c r="E130">
        <v>17</v>
      </c>
      <c r="F130">
        <v>21.28</v>
      </c>
      <c r="G130">
        <v>10.55</v>
      </c>
      <c r="H130">
        <v>32.42</v>
      </c>
      <c r="I130">
        <v>1.01</v>
      </c>
      <c r="J130">
        <v>372.92</v>
      </c>
      <c r="K130">
        <f t="shared" si="11"/>
        <v>6339.64</v>
      </c>
      <c r="L130">
        <f t="shared" si="12"/>
        <v>0</v>
      </c>
      <c r="M130">
        <f t="shared" ref="M130:M193" si="18">IF(D130="SHOES",O130,0)</f>
        <v>0</v>
      </c>
      <c r="N130">
        <f t="shared" si="13"/>
        <v>0</v>
      </c>
      <c r="O130">
        <f t="shared" si="14"/>
        <v>3816.5680000000007</v>
      </c>
      <c r="P130">
        <f t="shared" si="15"/>
        <v>954.14200000000017</v>
      </c>
      <c r="Q130">
        <f t="shared" si="16"/>
        <v>973.60649680000017</v>
      </c>
      <c r="R130">
        <f t="shared" si="17"/>
        <v>556.65140000000008</v>
      </c>
      <c r="S130">
        <f t="shared" ref="S130:S193" si="19">PRODUCT(J130,E130)</f>
        <v>6339.64</v>
      </c>
    </row>
    <row r="131" spans="1:19" x14ac:dyDescent="0.25">
      <c r="A131">
        <v>261</v>
      </c>
      <c r="B131">
        <v>1260</v>
      </c>
      <c r="C131" t="s">
        <v>34</v>
      </c>
      <c r="D131" t="s">
        <v>172</v>
      </c>
      <c r="E131">
        <v>12</v>
      </c>
      <c r="F131">
        <v>20.420000000000002</v>
      </c>
      <c r="G131">
        <v>11.2</v>
      </c>
      <c r="H131">
        <v>32.85</v>
      </c>
      <c r="I131">
        <v>1.08</v>
      </c>
      <c r="J131">
        <v>382.42</v>
      </c>
      <c r="K131">
        <f t="shared" ref="K131:K194" si="20">E131*J131</f>
        <v>4589.04</v>
      </c>
      <c r="L131">
        <f t="shared" ref="L131:L194" si="21">IF(D131="SHOES",E131*J131,0)</f>
        <v>0</v>
      </c>
      <c r="M131">
        <f t="shared" si="18"/>
        <v>0</v>
      </c>
      <c r="N131">
        <f t="shared" ref="N131:N194" si="22">IF(D131="SHOES",P131,0)</f>
        <v>0</v>
      </c>
      <c r="O131">
        <f t="shared" ref="O131:O194" si="23">PRODUCT(E131,G131,F131)</f>
        <v>2744.4479999999999</v>
      </c>
      <c r="P131">
        <f t="shared" ref="P131:P194" si="24">PRODUCT(O131,0.25)</f>
        <v>686.11199999999997</v>
      </c>
      <c r="Q131">
        <f t="shared" ref="Q131:Q194" si="25">PRODUCT(O131,0.2551)</f>
        <v>700.10868479999999</v>
      </c>
      <c r="R131">
        <f t="shared" ref="R131:R194" si="26">PRODUCT(E131,I131,H131)</f>
        <v>425.73600000000005</v>
      </c>
      <c r="S131">
        <f t="shared" si="19"/>
        <v>4589.04</v>
      </c>
    </row>
    <row r="132" spans="1:19" x14ac:dyDescent="0.25">
      <c r="A132">
        <v>262</v>
      </c>
      <c r="B132">
        <v>1260</v>
      </c>
      <c r="C132" t="s">
        <v>34</v>
      </c>
      <c r="D132" t="s">
        <v>173</v>
      </c>
      <c r="E132">
        <v>20</v>
      </c>
      <c r="F132">
        <v>15.13</v>
      </c>
      <c r="G132">
        <v>3.02</v>
      </c>
      <c r="H132">
        <v>29.04</v>
      </c>
      <c r="I132">
        <v>0.77</v>
      </c>
      <c r="J132">
        <v>87.42</v>
      </c>
      <c r="K132">
        <f t="shared" si="20"/>
        <v>1748.4</v>
      </c>
      <c r="L132">
        <f t="shared" si="21"/>
        <v>1748.4</v>
      </c>
      <c r="M132">
        <f t="shared" si="18"/>
        <v>913.85199999999998</v>
      </c>
      <c r="N132">
        <f t="shared" si="22"/>
        <v>228.46299999999999</v>
      </c>
      <c r="O132">
        <f t="shared" si="23"/>
        <v>913.85199999999998</v>
      </c>
      <c r="P132">
        <f t="shared" si="24"/>
        <v>228.46299999999999</v>
      </c>
      <c r="Q132">
        <f t="shared" si="25"/>
        <v>233.1236452</v>
      </c>
      <c r="R132">
        <f t="shared" si="26"/>
        <v>447.21600000000001</v>
      </c>
      <c r="S132">
        <f t="shared" si="19"/>
        <v>1748.4</v>
      </c>
    </row>
    <row r="133" spans="1:19" x14ac:dyDescent="0.25">
      <c r="A133">
        <v>263</v>
      </c>
      <c r="B133">
        <v>1260</v>
      </c>
      <c r="C133" t="s">
        <v>34</v>
      </c>
      <c r="D133" t="s">
        <v>172</v>
      </c>
      <c r="E133">
        <v>16</v>
      </c>
      <c r="F133">
        <v>18.489999999999998</v>
      </c>
      <c r="G133">
        <v>9.14</v>
      </c>
      <c r="H133">
        <v>40.21</v>
      </c>
      <c r="I133">
        <v>1.02</v>
      </c>
      <c r="J133">
        <v>300.19</v>
      </c>
      <c r="K133">
        <f t="shared" si="20"/>
        <v>4803.04</v>
      </c>
      <c r="L133">
        <f t="shared" si="21"/>
        <v>0</v>
      </c>
      <c r="M133">
        <f t="shared" si="18"/>
        <v>0</v>
      </c>
      <c r="N133">
        <f t="shared" si="22"/>
        <v>0</v>
      </c>
      <c r="O133">
        <f t="shared" si="23"/>
        <v>2703.9776000000002</v>
      </c>
      <c r="P133">
        <f t="shared" si="24"/>
        <v>675.99440000000004</v>
      </c>
      <c r="Q133">
        <f t="shared" si="25"/>
        <v>689.78468576</v>
      </c>
      <c r="R133">
        <f t="shared" si="26"/>
        <v>656.22720000000004</v>
      </c>
      <c r="S133">
        <f t="shared" si="19"/>
        <v>4803.04</v>
      </c>
    </row>
    <row r="134" spans="1:19" x14ac:dyDescent="0.25">
      <c r="A134">
        <v>264</v>
      </c>
      <c r="B134">
        <v>1260</v>
      </c>
      <c r="C134" t="s">
        <v>34</v>
      </c>
      <c r="D134" t="s">
        <v>172</v>
      </c>
      <c r="E134">
        <v>26</v>
      </c>
      <c r="F134">
        <v>20.260000000000002</v>
      </c>
      <c r="G134">
        <v>11.3</v>
      </c>
      <c r="H134">
        <v>28.65</v>
      </c>
      <c r="I134">
        <v>1.1000000000000001</v>
      </c>
      <c r="J134">
        <v>378.05</v>
      </c>
      <c r="K134">
        <f t="shared" si="20"/>
        <v>9829.3000000000011</v>
      </c>
      <c r="L134">
        <f t="shared" si="21"/>
        <v>0</v>
      </c>
      <c r="M134">
        <f t="shared" si="18"/>
        <v>0</v>
      </c>
      <c r="N134">
        <f t="shared" si="22"/>
        <v>0</v>
      </c>
      <c r="O134">
        <f t="shared" si="23"/>
        <v>5952.3880000000008</v>
      </c>
      <c r="P134">
        <f t="shared" si="24"/>
        <v>1488.0970000000002</v>
      </c>
      <c r="Q134">
        <f t="shared" si="25"/>
        <v>1518.4541788000001</v>
      </c>
      <c r="R134">
        <f t="shared" si="26"/>
        <v>819.39</v>
      </c>
      <c r="S134">
        <f t="shared" si="19"/>
        <v>9829.3000000000011</v>
      </c>
    </row>
    <row r="135" spans="1:19" x14ac:dyDescent="0.25">
      <c r="A135">
        <v>265</v>
      </c>
      <c r="B135">
        <v>1260</v>
      </c>
      <c r="C135" t="s">
        <v>34</v>
      </c>
      <c r="D135" t="s">
        <v>172</v>
      </c>
      <c r="E135">
        <v>13</v>
      </c>
      <c r="F135">
        <v>19.989999999999998</v>
      </c>
      <c r="G135">
        <v>10.79</v>
      </c>
      <c r="H135">
        <v>31.56</v>
      </c>
      <c r="I135">
        <v>0.86</v>
      </c>
      <c r="J135">
        <v>353.14</v>
      </c>
      <c r="K135">
        <f t="shared" si="20"/>
        <v>4590.82</v>
      </c>
      <c r="L135">
        <f t="shared" si="21"/>
        <v>0</v>
      </c>
      <c r="M135">
        <f t="shared" si="18"/>
        <v>0</v>
      </c>
      <c r="N135">
        <f t="shared" si="22"/>
        <v>0</v>
      </c>
      <c r="O135">
        <f t="shared" si="23"/>
        <v>2803.9972999999995</v>
      </c>
      <c r="P135">
        <f t="shared" si="24"/>
        <v>700.99932499999989</v>
      </c>
      <c r="Q135">
        <f t="shared" si="25"/>
        <v>715.29971122999984</v>
      </c>
      <c r="R135">
        <f t="shared" si="26"/>
        <v>352.8408</v>
      </c>
      <c r="S135">
        <f t="shared" si="19"/>
        <v>4590.82</v>
      </c>
    </row>
    <row r="136" spans="1:19" x14ac:dyDescent="0.25">
      <c r="A136">
        <v>266</v>
      </c>
      <c r="B136">
        <v>1260</v>
      </c>
      <c r="C136" t="s">
        <v>34</v>
      </c>
      <c r="D136" t="s">
        <v>173</v>
      </c>
      <c r="E136">
        <v>22</v>
      </c>
      <c r="F136">
        <v>14.24</v>
      </c>
      <c r="G136">
        <v>3.35</v>
      </c>
      <c r="H136">
        <v>30.93</v>
      </c>
      <c r="I136">
        <v>0.82</v>
      </c>
      <c r="J136">
        <v>93.49</v>
      </c>
      <c r="K136">
        <f t="shared" si="20"/>
        <v>2056.7799999999997</v>
      </c>
      <c r="L136">
        <f t="shared" si="21"/>
        <v>2056.7799999999997</v>
      </c>
      <c r="M136">
        <f t="shared" si="18"/>
        <v>1049.4880000000001</v>
      </c>
      <c r="N136">
        <f t="shared" si="22"/>
        <v>262.37200000000001</v>
      </c>
      <c r="O136">
        <f t="shared" si="23"/>
        <v>1049.4880000000001</v>
      </c>
      <c r="P136">
        <f t="shared" si="24"/>
        <v>262.37200000000001</v>
      </c>
      <c r="Q136">
        <f t="shared" si="25"/>
        <v>267.72438879999999</v>
      </c>
      <c r="R136">
        <f t="shared" si="26"/>
        <v>557.97719999999993</v>
      </c>
      <c r="S136">
        <f t="shared" si="19"/>
        <v>2056.7799999999997</v>
      </c>
    </row>
    <row r="137" spans="1:19" x14ac:dyDescent="0.25">
      <c r="A137">
        <v>267</v>
      </c>
      <c r="B137">
        <v>1260</v>
      </c>
      <c r="C137" t="s">
        <v>34</v>
      </c>
      <c r="D137" t="s">
        <v>172</v>
      </c>
      <c r="E137">
        <v>14</v>
      </c>
      <c r="F137">
        <v>19.36</v>
      </c>
      <c r="G137">
        <v>10.11</v>
      </c>
      <c r="H137">
        <v>32.630000000000003</v>
      </c>
      <c r="I137">
        <v>1.03</v>
      </c>
      <c r="J137">
        <v>331.14</v>
      </c>
      <c r="K137">
        <f t="shared" si="20"/>
        <v>4635.96</v>
      </c>
      <c r="L137">
        <f t="shared" si="21"/>
        <v>0</v>
      </c>
      <c r="M137">
        <f t="shared" si="18"/>
        <v>0</v>
      </c>
      <c r="N137">
        <f t="shared" si="22"/>
        <v>0</v>
      </c>
      <c r="O137">
        <f t="shared" si="23"/>
        <v>2740.2143999999998</v>
      </c>
      <c r="P137">
        <f t="shared" si="24"/>
        <v>685.05359999999996</v>
      </c>
      <c r="Q137">
        <f t="shared" si="25"/>
        <v>699.02869343999998</v>
      </c>
      <c r="R137">
        <f t="shared" si="26"/>
        <v>470.52460000000002</v>
      </c>
      <c r="S137">
        <f t="shared" si="19"/>
        <v>4635.96</v>
      </c>
    </row>
    <row r="138" spans="1:19" x14ac:dyDescent="0.25">
      <c r="A138">
        <v>268</v>
      </c>
      <c r="B138">
        <v>1260</v>
      </c>
      <c r="C138" t="s">
        <v>34</v>
      </c>
      <c r="D138" t="s">
        <v>173</v>
      </c>
      <c r="E138">
        <v>11</v>
      </c>
      <c r="F138">
        <v>16.43</v>
      </c>
      <c r="G138">
        <v>2.93</v>
      </c>
      <c r="H138">
        <v>30.81</v>
      </c>
      <c r="I138">
        <v>0.77</v>
      </c>
      <c r="J138">
        <v>92.29</v>
      </c>
      <c r="K138">
        <f t="shared" si="20"/>
        <v>1015.19</v>
      </c>
      <c r="L138">
        <f t="shared" si="21"/>
        <v>1015.19</v>
      </c>
      <c r="M138">
        <f t="shared" si="18"/>
        <v>529.53890000000001</v>
      </c>
      <c r="N138">
        <f t="shared" si="22"/>
        <v>132.384725</v>
      </c>
      <c r="O138">
        <f t="shared" si="23"/>
        <v>529.53890000000001</v>
      </c>
      <c r="P138">
        <f t="shared" si="24"/>
        <v>132.384725</v>
      </c>
      <c r="Q138">
        <f t="shared" si="25"/>
        <v>135.08537339</v>
      </c>
      <c r="R138">
        <f t="shared" si="26"/>
        <v>260.96070000000003</v>
      </c>
      <c r="S138">
        <f t="shared" si="19"/>
        <v>1015.19</v>
      </c>
    </row>
    <row r="139" spans="1:19" x14ac:dyDescent="0.25">
      <c r="A139">
        <v>269</v>
      </c>
      <c r="B139">
        <v>1260</v>
      </c>
      <c r="C139" t="s">
        <v>34</v>
      </c>
      <c r="D139" t="s">
        <v>173</v>
      </c>
      <c r="E139">
        <v>10</v>
      </c>
      <c r="F139">
        <v>14.62</v>
      </c>
      <c r="G139">
        <v>2.79</v>
      </c>
      <c r="H139">
        <v>35.85</v>
      </c>
      <c r="I139">
        <v>0.78</v>
      </c>
      <c r="J139">
        <v>86.84</v>
      </c>
      <c r="K139">
        <f t="shared" si="20"/>
        <v>868.40000000000009</v>
      </c>
      <c r="L139">
        <f t="shared" si="21"/>
        <v>868.40000000000009</v>
      </c>
      <c r="M139">
        <f t="shared" si="18"/>
        <v>407.89799999999997</v>
      </c>
      <c r="N139">
        <f t="shared" si="22"/>
        <v>101.97449999999999</v>
      </c>
      <c r="O139">
        <f t="shared" si="23"/>
        <v>407.89799999999997</v>
      </c>
      <c r="P139">
        <f t="shared" si="24"/>
        <v>101.97449999999999</v>
      </c>
      <c r="Q139">
        <f t="shared" si="25"/>
        <v>104.05477979999999</v>
      </c>
      <c r="R139">
        <f t="shared" si="26"/>
        <v>279.63000000000005</v>
      </c>
      <c r="S139">
        <f t="shared" si="19"/>
        <v>868.40000000000009</v>
      </c>
    </row>
    <row r="140" spans="1:19" x14ac:dyDescent="0.25">
      <c r="A140">
        <v>270</v>
      </c>
      <c r="B140">
        <v>1261</v>
      </c>
      <c r="C140" t="s">
        <v>33</v>
      </c>
      <c r="D140" t="s">
        <v>172</v>
      </c>
      <c r="E140">
        <v>17</v>
      </c>
      <c r="F140">
        <v>17.84</v>
      </c>
      <c r="G140">
        <v>9.8800000000000008</v>
      </c>
      <c r="H140">
        <v>27.53</v>
      </c>
      <c r="I140">
        <v>0.96</v>
      </c>
      <c r="J140">
        <v>293.64</v>
      </c>
      <c r="K140">
        <f t="shared" si="20"/>
        <v>4991.88</v>
      </c>
      <c r="L140">
        <f t="shared" si="21"/>
        <v>0</v>
      </c>
      <c r="M140">
        <f t="shared" si="18"/>
        <v>0</v>
      </c>
      <c r="N140">
        <f t="shared" si="22"/>
        <v>0</v>
      </c>
      <c r="O140">
        <f t="shared" si="23"/>
        <v>2996.4064000000003</v>
      </c>
      <c r="P140">
        <f t="shared" si="24"/>
        <v>749.10160000000008</v>
      </c>
      <c r="Q140">
        <f t="shared" si="25"/>
        <v>764.38327264000009</v>
      </c>
      <c r="R140">
        <f t="shared" si="26"/>
        <v>449.28960000000001</v>
      </c>
      <c r="S140">
        <f t="shared" si="19"/>
        <v>4991.88</v>
      </c>
    </row>
    <row r="141" spans="1:19" x14ac:dyDescent="0.25">
      <c r="A141">
        <v>271</v>
      </c>
      <c r="B141">
        <v>1261</v>
      </c>
      <c r="C141" t="s">
        <v>33</v>
      </c>
      <c r="D141" t="s">
        <v>173</v>
      </c>
      <c r="E141">
        <v>22</v>
      </c>
      <c r="F141">
        <v>12.43</v>
      </c>
      <c r="G141">
        <v>3.06</v>
      </c>
      <c r="H141">
        <v>25.34</v>
      </c>
      <c r="I141">
        <v>0.79</v>
      </c>
      <c r="J141">
        <v>74.319999999999993</v>
      </c>
      <c r="K141">
        <f t="shared" si="20"/>
        <v>1635.04</v>
      </c>
      <c r="L141">
        <f t="shared" si="21"/>
        <v>1635.04</v>
      </c>
      <c r="M141">
        <f t="shared" si="18"/>
        <v>836.78760000000011</v>
      </c>
      <c r="N141">
        <f t="shared" si="22"/>
        <v>209.19690000000003</v>
      </c>
      <c r="O141">
        <f t="shared" si="23"/>
        <v>836.78760000000011</v>
      </c>
      <c r="P141">
        <f t="shared" si="24"/>
        <v>209.19690000000003</v>
      </c>
      <c r="Q141">
        <f t="shared" si="25"/>
        <v>213.46451676000001</v>
      </c>
      <c r="R141">
        <f t="shared" si="26"/>
        <v>440.40920000000006</v>
      </c>
      <c r="S141">
        <f t="shared" si="19"/>
        <v>1635.04</v>
      </c>
    </row>
    <row r="142" spans="1:19" x14ac:dyDescent="0.25">
      <c r="A142">
        <v>272</v>
      </c>
      <c r="B142">
        <v>1261</v>
      </c>
      <c r="C142" t="s">
        <v>33</v>
      </c>
      <c r="D142" t="s">
        <v>173</v>
      </c>
      <c r="E142">
        <v>28</v>
      </c>
      <c r="F142">
        <v>16.39</v>
      </c>
      <c r="G142">
        <v>2.76</v>
      </c>
      <c r="H142">
        <v>33.590000000000003</v>
      </c>
      <c r="I142">
        <v>0.84</v>
      </c>
      <c r="J142">
        <v>93.24</v>
      </c>
      <c r="K142">
        <f t="shared" si="20"/>
        <v>2610.7199999999998</v>
      </c>
      <c r="L142">
        <f t="shared" si="21"/>
        <v>2610.7199999999998</v>
      </c>
      <c r="M142">
        <f t="shared" si="18"/>
        <v>1266.6192000000001</v>
      </c>
      <c r="N142">
        <f t="shared" si="22"/>
        <v>316.65480000000002</v>
      </c>
      <c r="O142">
        <f t="shared" si="23"/>
        <v>1266.6192000000001</v>
      </c>
      <c r="P142">
        <f t="shared" si="24"/>
        <v>316.65480000000002</v>
      </c>
      <c r="Q142">
        <f t="shared" si="25"/>
        <v>323.11455792000004</v>
      </c>
      <c r="R142">
        <f t="shared" si="26"/>
        <v>790.03680000000008</v>
      </c>
      <c r="S142">
        <f t="shared" si="19"/>
        <v>2610.7199999999998</v>
      </c>
    </row>
    <row r="143" spans="1:19" x14ac:dyDescent="0.25">
      <c r="A143">
        <v>273</v>
      </c>
      <c r="B143">
        <v>1261</v>
      </c>
      <c r="C143" t="s">
        <v>33</v>
      </c>
      <c r="D143" t="s">
        <v>172</v>
      </c>
      <c r="E143">
        <v>41</v>
      </c>
      <c r="F143">
        <v>21.22</v>
      </c>
      <c r="G143">
        <v>10.18</v>
      </c>
      <c r="H143">
        <v>33.590000000000003</v>
      </c>
      <c r="I143">
        <v>1.03</v>
      </c>
      <c r="J143">
        <v>362.5</v>
      </c>
      <c r="K143">
        <f t="shared" si="20"/>
        <v>14862.5</v>
      </c>
      <c r="L143">
        <f t="shared" si="21"/>
        <v>0</v>
      </c>
      <c r="M143">
        <f t="shared" si="18"/>
        <v>0</v>
      </c>
      <c r="N143">
        <f t="shared" si="22"/>
        <v>0</v>
      </c>
      <c r="O143">
        <f t="shared" si="23"/>
        <v>8856.8035999999993</v>
      </c>
      <c r="P143">
        <f t="shared" si="24"/>
        <v>2214.2008999999998</v>
      </c>
      <c r="Q143">
        <f t="shared" si="25"/>
        <v>2259.3705983599998</v>
      </c>
      <c r="R143">
        <f t="shared" si="26"/>
        <v>1418.5057000000004</v>
      </c>
      <c r="S143">
        <f t="shared" si="19"/>
        <v>14862.5</v>
      </c>
    </row>
    <row r="144" spans="1:19" x14ac:dyDescent="0.25">
      <c r="A144">
        <v>274</v>
      </c>
      <c r="B144">
        <v>1261</v>
      </c>
      <c r="C144" t="s">
        <v>33</v>
      </c>
      <c r="D144" t="s">
        <v>173</v>
      </c>
      <c r="E144">
        <v>11</v>
      </c>
      <c r="F144">
        <v>15.26</v>
      </c>
      <c r="G144">
        <v>2.4900000000000002</v>
      </c>
      <c r="H144">
        <v>33.82</v>
      </c>
      <c r="I144">
        <v>0.82</v>
      </c>
      <c r="J144">
        <v>82.75</v>
      </c>
      <c r="K144">
        <f t="shared" si="20"/>
        <v>910.25</v>
      </c>
      <c r="L144">
        <f t="shared" si="21"/>
        <v>910.25</v>
      </c>
      <c r="M144">
        <f t="shared" si="18"/>
        <v>417.97140000000002</v>
      </c>
      <c r="N144">
        <f t="shared" si="22"/>
        <v>104.49285</v>
      </c>
      <c r="O144">
        <f t="shared" si="23"/>
        <v>417.97140000000002</v>
      </c>
      <c r="P144">
        <f t="shared" si="24"/>
        <v>104.49285</v>
      </c>
      <c r="Q144">
        <f t="shared" si="25"/>
        <v>106.62450414</v>
      </c>
      <c r="R144">
        <f t="shared" si="26"/>
        <v>305.0564</v>
      </c>
      <c r="S144">
        <f t="shared" si="19"/>
        <v>910.25</v>
      </c>
    </row>
    <row r="145" spans="1:19" x14ac:dyDescent="0.25">
      <c r="A145">
        <v>275</v>
      </c>
      <c r="B145">
        <v>1261</v>
      </c>
      <c r="C145" t="s">
        <v>33</v>
      </c>
      <c r="D145" t="s">
        <v>173</v>
      </c>
      <c r="E145">
        <v>11</v>
      </c>
      <c r="F145">
        <v>16.55</v>
      </c>
      <c r="G145">
        <v>2.82</v>
      </c>
      <c r="H145">
        <v>35.659999999999997</v>
      </c>
      <c r="I145">
        <v>0.8</v>
      </c>
      <c r="J145">
        <v>95.55</v>
      </c>
      <c r="K145">
        <f t="shared" si="20"/>
        <v>1051.05</v>
      </c>
      <c r="L145">
        <f t="shared" si="21"/>
        <v>1051.05</v>
      </c>
      <c r="M145">
        <f t="shared" si="18"/>
        <v>513.38099999999997</v>
      </c>
      <c r="N145">
        <f t="shared" si="22"/>
        <v>128.34524999999999</v>
      </c>
      <c r="O145">
        <f t="shared" si="23"/>
        <v>513.38099999999997</v>
      </c>
      <c r="P145">
        <f t="shared" si="24"/>
        <v>128.34524999999999</v>
      </c>
      <c r="Q145">
        <f t="shared" si="25"/>
        <v>130.96349309999999</v>
      </c>
      <c r="R145">
        <f t="shared" si="26"/>
        <v>313.80799999999999</v>
      </c>
      <c r="S145">
        <f t="shared" si="19"/>
        <v>1051.05</v>
      </c>
    </row>
    <row r="146" spans="1:19" x14ac:dyDescent="0.25">
      <c r="A146">
        <v>276</v>
      </c>
      <c r="B146">
        <v>1261</v>
      </c>
      <c r="C146" t="s">
        <v>33</v>
      </c>
      <c r="D146" t="s">
        <v>172</v>
      </c>
      <c r="E146">
        <v>12</v>
      </c>
      <c r="F146">
        <v>19.52</v>
      </c>
      <c r="G146">
        <v>11.64</v>
      </c>
      <c r="H146">
        <v>29.97</v>
      </c>
      <c r="I146">
        <v>0.94</v>
      </c>
      <c r="J146">
        <v>371.5</v>
      </c>
      <c r="K146">
        <f t="shared" si="20"/>
        <v>4458</v>
      </c>
      <c r="L146">
        <f t="shared" si="21"/>
        <v>0</v>
      </c>
      <c r="M146">
        <f t="shared" si="18"/>
        <v>0</v>
      </c>
      <c r="N146">
        <f t="shared" si="22"/>
        <v>0</v>
      </c>
      <c r="O146">
        <f t="shared" si="23"/>
        <v>2726.5536000000002</v>
      </c>
      <c r="P146">
        <f t="shared" si="24"/>
        <v>681.63840000000005</v>
      </c>
      <c r="Q146">
        <f t="shared" si="25"/>
        <v>695.54382336000003</v>
      </c>
      <c r="R146">
        <f t="shared" si="26"/>
        <v>338.06159999999994</v>
      </c>
      <c r="S146">
        <f t="shared" si="19"/>
        <v>4458</v>
      </c>
    </row>
    <row r="147" spans="1:19" x14ac:dyDescent="0.25">
      <c r="A147">
        <v>277</v>
      </c>
      <c r="B147">
        <v>1262</v>
      </c>
      <c r="C147" t="s">
        <v>33</v>
      </c>
      <c r="D147" t="s">
        <v>173</v>
      </c>
      <c r="E147">
        <v>13</v>
      </c>
      <c r="F147">
        <v>16.079999999999998</v>
      </c>
      <c r="G147">
        <v>2.86</v>
      </c>
      <c r="H147">
        <v>27.5</v>
      </c>
      <c r="I147">
        <v>0.81</v>
      </c>
      <c r="J147">
        <v>87.74</v>
      </c>
      <c r="K147">
        <f t="shared" si="20"/>
        <v>1140.6199999999999</v>
      </c>
      <c r="L147">
        <f t="shared" si="21"/>
        <v>1140.6199999999999</v>
      </c>
      <c r="M147">
        <f t="shared" si="18"/>
        <v>597.85439999999994</v>
      </c>
      <c r="N147">
        <f t="shared" si="22"/>
        <v>149.46359999999999</v>
      </c>
      <c r="O147">
        <f t="shared" si="23"/>
        <v>597.85439999999994</v>
      </c>
      <c r="P147">
        <f t="shared" si="24"/>
        <v>149.46359999999999</v>
      </c>
      <c r="Q147">
        <f t="shared" si="25"/>
        <v>152.51265743999997</v>
      </c>
      <c r="R147">
        <f t="shared" si="26"/>
        <v>289.57500000000005</v>
      </c>
      <c r="S147">
        <f t="shared" si="19"/>
        <v>1140.6199999999999</v>
      </c>
    </row>
    <row r="148" spans="1:19" x14ac:dyDescent="0.25">
      <c r="A148">
        <v>278</v>
      </c>
      <c r="B148">
        <v>1262</v>
      </c>
      <c r="C148" t="s">
        <v>33</v>
      </c>
      <c r="D148" t="s">
        <v>172</v>
      </c>
      <c r="E148">
        <v>25</v>
      </c>
      <c r="F148">
        <v>19.239999999999998</v>
      </c>
      <c r="G148">
        <v>10.7</v>
      </c>
      <c r="H148">
        <v>32.21</v>
      </c>
      <c r="I148">
        <v>1.05</v>
      </c>
      <c r="J148">
        <v>346.47</v>
      </c>
      <c r="K148">
        <f t="shared" si="20"/>
        <v>8661.75</v>
      </c>
      <c r="L148">
        <f t="shared" si="21"/>
        <v>0</v>
      </c>
      <c r="M148">
        <f t="shared" si="18"/>
        <v>0</v>
      </c>
      <c r="N148">
        <f t="shared" si="22"/>
        <v>0</v>
      </c>
      <c r="O148">
        <f t="shared" si="23"/>
        <v>5146.7</v>
      </c>
      <c r="P148">
        <f t="shared" si="24"/>
        <v>1286.675</v>
      </c>
      <c r="Q148">
        <f t="shared" si="25"/>
        <v>1312.92317</v>
      </c>
      <c r="R148">
        <f t="shared" si="26"/>
        <v>845.51250000000005</v>
      </c>
      <c r="S148">
        <f t="shared" si="19"/>
        <v>8661.75</v>
      </c>
    </row>
    <row r="149" spans="1:19" x14ac:dyDescent="0.25">
      <c r="A149">
        <v>279</v>
      </c>
      <c r="B149">
        <v>1262</v>
      </c>
      <c r="C149" t="s">
        <v>33</v>
      </c>
      <c r="D149" t="s">
        <v>172</v>
      </c>
      <c r="E149">
        <v>9</v>
      </c>
      <c r="F149">
        <v>18.739999999999998</v>
      </c>
      <c r="G149">
        <v>11.21</v>
      </c>
      <c r="H149">
        <v>33.71</v>
      </c>
      <c r="I149">
        <v>1.07</v>
      </c>
      <c r="J149">
        <v>355.41</v>
      </c>
      <c r="K149">
        <f t="shared" si="20"/>
        <v>3198.69</v>
      </c>
      <c r="L149">
        <f t="shared" si="21"/>
        <v>0</v>
      </c>
      <c r="M149">
        <f t="shared" si="18"/>
        <v>0</v>
      </c>
      <c r="N149">
        <f t="shared" si="22"/>
        <v>0</v>
      </c>
      <c r="O149">
        <f t="shared" si="23"/>
        <v>1890.6786000000002</v>
      </c>
      <c r="P149">
        <f t="shared" si="24"/>
        <v>472.66965000000005</v>
      </c>
      <c r="Q149">
        <f t="shared" si="25"/>
        <v>482.31211086000002</v>
      </c>
      <c r="R149">
        <f t="shared" si="26"/>
        <v>324.62730000000005</v>
      </c>
      <c r="S149">
        <f t="shared" si="19"/>
        <v>3198.69</v>
      </c>
    </row>
    <row r="150" spans="1:19" x14ac:dyDescent="0.25">
      <c r="A150">
        <v>280</v>
      </c>
      <c r="B150">
        <v>1262</v>
      </c>
      <c r="C150" t="s">
        <v>33</v>
      </c>
      <c r="D150" t="s">
        <v>173</v>
      </c>
      <c r="E150">
        <v>19</v>
      </c>
      <c r="F150">
        <v>14.2</v>
      </c>
      <c r="G150">
        <v>3.2</v>
      </c>
      <c r="H150">
        <v>30.04</v>
      </c>
      <c r="I150">
        <v>0.84</v>
      </c>
      <c r="J150">
        <v>90.24</v>
      </c>
      <c r="K150">
        <f t="shared" si="20"/>
        <v>1714.56</v>
      </c>
      <c r="L150">
        <f t="shared" si="21"/>
        <v>1714.56</v>
      </c>
      <c r="M150">
        <f t="shared" si="18"/>
        <v>863.36</v>
      </c>
      <c r="N150">
        <f t="shared" si="22"/>
        <v>215.84</v>
      </c>
      <c r="O150">
        <f t="shared" si="23"/>
        <v>863.36</v>
      </c>
      <c r="P150">
        <f t="shared" si="24"/>
        <v>215.84</v>
      </c>
      <c r="Q150">
        <f t="shared" si="25"/>
        <v>220.24313599999999</v>
      </c>
      <c r="R150">
        <f t="shared" si="26"/>
        <v>479.43839999999994</v>
      </c>
      <c r="S150">
        <f t="shared" si="19"/>
        <v>1714.56</v>
      </c>
    </row>
    <row r="151" spans="1:19" x14ac:dyDescent="0.25">
      <c r="A151">
        <v>281</v>
      </c>
      <c r="B151">
        <v>1262</v>
      </c>
      <c r="C151" t="s">
        <v>33</v>
      </c>
      <c r="D151" t="s">
        <v>172</v>
      </c>
      <c r="E151">
        <v>9</v>
      </c>
      <c r="F151">
        <v>21.32</v>
      </c>
      <c r="G151">
        <v>11.83</v>
      </c>
      <c r="H151">
        <v>31.11</v>
      </c>
      <c r="I151">
        <v>0.95</v>
      </c>
      <c r="J151">
        <v>410.34</v>
      </c>
      <c r="K151">
        <f t="shared" si="20"/>
        <v>3693.06</v>
      </c>
      <c r="L151">
        <f t="shared" si="21"/>
        <v>0</v>
      </c>
      <c r="M151">
        <f t="shared" si="18"/>
        <v>0</v>
      </c>
      <c r="N151">
        <f t="shared" si="22"/>
        <v>0</v>
      </c>
      <c r="O151">
        <f t="shared" si="23"/>
        <v>2269.9404</v>
      </c>
      <c r="P151">
        <f t="shared" si="24"/>
        <v>567.48509999999999</v>
      </c>
      <c r="Q151">
        <f t="shared" si="25"/>
        <v>579.06179603999999</v>
      </c>
      <c r="R151">
        <f t="shared" si="26"/>
        <v>265.99049999999994</v>
      </c>
      <c r="S151">
        <f t="shared" si="19"/>
        <v>3693.06</v>
      </c>
    </row>
    <row r="152" spans="1:19" x14ac:dyDescent="0.25">
      <c r="A152">
        <v>282</v>
      </c>
      <c r="B152">
        <v>1262</v>
      </c>
      <c r="C152" t="s">
        <v>33</v>
      </c>
      <c r="D152" t="s">
        <v>172</v>
      </c>
      <c r="E152">
        <v>12</v>
      </c>
      <c r="F152">
        <v>19.07</v>
      </c>
      <c r="G152">
        <v>10.72</v>
      </c>
      <c r="H152">
        <v>29.16</v>
      </c>
      <c r="I152">
        <v>1.02</v>
      </c>
      <c r="J152">
        <v>339.48</v>
      </c>
      <c r="K152">
        <f t="shared" si="20"/>
        <v>4073.76</v>
      </c>
      <c r="L152">
        <f t="shared" si="21"/>
        <v>0</v>
      </c>
      <c r="M152">
        <f t="shared" si="18"/>
        <v>0</v>
      </c>
      <c r="N152">
        <f t="shared" si="22"/>
        <v>0</v>
      </c>
      <c r="O152">
        <f t="shared" si="23"/>
        <v>2453.1648000000005</v>
      </c>
      <c r="P152">
        <f t="shared" si="24"/>
        <v>613.29120000000012</v>
      </c>
      <c r="Q152">
        <f t="shared" si="25"/>
        <v>625.80234048000011</v>
      </c>
      <c r="R152">
        <f t="shared" si="26"/>
        <v>356.91840000000002</v>
      </c>
      <c r="S152">
        <f t="shared" si="19"/>
        <v>4073.76</v>
      </c>
    </row>
    <row r="153" spans="1:19" x14ac:dyDescent="0.25">
      <c r="A153">
        <v>283</v>
      </c>
      <c r="B153">
        <v>1262</v>
      </c>
      <c r="C153" t="s">
        <v>33</v>
      </c>
      <c r="D153" t="s">
        <v>173</v>
      </c>
      <c r="E153">
        <v>36</v>
      </c>
      <c r="F153">
        <v>15.26</v>
      </c>
      <c r="G153">
        <v>2.63</v>
      </c>
      <c r="H153">
        <v>24.69</v>
      </c>
      <c r="I153">
        <v>0.77</v>
      </c>
      <c r="J153">
        <v>76.099999999999994</v>
      </c>
      <c r="K153">
        <f t="shared" si="20"/>
        <v>2739.6</v>
      </c>
      <c r="L153">
        <f t="shared" si="21"/>
        <v>2739.6</v>
      </c>
      <c r="M153">
        <f t="shared" si="18"/>
        <v>1444.8167999999998</v>
      </c>
      <c r="N153">
        <f t="shared" si="22"/>
        <v>361.20419999999996</v>
      </c>
      <c r="O153">
        <f t="shared" si="23"/>
        <v>1444.8167999999998</v>
      </c>
      <c r="P153">
        <f t="shared" si="24"/>
        <v>361.20419999999996</v>
      </c>
      <c r="Q153">
        <f t="shared" si="25"/>
        <v>368.57276567999997</v>
      </c>
      <c r="R153">
        <f t="shared" si="26"/>
        <v>684.40679999999998</v>
      </c>
      <c r="S153">
        <f t="shared" si="19"/>
        <v>2739.6</v>
      </c>
    </row>
    <row r="154" spans="1:19" x14ac:dyDescent="0.25">
      <c r="A154">
        <v>284</v>
      </c>
      <c r="B154">
        <v>1262</v>
      </c>
      <c r="C154" t="s">
        <v>33</v>
      </c>
      <c r="D154" t="s">
        <v>173</v>
      </c>
      <c r="E154">
        <v>10</v>
      </c>
      <c r="F154">
        <v>13.91</v>
      </c>
      <c r="G154">
        <v>2.9</v>
      </c>
      <c r="H154">
        <v>31.74</v>
      </c>
      <c r="I154">
        <v>0.83</v>
      </c>
      <c r="J154">
        <v>84.44</v>
      </c>
      <c r="K154">
        <f t="shared" si="20"/>
        <v>844.4</v>
      </c>
      <c r="L154">
        <f t="shared" si="21"/>
        <v>844.4</v>
      </c>
      <c r="M154">
        <f t="shared" si="18"/>
        <v>403.39</v>
      </c>
      <c r="N154">
        <f t="shared" si="22"/>
        <v>100.8475</v>
      </c>
      <c r="O154">
        <f t="shared" si="23"/>
        <v>403.39</v>
      </c>
      <c r="P154">
        <f t="shared" si="24"/>
        <v>100.8475</v>
      </c>
      <c r="Q154">
        <f t="shared" si="25"/>
        <v>102.90478899999999</v>
      </c>
      <c r="R154">
        <f t="shared" si="26"/>
        <v>263.44199999999995</v>
      </c>
      <c r="S154">
        <f t="shared" si="19"/>
        <v>844.4</v>
      </c>
    </row>
    <row r="155" spans="1:19" x14ac:dyDescent="0.25">
      <c r="A155">
        <v>285</v>
      </c>
      <c r="B155">
        <v>1263</v>
      </c>
      <c r="C155" t="s">
        <v>33</v>
      </c>
      <c r="D155" t="s">
        <v>173</v>
      </c>
      <c r="E155">
        <v>23</v>
      </c>
      <c r="F155">
        <v>15.11</v>
      </c>
      <c r="G155">
        <v>3.08</v>
      </c>
      <c r="H155">
        <v>32.659999999999997</v>
      </c>
      <c r="I155">
        <v>0.82</v>
      </c>
      <c r="J155">
        <v>83.26</v>
      </c>
      <c r="K155">
        <f t="shared" si="20"/>
        <v>1914.98</v>
      </c>
      <c r="L155">
        <f t="shared" si="21"/>
        <v>1914.98</v>
      </c>
      <c r="M155">
        <f t="shared" si="18"/>
        <v>1070.3924</v>
      </c>
      <c r="N155">
        <f t="shared" si="22"/>
        <v>267.59809999999999</v>
      </c>
      <c r="O155">
        <f t="shared" si="23"/>
        <v>1070.3924</v>
      </c>
      <c r="P155">
        <f t="shared" si="24"/>
        <v>267.59809999999999</v>
      </c>
      <c r="Q155">
        <f t="shared" si="25"/>
        <v>273.05710124000001</v>
      </c>
      <c r="R155">
        <f t="shared" si="26"/>
        <v>615.96759999999995</v>
      </c>
      <c r="S155">
        <f t="shared" si="19"/>
        <v>1914.98</v>
      </c>
    </row>
    <row r="156" spans="1:19" x14ac:dyDescent="0.25">
      <c r="A156">
        <v>286</v>
      </c>
      <c r="B156">
        <v>1263</v>
      </c>
      <c r="C156" t="s">
        <v>33</v>
      </c>
      <c r="D156" t="s">
        <v>173</v>
      </c>
      <c r="E156">
        <v>14</v>
      </c>
      <c r="F156">
        <v>14.55</v>
      </c>
      <c r="G156">
        <v>2.98</v>
      </c>
      <c r="H156">
        <v>34.82</v>
      </c>
      <c r="I156">
        <v>0.79</v>
      </c>
      <c r="J156">
        <v>89.88</v>
      </c>
      <c r="K156">
        <f t="shared" si="20"/>
        <v>1258.32</v>
      </c>
      <c r="L156">
        <f t="shared" si="21"/>
        <v>1258.32</v>
      </c>
      <c r="M156">
        <f t="shared" si="18"/>
        <v>607.02600000000007</v>
      </c>
      <c r="N156">
        <f t="shared" si="22"/>
        <v>151.75650000000002</v>
      </c>
      <c r="O156">
        <f t="shared" si="23"/>
        <v>607.02600000000007</v>
      </c>
      <c r="P156">
        <f t="shared" si="24"/>
        <v>151.75650000000002</v>
      </c>
      <c r="Q156">
        <f t="shared" si="25"/>
        <v>154.85233260000001</v>
      </c>
      <c r="R156">
        <f t="shared" si="26"/>
        <v>385.10920000000004</v>
      </c>
      <c r="S156">
        <f t="shared" si="19"/>
        <v>1258.32</v>
      </c>
    </row>
    <row r="157" spans="1:19" x14ac:dyDescent="0.25">
      <c r="A157">
        <v>287</v>
      </c>
      <c r="B157">
        <v>1263</v>
      </c>
      <c r="C157" t="s">
        <v>33</v>
      </c>
      <c r="D157" t="s">
        <v>173</v>
      </c>
      <c r="E157">
        <v>112</v>
      </c>
      <c r="F157">
        <v>14.07</v>
      </c>
      <c r="G157">
        <v>2.93</v>
      </c>
      <c r="H157">
        <v>32.130000000000003</v>
      </c>
      <c r="I157">
        <v>0.79</v>
      </c>
      <c r="J157">
        <v>84.61</v>
      </c>
      <c r="K157">
        <f t="shared" si="20"/>
        <v>9476.32</v>
      </c>
      <c r="L157">
        <f t="shared" si="21"/>
        <v>9476.32</v>
      </c>
      <c r="M157">
        <f t="shared" si="18"/>
        <v>4617.2112000000006</v>
      </c>
      <c r="N157">
        <f t="shared" si="22"/>
        <v>1154.3028000000002</v>
      </c>
      <c r="O157">
        <f t="shared" si="23"/>
        <v>4617.2112000000006</v>
      </c>
      <c r="P157">
        <f t="shared" si="24"/>
        <v>1154.3028000000002</v>
      </c>
      <c r="Q157">
        <f t="shared" si="25"/>
        <v>1177.85057712</v>
      </c>
      <c r="R157">
        <f t="shared" si="26"/>
        <v>2842.8624000000004</v>
      </c>
      <c r="S157">
        <f t="shared" si="19"/>
        <v>9476.32</v>
      </c>
    </row>
    <row r="158" spans="1:19" x14ac:dyDescent="0.25">
      <c r="A158">
        <v>288</v>
      </c>
      <c r="B158">
        <v>1263</v>
      </c>
      <c r="C158" t="s">
        <v>33</v>
      </c>
      <c r="D158" t="s">
        <v>172</v>
      </c>
      <c r="E158">
        <v>15</v>
      </c>
      <c r="F158">
        <v>19.239999999999998</v>
      </c>
      <c r="G158">
        <v>10.51</v>
      </c>
      <c r="H158">
        <v>27.48</v>
      </c>
      <c r="I158">
        <v>1.01</v>
      </c>
      <c r="J158">
        <v>333.82</v>
      </c>
      <c r="K158">
        <f t="shared" si="20"/>
        <v>5007.3</v>
      </c>
      <c r="L158">
        <f t="shared" si="21"/>
        <v>0</v>
      </c>
      <c r="M158">
        <f t="shared" si="18"/>
        <v>0</v>
      </c>
      <c r="N158">
        <f t="shared" si="22"/>
        <v>0</v>
      </c>
      <c r="O158">
        <f t="shared" si="23"/>
        <v>3033.1859999999997</v>
      </c>
      <c r="P158">
        <f t="shared" si="24"/>
        <v>758.29649999999992</v>
      </c>
      <c r="Q158">
        <f t="shared" si="25"/>
        <v>773.76574859999994</v>
      </c>
      <c r="R158">
        <f t="shared" si="26"/>
        <v>416.322</v>
      </c>
      <c r="S158">
        <f t="shared" si="19"/>
        <v>5007.3</v>
      </c>
    </row>
    <row r="159" spans="1:19" x14ac:dyDescent="0.25">
      <c r="A159">
        <v>289</v>
      </c>
      <c r="B159">
        <v>1263</v>
      </c>
      <c r="C159" t="s">
        <v>33</v>
      </c>
      <c r="D159" t="s">
        <v>172</v>
      </c>
      <c r="E159">
        <v>8</v>
      </c>
      <c r="F159">
        <v>18.850000000000001</v>
      </c>
      <c r="G159">
        <v>11.18</v>
      </c>
      <c r="H159">
        <v>37.880000000000003</v>
      </c>
      <c r="I159">
        <v>1</v>
      </c>
      <c r="J159">
        <v>358.56</v>
      </c>
      <c r="K159">
        <f t="shared" si="20"/>
        <v>2868.48</v>
      </c>
      <c r="L159">
        <f t="shared" si="21"/>
        <v>0</v>
      </c>
      <c r="M159">
        <f t="shared" si="18"/>
        <v>0</v>
      </c>
      <c r="N159">
        <f t="shared" si="22"/>
        <v>0</v>
      </c>
      <c r="O159">
        <f t="shared" si="23"/>
        <v>1685.9440000000002</v>
      </c>
      <c r="P159">
        <f t="shared" si="24"/>
        <v>421.48600000000005</v>
      </c>
      <c r="Q159">
        <f t="shared" si="25"/>
        <v>430.08431440000004</v>
      </c>
      <c r="R159">
        <f t="shared" si="26"/>
        <v>303.04000000000002</v>
      </c>
      <c r="S159">
        <f t="shared" si="19"/>
        <v>2868.48</v>
      </c>
    </row>
    <row r="160" spans="1:19" x14ac:dyDescent="0.25">
      <c r="A160">
        <v>290</v>
      </c>
      <c r="B160">
        <v>1263</v>
      </c>
      <c r="C160" t="s">
        <v>33</v>
      </c>
      <c r="D160" t="s">
        <v>173</v>
      </c>
      <c r="E160">
        <v>14</v>
      </c>
      <c r="F160">
        <v>15.18</v>
      </c>
      <c r="G160">
        <v>2.61</v>
      </c>
      <c r="H160">
        <v>27.09</v>
      </c>
      <c r="I160">
        <v>0.81</v>
      </c>
      <c r="J160">
        <v>78.61</v>
      </c>
      <c r="K160">
        <f t="shared" si="20"/>
        <v>1100.54</v>
      </c>
      <c r="L160">
        <f t="shared" si="21"/>
        <v>1100.54</v>
      </c>
      <c r="M160">
        <f t="shared" si="18"/>
        <v>554.67719999999997</v>
      </c>
      <c r="N160">
        <f t="shared" si="22"/>
        <v>138.66929999999999</v>
      </c>
      <c r="O160">
        <f t="shared" si="23"/>
        <v>554.67719999999997</v>
      </c>
      <c r="P160">
        <f t="shared" si="24"/>
        <v>138.66929999999999</v>
      </c>
      <c r="Q160">
        <f t="shared" si="25"/>
        <v>141.49815371999998</v>
      </c>
      <c r="R160">
        <f t="shared" si="26"/>
        <v>307.20060000000001</v>
      </c>
      <c r="S160">
        <f t="shared" si="19"/>
        <v>1100.54</v>
      </c>
    </row>
    <row r="161" spans="1:19" x14ac:dyDescent="0.25">
      <c r="A161">
        <v>291</v>
      </c>
      <c r="B161">
        <v>1263</v>
      </c>
      <c r="C161" t="s">
        <v>33</v>
      </c>
      <c r="D161" t="s">
        <v>172</v>
      </c>
      <c r="E161">
        <v>12</v>
      </c>
      <c r="F161">
        <v>21.59</v>
      </c>
      <c r="G161">
        <v>9.91</v>
      </c>
      <c r="H161">
        <v>32.99</v>
      </c>
      <c r="I161">
        <v>1</v>
      </c>
      <c r="J161">
        <v>357.52</v>
      </c>
      <c r="K161">
        <f t="shared" si="20"/>
        <v>4290.24</v>
      </c>
      <c r="L161">
        <f t="shared" si="21"/>
        <v>0</v>
      </c>
      <c r="M161">
        <f t="shared" si="18"/>
        <v>0</v>
      </c>
      <c r="N161">
        <f t="shared" si="22"/>
        <v>0</v>
      </c>
      <c r="O161">
        <f t="shared" si="23"/>
        <v>2567.4828000000002</v>
      </c>
      <c r="P161">
        <f t="shared" si="24"/>
        <v>641.87070000000006</v>
      </c>
      <c r="Q161">
        <f t="shared" si="25"/>
        <v>654.96486228000003</v>
      </c>
      <c r="R161">
        <f t="shared" si="26"/>
        <v>395.88</v>
      </c>
      <c r="S161">
        <f t="shared" si="19"/>
        <v>4290.24</v>
      </c>
    </row>
    <row r="162" spans="1:19" x14ac:dyDescent="0.25">
      <c r="A162">
        <v>292</v>
      </c>
      <c r="B162">
        <v>1263</v>
      </c>
      <c r="C162" t="s">
        <v>33</v>
      </c>
      <c r="D162" t="s">
        <v>172</v>
      </c>
      <c r="E162">
        <v>46</v>
      </c>
      <c r="F162">
        <v>19.04</v>
      </c>
      <c r="G162">
        <v>11.13</v>
      </c>
      <c r="H162">
        <v>32.94</v>
      </c>
      <c r="I162">
        <v>0.96</v>
      </c>
      <c r="J162">
        <v>352.85</v>
      </c>
      <c r="K162">
        <f t="shared" si="20"/>
        <v>16231.1</v>
      </c>
      <c r="L162">
        <f t="shared" si="21"/>
        <v>0</v>
      </c>
      <c r="M162">
        <f t="shared" si="18"/>
        <v>0</v>
      </c>
      <c r="N162">
        <f t="shared" si="22"/>
        <v>0</v>
      </c>
      <c r="O162">
        <f t="shared" si="23"/>
        <v>9748.0992000000006</v>
      </c>
      <c r="P162">
        <f t="shared" si="24"/>
        <v>2437.0248000000001</v>
      </c>
      <c r="Q162">
        <f t="shared" si="25"/>
        <v>2486.7401059200001</v>
      </c>
      <c r="R162">
        <f t="shared" si="26"/>
        <v>1454.6303999999998</v>
      </c>
      <c r="S162">
        <f t="shared" si="19"/>
        <v>16231.1</v>
      </c>
    </row>
    <row r="163" spans="1:19" x14ac:dyDescent="0.25">
      <c r="A163">
        <v>293</v>
      </c>
      <c r="B163">
        <v>1264</v>
      </c>
      <c r="C163" t="s">
        <v>32</v>
      </c>
      <c r="D163" t="s">
        <v>173</v>
      </c>
      <c r="E163">
        <v>14</v>
      </c>
      <c r="F163">
        <v>14.82</v>
      </c>
      <c r="G163">
        <v>2.76</v>
      </c>
      <c r="H163">
        <v>30.96</v>
      </c>
      <c r="I163">
        <v>0.84</v>
      </c>
      <c r="J163">
        <v>84.85</v>
      </c>
      <c r="K163">
        <f t="shared" si="20"/>
        <v>1187.8999999999999</v>
      </c>
      <c r="L163">
        <f t="shared" si="21"/>
        <v>1187.8999999999999</v>
      </c>
      <c r="M163">
        <f t="shared" si="18"/>
        <v>572.64480000000003</v>
      </c>
      <c r="N163">
        <f t="shared" si="22"/>
        <v>143.16120000000001</v>
      </c>
      <c r="O163">
        <f t="shared" si="23"/>
        <v>572.64480000000003</v>
      </c>
      <c r="P163">
        <f t="shared" si="24"/>
        <v>143.16120000000001</v>
      </c>
      <c r="Q163">
        <f t="shared" si="25"/>
        <v>146.08168848</v>
      </c>
      <c r="R163">
        <f t="shared" si="26"/>
        <v>364.08960000000002</v>
      </c>
      <c r="S163">
        <f t="shared" si="19"/>
        <v>1187.8999999999999</v>
      </c>
    </row>
    <row r="164" spans="1:19" x14ac:dyDescent="0.25">
      <c r="A164">
        <v>294</v>
      </c>
      <c r="B164">
        <v>1264</v>
      </c>
      <c r="C164" t="s">
        <v>32</v>
      </c>
      <c r="D164" t="s">
        <v>172</v>
      </c>
      <c r="E164">
        <v>14</v>
      </c>
      <c r="F164">
        <v>18.39</v>
      </c>
      <c r="G164">
        <v>10.86</v>
      </c>
      <c r="H164">
        <v>31.4</v>
      </c>
      <c r="I164">
        <v>0.95</v>
      </c>
      <c r="J164">
        <v>332.57</v>
      </c>
      <c r="K164">
        <f t="shared" si="20"/>
        <v>4655.9799999999996</v>
      </c>
      <c r="L164">
        <f t="shared" si="21"/>
        <v>0</v>
      </c>
      <c r="M164">
        <f t="shared" si="18"/>
        <v>0</v>
      </c>
      <c r="N164">
        <f t="shared" si="22"/>
        <v>0</v>
      </c>
      <c r="O164">
        <f t="shared" si="23"/>
        <v>2796.0155999999997</v>
      </c>
      <c r="P164">
        <f t="shared" si="24"/>
        <v>699.00389999999993</v>
      </c>
      <c r="Q164">
        <f t="shared" si="25"/>
        <v>713.26357955999993</v>
      </c>
      <c r="R164">
        <f t="shared" si="26"/>
        <v>417.61999999999995</v>
      </c>
      <c r="S164">
        <f t="shared" si="19"/>
        <v>4655.9799999999996</v>
      </c>
    </row>
    <row r="165" spans="1:19" x14ac:dyDescent="0.25">
      <c r="A165">
        <v>295</v>
      </c>
      <c r="B165">
        <v>1264</v>
      </c>
      <c r="C165" t="s">
        <v>32</v>
      </c>
      <c r="D165" t="s">
        <v>172</v>
      </c>
      <c r="E165">
        <v>9</v>
      </c>
      <c r="F165">
        <v>19.37</v>
      </c>
      <c r="G165">
        <v>11.1</v>
      </c>
      <c r="H165">
        <v>36.49</v>
      </c>
      <c r="I165">
        <v>1.07</v>
      </c>
      <c r="J165">
        <v>366.29</v>
      </c>
      <c r="K165">
        <f t="shared" si="20"/>
        <v>3296.61</v>
      </c>
      <c r="L165">
        <f t="shared" si="21"/>
        <v>0</v>
      </c>
      <c r="M165">
        <f t="shared" si="18"/>
        <v>0</v>
      </c>
      <c r="N165">
        <f t="shared" si="22"/>
        <v>0</v>
      </c>
      <c r="O165">
        <f t="shared" si="23"/>
        <v>1935.0629999999999</v>
      </c>
      <c r="P165">
        <f t="shared" si="24"/>
        <v>483.76574999999997</v>
      </c>
      <c r="Q165">
        <f t="shared" si="25"/>
        <v>493.63457129999995</v>
      </c>
      <c r="R165">
        <f t="shared" si="26"/>
        <v>351.39870000000002</v>
      </c>
      <c r="S165">
        <f t="shared" si="19"/>
        <v>3296.61</v>
      </c>
    </row>
    <row r="166" spans="1:19" x14ac:dyDescent="0.25">
      <c r="A166">
        <v>296</v>
      </c>
      <c r="B166">
        <v>1264</v>
      </c>
      <c r="C166" t="s">
        <v>32</v>
      </c>
      <c r="D166" t="s">
        <v>173</v>
      </c>
      <c r="E166">
        <v>9</v>
      </c>
      <c r="F166">
        <v>13.65</v>
      </c>
      <c r="G166">
        <v>2.9</v>
      </c>
      <c r="H166">
        <v>28.33</v>
      </c>
      <c r="I166">
        <v>0.8</v>
      </c>
      <c r="J166">
        <v>79.36</v>
      </c>
      <c r="K166">
        <f t="shared" si="20"/>
        <v>714.24</v>
      </c>
      <c r="L166">
        <f t="shared" si="21"/>
        <v>714.24</v>
      </c>
      <c r="M166">
        <f t="shared" si="18"/>
        <v>356.26499999999999</v>
      </c>
      <c r="N166">
        <f t="shared" si="22"/>
        <v>89.066249999999997</v>
      </c>
      <c r="O166">
        <f t="shared" si="23"/>
        <v>356.26499999999999</v>
      </c>
      <c r="P166">
        <f t="shared" si="24"/>
        <v>89.066249999999997</v>
      </c>
      <c r="Q166">
        <f t="shared" si="25"/>
        <v>90.883201499999998</v>
      </c>
      <c r="R166">
        <f t="shared" si="26"/>
        <v>203.976</v>
      </c>
      <c r="S166">
        <f t="shared" si="19"/>
        <v>714.24</v>
      </c>
    </row>
    <row r="167" spans="1:19" x14ac:dyDescent="0.25">
      <c r="A167">
        <v>297</v>
      </c>
      <c r="B167">
        <v>1264</v>
      </c>
      <c r="C167" t="s">
        <v>32</v>
      </c>
      <c r="D167" t="s">
        <v>173</v>
      </c>
      <c r="E167">
        <v>51</v>
      </c>
      <c r="F167">
        <v>15.82</v>
      </c>
      <c r="G167">
        <v>2.81</v>
      </c>
      <c r="H167">
        <v>32.97</v>
      </c>
      <c r="I167">
        <v>0.77</v>
      </c>
      <c r="J167">
        <v>89.05</v>
      </c>
      <c r="K167">
        <f t="shared" si="20"/>
        <v>4541.55</v>
      </c>
      <c r="L167">
        <f t="shared" si="21"/>
        <v>4541.55</v>
      </c>
      <c r="M167">
        <f t="shared" si="18"/>
        <v>2267.1642000000002</v>
      </c>
      <c r="N167">
        <f t="shared" si="22"/>
        <v>566.79105000000004</v>
      </c>
      <c r="O167">
        <f t="shared" si="23"/>
        <v>2267.1642000000002</v>
      </c>
      <c r="P167">
        <f t="shared" si="24"/>
        <v>566.79105000000004</v>
      </c>
      <c r="Q167">
        <f t="shared" si="25"/>
        <v>578.35358742000005</v>
      </c>
      <c r="R167">
        <f t="shared" si="26"/>
        <v>1294.7319</v>
      </c>
      <c r="S167">
        <f t="shared" si="19"/>
        <v>4541.55</v>
      </c>
    </row>
    <row r="168" spans="1:19" x14ac:dyDescent="0.25">
      <c r="A168">
        <v>298</v>
      </c>
      <c r="B168">
        <v>1264</v>
      </c>
      <c r="C168" t="s">
        <v>32</v>
      </c>
      <c r="D168" t="s">
        <v>173</v>
      </c>
      <c r="E168">
        <v>27</v>
      </c>
      <c r="F168">
        <v>14.1</v>
      </c>
      <c r="G168">
        <v>2.83</v>
      </c>
      <c r="H168">
        <v>31.72</v>
      </c>
      <c r="I168">
        <v>0.82</v>
      </c>
      <c r="J168">
        <v>75.13</v>
      </c>
      <c r="K168">
        <f t="shared" si="20"/>
        <v>2028.5099999999998</v>
      </c>
      <c r="L168">
        <f t="shared" si="21"/>
        <v>2028.5099999999998</v>
      </c>
      <c r="M168">
        <f t="shared" si="18"/>
        <v>1077.3809999999999</v>
      </c>
      <c r="N168">
        <f t="shared" si="22"/>
        <v>269.34524999999996</v>
      </c>
      <c r="O168">
        <f t="shared" si="23"/>
        <v>1077.3809999999999</v>
      </c>
      <c r="P168">
        <f t="shared" si="24"/>
        <v>269.34524999999996</v>
      </c>
      <c r="Q168">
        <f t="shared" si="25"/>
        <v>274.83989309999998</v>
      </c>
      <c r="R168">
        <f t="shared" si="26"/>
        <v>702.28079999999989</v>
      </c>
      <c r="S168">
        <f t="shared" si="19"/>
        <v>2028.5099999999998</v>
      </c>
    </row>
    <row r="169" spans="1:19" x14ac:dyDescent="0.25">
      <c r="A169">
        <v>299</v>
      </c>
      <c r="B169">
        <v>1264</v>
      </c>
      <c r="C169" t="s">
        <v>32</v>
      </c>
      <c r="D169" t="s">
        <v>172</v>
      </c>
      <c r="E169">
        <v>25</v>
      </c>
      <c r="F169">
        <v>19.05</v>
      </c>
      <c r="G169">
        <v>10.76</v>
      </c>
      <c r="H169">
        <v>32.49</v>
      </c>
      <c r="I169">
        <v>1.02</v>
      </c>
      <c r="J169">
        <v>344.34</v>
      </c>
      <c r="K169">
        <f t="shared" si="20"/>
        <v>8608.5</v>
      </c>
      <c r="L169">
        <f t="shared" si="21"/>
        <v>0</v>
      </c>
      <c r="M169">
        <f t="shared" si="18"/>
        <v>0</v>
      </c>
      <c r="N169">
        <f t="shared" si="22"/>
        <v>0</v>
      </c>
      <c r="O169">
        <f t="shared" si="23"/>
        <v>5124.45</v>
      </c>
      <c r="P169">
        <f t="shared" si="24"/>
        <v>1281.1125</v>
      </c>
      <c r="Q169">
        <f t="shared" si="25"/>
        <v>1307.2471949999999</v>
      </c>
      <c r="R169">
        <f t="shared" si="26"/>
        <v>828.495</v>
      </c>
      <c r="S169">
        <f t="shared" si="19"/>
        <v>8608.5</v>
      </c>
    </row>
    <row r="170" spans="1:19" x14ac:dyDescent="0.25">
      <c r="A170">
        <v>300</v>
      </c>
      <c r="B170">
        <v>1265</v>
      </c>
      <c r="C170" t="s">
        <v>32</v>
      </c>
      <c r="D170" t="s">
        <v>173</v>
      </c>
      <c r="E170">
        <v>15</v>
      </c>
      <c r="F170">
        <v>13.93</v>
      </c>
      <c r="G170">
        <v>2.95</v>
      </c>
      <c r="H170">
        <v>31.1</v>
      </c>
      <c r="I170">
        <v>0.78</v>
      </c>
      <c r="J170">
        <v>74.87</v>
      </c>
      <c r="K170">
        <f t="shared" si="20"/>
        <v>1123.0500000000002</v>
      </c>
      <c r="L170">
        <f t="shared" si="21"/>
        <v>1123.0500000000002</v>
      </c>
      <c r="M170">
        <f t="shared" si="18"/>
        <v>616.40250000000003</v>
      </c>
      <c r="N170">
        <f t="shared" si="22"/>
        <v>154.10062500000001</v>
      </c>
      <c r="O170">
        <f t="shared" si="23"/>
        <v>616.40250000000003</v>
      </c>
      <c r="P170">
        <f t="shared" si="24"/>
        <v>154.10062500000001</v>
      </c>
      <c r="Q170">
        <f t="shared" si="25"/>
        <v>157.24427775000001</v>
      </c>
      <c r="R170">
        <f t="shared" si="26"/>
        <v>363.87000000000006</v>
      </c>
      <c r="S170">
        <f t="shared" si="19"/>
        <v>1123.0500000000002</v>
      </c>
    </row>
    <row r="171" spans="1:19" x14ac:dyDescent="0.25">
      <c r="A171">
        <v>301</v>
      </c>
      <c r="B171">
        <v>1265</v>
      </c>
      <c r="C171" t="s">
        <v>32</v>
      </c>
      <c r="D171" t="s">
        <v>172</v>
      </c>
      <c r="E171">
        <v>13</v>
      </c>
      <c r="F171">
        <v>18.920000000000002</v>
      </c>
      <c r="G171">
        <v>11.75</v>
      </c>
      <c r="H171">
        <v>36.79</v>
      </c>
      <c r="I171">
        <v>1.04</v>
      </c>
      <c r="J171">
        <v>376.22</v>
      </c>
      <c r="K171">
        <f t="shared" si="20"/>
        <v>4890.8600000000006</v>
      </c>
      <c r="L171">
        <f t="shared" si="21"/>
        <v>0</v>
      </c>
      <c r="M171">
        <f t="shared" si="18"/>
        <v>0</v>
      </c>
      <c r="N171">
        <f t="shared" si="22"/>
        <v>0</v>
      </c>
      <c r="O171">
        <f t="shared" si="23"/>
        <v>2890.03</v>
      </c>
      <c r="P171">
        <f t="shared" si="24"/>
        <v>722.50750000000005</v>
      </c>
      <c r="Q171">
        <f t="shared" si="25"/>
        <v>737.24665300000004</v>
      </c>
      <c r="R171">
        <f t="shared" si="26"/>
        <v>497.40079999999995</v>
      </c>
      <c r="S171">
        <f t="shared" si="19"/>
        <v>4890.8600000000006</v>
      </c>
    </row>
    <row r="172" spans="1:19" x14ac:dyDescent="0.25">
      <c r="A172">
        <v>302</v>
      </c>
      <c r="B172">
        <v>1265</v>
      </c>
      <c r="C172" t="s">
        <v>32</v>
      </c>
      <c r="D172" t="s">
        <v>173</v>
      </c>
      <c r="E172">
        <v>19</v>
      </c>
      <c r="F172">
        <v>14.8</v>
      </c>
      <c r="G172">
        <v>2.71</v>
      </c>
      <c r="H172">
        <v>32.130000000000003</v>
      </c>
      <c r="I172">
        <v>0.81</v>
      </c>
      <c r="J172">
        <v>83.78</v>
      </c>
      <c r="K172">
        <f t="shared" si="20"/>
        <v>1591.82</v>
      </c>
      <c r="L172">
        <f t="shared" si="21"/>
        <v>1591.82</v>
      </c>
      <c r="M172">
        <f t="shared" si="18"/>
        <v>762.05200000000002</v>
      </c>
      <c r="N172">
        <f t="shared" si="22"/>
        <v>190.51300000000001</v>
      </c>
      <c r="O172">
        <f t="shared" si="23"/>
        <v>762.05200000000002</v>
      </c>
      <c r="P172">
        <f t="shared" si="24"/>
        <v>190.51300000000001</v>
      </c>
      <c r="Q172">
        <f t="shared" si="25"/>
        <v>194.39946520000001</v>
      </c>
      <c r="R172">
        <f t="shared" si="26"/>
        <v>494.48070000000007</v>
      </c>
      <c r="S172">
        <f t="shared" si="19"/>
        <v>1591.82</v>
      </c>
    </row>
    <row r="173" spans="1:19" x14ac:dyDescent="0.25">
      <c r="A173">
        <v>303</v>
      </c>
      <c r="B173">
        <v>1265</v>
      </c>
      <c r="C173" t="s">
        <v>32</v>
      </c>
      <c r="D173" t="s">
        <v>172</v>
      </c>
      <c r="E173">
        <v>18</v>
      </c>
      <c r="F173">
        <v>20.66</v>
      </c>
      <c r="G173">
        <v>11.09</v>
      </c>
      <c r="H173">
        <v>33.619999999999997</v>
      </c>
      <c r="I173">
        <v>0.98</v>
      </c>
      <c r="J173">
        <v>380.02</v>
      </c>
      <c r="K173">
        <f t="shared" si="20"/>
        <v>6840.36</v>
      </c>
      <c r="L173">
        <f t="shared" si="21"/>
        <v>0</v>
      </c>
      <c r="M173">
        <f t="shared" si="18"/>
        <v>0</v>
      </c>
      <c r="N173">
        <f t="shared" si="22"/>
        <v>0</v>
      </c>
      <c r="O173">
        <f t="shared" si="23"/>
        <v>4124.1491999999998</v>
      </c>
      <c r="P173">
        <f t="shared" si="24"/>
        <v>1031.0373</v>
      </c>
      <c r="Q173">
        <f t="shared" si="25"/>
        <v>1052.07046092</v>
      </c>
      <c r="R173">
        <f t="shared" si="26"/>
        <v>593.05679999999995</v>
      </c>
      <c r="S173">
        <f t="shared" si="19"/>
        <v>6840.36</v>
      </c>
    </row>
    <row r="174" spans="1:19" x14ac:dyDescent="0.25">
      <c r="A174">
        <v>304</v>
      </c>
      <c r="B174">
        <v>1265</v>
      </c>
      <c r="C174" t="s">
        <v>32</v>
      </c>
      <c r="D174" t="s">
        <v>172</v>
      </c>
      <c r="E174">
        <v>12</v>
      </c>
      <c r="F174">
        <v>19.489999999999998</v>
      </c>
      <c r="G174">
        <v>11.86</v>
      </c>
      <c r="H174">
        <v>33.19</v>
      </c>
      <c r="I174">
        <v>0.94</v>
      </c>
      <c r="J174">
        <v>380.96</v>
      </c>
      <c r="K174">
        <f t="shared" si="20"/>
        <v>4571.5199999999995</v>
      </c>
      <c r="L174">
        <f t="shared" si="21"/>
        <v>0</v>
      </c>
      <c r="M174">
        <f t="shared" si="18"/>
        <v>0</v>
      </c>
      <c r="N174">
        <f t="shared" si="22"/>
        <v>0</v>
      </c>
      <c r="O174">
        <f t="shared" si="23"/>
        <v>2773.8167999999996</v>
      </c>
      <c r="P174">
        <f t="shared" si="24"/>
        <v>693.4541999999999</v>
      </c>
      <c r="Q174">
        <f t="shared" si="25"/>
        <v>707.60066567999991</v>
      </c>
      <c r="R174">
        <f t="shared" si="26"/>
        <v>374.38319999999993</v>
      </c>
      <c r="S174">
        <f t="shared" si="19"/>
        <v>4571.5199999999995</v>
      </c>
    </row>
    <row r="175" spans="1:19" x14ac:dyDescent="0.25">
      <c r="A175">
        <v>305</v>
      </c>
      <c r="B175">
        <v>1265</v>
      </c>
      <c r="C175" t="s">
        <v>32</v>
      </c>
      <c r="D175" t="s">
        <v>173</v>
      </c>
      <c r="E175">
        <v>13</v>
      </c>
      <c r="F175">
        <v>14.37</v>
      </c>
      <c r="G175">
        <v>2.97</v>
      </c>
      <c r="H175">
        <v>30.57</v>
      </c>
      <c r="I175">
        <v>0.78</v>
      </c>
      <c r="J175">
        <v>84.91</v>
      </c>
      <c r="K175">
        <f t="shared" si="20"/>
        <v>1103.83</v>
      </c>
      <c r="L175">
        <f t="shared" si="21"/>
        <v>1103.83</v>
      </c>
      <c r="M175">
        <f t="shared" si="18"/>
        <v>554.82569999999998</v>
      </c>
      <c r="N175">
        <f t="shared" si="22"/>
        <v>138.706425</v>
      </c>
      <c r="O175">
        <f t="shared" si="23"/>
        <v>554.82569999999998</v>
      </c>
      <c r="P175">
        <f t="shared" si="24"/>
        <v>138.706425</v>
      </c>
      <c r="Q175">
        <f t="shared" si="25"/>
        <v>141.53603606999999</v>
      </c>
      <c r="R175">
        <f t="shared" si="26"/>
        <v>309.97980000000001</v>
      </c>
      <c r="S175">
        <f t="shared" si="19"/>
        <v>1103.83</v>
      </c>
    </row>
    <row r="176" spans="1:19" x14ac:dyDescent="0.25">
      <c r="A176">
        <v>306</v>
      </c>
      <c r="B176">
        <v>1265</v>
      </c>
      <c r="C176" t="s">
        <v>32</v>
      </c>
      <c r="D176" t="s">
        <v>173</v>
      </c>
      <c r="E176">
        <v>25</v>
      </c>
      <c r="F176">
        <v>15.13</v>
      </c>
      <c r="G176">
        <v>3.07</v>
      </c>
      <c r="H176">
        <v>29.96</v>
      </c>
      <c r="I176">
        <v>0.82</v>
      </c>
      <c r="J176">
        <v>90.89</v>
      </c>
      <c r="K176">
        <f t="shared" si="20"/>
        <v>2272.25</v>
      </c>
      <c r="L176">
        <f t="shared" si="21"/>
        <v>2272.25</v>
      </c>
      <c r="M176">
        <f t="shared" si="18"/>
        <v>1161.2275</v>
      </c>
      <c r="N176">
        <f t="shared" si="22"/>
        <v>290.30687499999999</v>
      </c>
      <c r="O176">
        <f t="shared" si="23"/>
        <v>1161.2275</v>
      </c>
      <c r="P176">
        <f t="shared" si="24"/>
        <v>290.30687499999999</v>
      </c>
      <c r="Q176">
        <f t="shared" si="25"/>
        <v>296.22913524999996</v>
      </c>
      <c r="R176">
        <f t="shared" si="26"/>
        <v>614.18000000000006</v>
      </c>
      <c r="S176">
        <f t="shared" si="19"/>
        <v>2272.25</v>
      </c>
    </row>
    <row r="177" spans="1:19" x14ac:dyDescent="0.25">
      <c r="A177">
        <v>307</v>
      </c>
      <c r="B177">
        <v>1265</v>
      </c>
      <c r="C177" t="s">
        <v>32</v>
      </c>
      <c r="D177" t="s">
        <v>173</v>
      </c>
      <c r="E177">
        <v>8</v>
      </c>
      <c r="F177">
        <v>15.85</v>
      </c>
      <c r="G177">
        <v>2.93</v>
      </c>
      <c r="H177">
        <v>32.71</v>
      </c>
      <c r="I177">
        <v>0.81</v>
      </c>
      <c r="J177">
        <v>93</v>
      </c>
      <c r="K177">
        <f t="shared" si="20"/>
        <v>744</v>
      </c>
      <c r="L177">
        <f t="shared" si="21"/>
        <v>744</v>
      </c>
      <c r="M177">
        <f t="shared" si="18"/>
        <v>371.524</v>
      </c>
      <c r="N177">
        <f t="shared" si="22"/>
        <v>92.881</v>
      </c>
      <c r="O177">
        <f t="shared" si="23"/>
        <v>371.524</v>
      </c>
      <c r="P177">
        <f t="shared" si="24"/>
        <v>92.881</v>
      </c>
      <c r="Q177">
        <f t="shared" si="25"/>
        <v>94.775772399999994</v>
      </c>
      <c r="R177">
        <f t="shared" si="26"/>
        <v>211.96080000000001</v>
      </c>
      <c r="S177">
        <f t="shared" si="19"/>
        <v>744</v>
      </c>
    </row>
    <row r="178" spans="1:19" x14ac:dyDescent="0.25">
      <c r="A178">
        <v>308</v>
      </c>
      <c r="B178">
        <v>1266</v>
      </c>
      <c r="C178" t="s">
        <v>32</v>
      </c>
      <c r="D178" t="s">
        <v>172</v>
      </c>
      <c r="E178">
        <v>14</v>
      </c>
      <c r="F178">
        <v>19.55</v>
      </c>
      <c r="G178">
        <v>11.27</v>
      </c>
      <c r="H178">
        <v>34.590000000000003</v>
      </c>
      <c r="I178">
        <v>0.94</v>
      </c>
      <c r="J178">
        <v>366.43</v>
      </c>
      <c r="K178">
        <f t="shared" si="20"/>
        <v>5130.0200000000004</v>
      </c>
      <c r="L178">
        <f t="shared" si="21"/>
        <v>0</v>
      </c>
      <c r="M178">
        <f t="shared" si="18"/>
        <v>0</v>
      </c>
      <c r="N178">
        <f t="shared" si="22"/>
        <v>0</v>
      </c>
      <c r="O178">
        <f t="shared" si="23"/>
        <v>3084.5990000000002</v>
      </c>
      <c r="P178">
        <f t="shared" si="24"/>
        <v>771.14975000000004</v>
      </c>
      <c r="Q178">
        <f t="shared" si="25"/>
        <v>786.88120490000006</v>
      </c>
      <c r="R178">
        <f t="shared" si="26"/>
        <v>455.20440000000008</v>
      </c>
      <c r="S178">
        <f t="shared" si="19"/>
        <v>5130.0200000000004</v>
      </c>
    </row>
    <row r="179" spans="1:19" x14ac:dyDescent="0.25">
      <c r="A179">
        <v>309</v>
      </c>
      <c r="B179">
        <v>1266</v>
      </c>
      <c r="C179" t="s">
        <v>32</v>
      </c>
      <c r="D179" t="s">
        <v>172</v>
      </c>
      <c r="E179">
        <v>17</v>
      </c>
      <c r="F179">
        <v>20.02</v>
      </c>
      <c r="G179">
        <v>10.65</v>
      </c>
      <c r="H179">
        <v>36.450000000000003</v>
      </c>
      <c r="I179">
        <v>1.03</v>
      </c>
      <c r="J179">
        <v>361.83</v>
      </c>
      <c r="K179">
        <f t="shared" si="20"/>
        <v>6151.11</v>
      </c>
      <c r="L179">
        <f t="shared" si="21"/>
        <v>0</v>
      </c>
      <c r="M179">
        <f t="shared" si="18"/>
        <v>0</v>
      </c>
      <c r="N179">
        <f t="shared" si="22"/>
        <v>0</v>
      </c>
      <c r="O179">
        <f t="shared" si="23"/>
        <v>3624.6210000000001</v>
      </c>
      <c r="P179">
        <f t="shared" si="24"/>
        <v>906.15525000000002</v>
      </c>
      <c r="Q179">
        <f t="shared" si="25"/>
        <v>924.64081710000005</v>
      </c>
      <c r="R179">
        <f t="shared" si="26"/>
        <v>638.23950000000013</v>
      </c>
      <c r="S179">
        <f t="shared" si="19"/>
        <v>6151.11</v>
      </c>
    </row>
    <row r="180" spans="1:19" x14ac:dyDescent="0.25">
      <c r="A180">
        <v>310</v>
      </c>
      <c r="B180">
        <v>1266</v>
      </c>
      <c r="C180" t="s">
        <v>32</v>
      </c>
      <c r="D180" t="s">
        <v>173</v>
      </c>
      <c r="E180">
        <v>10</v>
      </c>
      <c r="F180">
        <v>16.38</v>
      </c>
      <c r="G180">
        <v>2.71</v>
      </c>
      <c r="H180">
        <v>27.91</v>
      </c>
      <c r="I180">
        <v>0.79</v>
      </c>
      <c r="J180">
        <v>85.29</v>
      </c>
      <c r="K180">
        <f t="shared" si="20"/>
        <v>852.90000000000009</v>
      </c>
      <c r="L180">
        <f t="shared" si="21"/>
        <v>852.90000000000009</v>
      </c>
      <c r="M180">
        <f t="shared" si="18"/>
        <v>443.89800000000002</v>
      </c>
      <c r="N180">
        <f t="shared" si="22"/>
        <v>110.97450000000001</v>
      </c>
      <c r="O180">
        <f t="shared" si="23"/>
        <v>443.89800000000002</v>
      </c>
      <c r="P180">
        <f t="shared" si="24"/>
        <v>110.97450000000001</v>
      </c>
      <c r="Q180">
        <f t="shared" si="25"/>
        <v>113.2383798</v>
      </c>
      <c r="R180">
        <f t="shared" si="26"/>
        <v>220.489</v>
      </c>
      <c r="S180">
        <f t="shared" si="19"/>
        <v>852.90000000000009</v>
      </c>
    </row>
    <row r="181" spans="1:19" x14ac:dyDescent="0.25">
      <c r="A181">
        <v>311</v>
      </c>
      <c r="B181">
        <v>1266</v>
      </c>
      <c r="C181" t="s">
        <v>32</v>
      </c>
      <c r="D181" t="s">
        <v>173</v>
      </c>
      <c r="E181">
        <v>18</v>
      </c>
      <c r="F181">
        <v>14.74</v>
      </c>
      <c r="G181">
        <v>2.64</v>
      </c>
      <c r="H181">
        <v>28.67</v>
      </c>
      <c r="I181">
        <v>0.81</v>
      </c>
      <c r="J181">
        <v>79.05</v>
      </c>
      <c r="K181">
        <f t="shared" si="20"/>
        <v>1422.8999999999999</v>
      </c>
      <c r="L181">
        <f t="shared" si="21"/>
        <v>1422.8999999999999</v>
      </c>
      <c r="M181">
        <f t="shared" si="18"/>
        <v>700.4448000000001</v>
      </c>
      <c r="N181">
        <f t="shared" si="22"/>
        <v>175.11120000000003</v>
      </c>
      <c r="O181">
        <f t="shared" si="23"/>
        <v>700.4448000000001</v>
      </c>
      <c r="P181">
        <f t="shared" si="24"/>
        <v>175.11120000000003</v>
      </c>
      <c r="Q181">
        <f t="shared" si="25"/>
        <v>178.68346848000002</v>
      </c>
      <c r="R181">
        <f t="shared" si="26"/>
        <v>418.00860000000006</v>
      </c>
      <c r="S181">
        <f t="shared" si="19"/>
        <v>1422.8999999999999</v>
      </c>
    </row>
    <row r="182" spans="1:19" x14ac:dyDescent="0.25">
      <c r="A182">
        <v>312</v>
      </c>
      <c r="B182">
        <v>1266</v>
      </c>
      <c r="C182" t="s">
        <v>32</v>
      </c>
      <c r="D182" t="s">
        <v>172</v>
      </c>
      <c r="E182">
        <v>24</v>
      </c>
      <c r="F182">
        <v>18.07</v>
      </c>
      <c r="G182">
        <v>11.17</v>
      </c>
      <c r="H182">
        <v>32.58</v>
      </c>
      <c r="I182">
        <v>1.03</v>
      </c>
      <c r="J182">
        <v>340.17</v>
      </c>
      <c r="K182">
        <f t="shared" si="20"/>
        <v>8164.08</v>
      </c>
      <c r="L182">
        <f t="shared" si="21"/>
        <v>0</v>
      </c>
      <c r="M182">
        <f t="shared" si="18"/>
        <v>0</v>
      </c>
      <c r="N182">
        <f t="shared" si="22"/>
        <v>0</v>
      </c>
      <c r="O182">
        <f t="shared" si="23"/>
        <v>4844.2056000000002</v>
      </c>
      <c r="P182">
        <f t="shared" si="24"/>
        <v>1211.0514000000001</v>
      </c>
      <c r="Q182">
        <f t="shared" si="25"/>
        <v>1235.75684856</v>
      </c>
      <c r="R182">
        <f t="shared" si="26"/>
        <v>805.37759999999992</v>
      </c>
      <c r="S182">
        <f t="shared" si="19"/>
        <v>8164.08</v>
      </c>
    </row>
    <row r="183" spans="1:19" x14ac:dyDescent="0.25">
      <c r="A183">
        <v>313</v>
      </c>
      <c r="B183">
        <v>1266</v>
      </c>
      <c r="C183" t="s">
        <v>32</v>
      </c>
      <c r="D183" t="s">
        <v>172</v>
      </c>
      <c r="E183">
        <v>38</v>
      </c>
      <c r="F183">
        <v>19.46</v>
      </c>
      <c r="G183">
        <v>10.98</v>
      </c>
      <c r="H183">
        <v>29.59</v>
      </c>
      <c r="I183">
        <v>1.05</v>
      </c>
      <c r="J183">
        <v>354.81</v>
      </c>
      <c r="K183">
        <f t="shared" si="20"/>
        <v>13482.78</v>
      </c>
      <c r="L183">
        <f t="shared" si="21"/>
        <v>0</v>
      </c>
      <c r="M183">
        <f t="shared" si="18"/>
        <v>0</v>
      </c>
      <c r="N183">
        <f t="shared" si="22"/>
        <v>0</v>
      </c>
      <c r="O183">
        <f t="shared" si="23"/>
        <v>8119.4904000000006</v>
      </c>
      <c r="P183">
        <f t="shared" si="24"/>
        <v>2029.8726000000001</v>
      </c>
      <c r="Q183">
        <f t="shared" si="25"/>
        <v>2071.2820010400001</v>
      </c>
      <c r="R183">
        <f t="shared" si="26"/>
        <v>1180.6409999999998</v>
      </c>
      <c r="S183">
        <f t="shared" si="19"/>
        <v>13482.78</v>
      </c>
    </row>
    <row r="184" spans="1:19" x14ac:dyDescent="0.25">
      <c r="A184">
        <v>314</v>
      </c>
      <c r="B184">
        <v>1266</v>
      </c>
      <c r="C184" t="s">
        <v>32</v>
      </c>
      <c r="D184" t="s">
        <v>172</v>
      </c>
      <c r="E184">
        <v>14</v>
      </c>
      <c r="F184">
        <v>20.95</v>
      </c>
      <c r="G184">
        <v>10.34</v>
      </c>
      <c r="H184">
        <v>29.78</v>
      </c>
      <c r="I184">
        <v>0.92</v>
      </c>
      <c r="J184">
        <v>292.51</v>
      </c>
      <c r="K184">
        <f t="shared" si="20"/>
        <v>4095.14</v>
      </c>
      <c r="L184">
        <f t="shared" si="21"/>
        <v>0</v>
      </c>
      <c r="M184">
        <f t="shared" si="18"/>
        <v>0</v>
      </c>
      <c r="N184">
        <f t="shared" si="22"/>
        <v>0</v>
      </c>
      <c r="O184">
        <f t="shared" si="23"/>
        <v>3032.7219999999998</v>
      </c>
      <c r="P184">
        <f t="shared" si="24"/>
        <v>758.18049999999994</v>
      </c>
      <c r="Q184">
        <f t="shared" si="25"/>
        <v>773.64738219999992</v>
      </c>
      <c r="R184">
        <f t="shared" si="26"/>
        <v>383.56640000000004</v>
      </c>
      <c r="S184">
        <f t="shared" si="19"/>
        <v>4095.14</v>
      </c>
    </row>
    <row r="185" spans="1:19" x14ac:dyDescent="0.25">
      <c r="A185">
        <v>315</v>
      </c>
      <c r="B185">
        <v>1267</v>
      </c>
      <c r="C185" t="s">
        <v>34</v>
      </c>
      <c r="D185" t="s">
        <v>172</v>
      </c>
      <c r="E185">
        <v>9</v>
      </c>
      <c r="F185">
        <v>19.32</v>
      </c>
      <c r="G185">
        <v>10.43</v>
      </c>
      <c r="H185">
        <v>34.9</v>
      </c>
      <c r="I185">
        <v>1.05</v>
      </c>
      <c r="J185">
        <v>343.35</v>
      </c>
      <c r="K185">
        <f t="shared" si="20"/>
        <v>3090.15</v>
      </c>
      <c r="L185">
        <f t="shared" si="21"/>
        <v>0</v>
      </c>
      <c r="M185">
        <f t="shared" si="18"/>
        <v>0</v>
      </c>
      <c r="N185">
        <f t="shared" si="22"/>
        <v>0</v>
      </c>
      <c r="O185">
        <f t="shared" si="23"/>
        <v>1813.5684000000001</v>
      </c>
      <c r="P185">
        <f t="shared" si="24"/>
        <v>453.39210000000003</v>
      </c>
      <c r="Q185">
        <f t="shared" si="25"/>
        <v>462.64129883999999</v>
      </c>
      <c r="R185">
        <f t="shared" si="26"/>
        <v>329.80500000000001</v>
      </c>
      <c r="S185">
        <f t="shared" si="19"/>
        <v>3090.15</v>
      </c>
    </row>
    <row r="186" spans="1:19" x14ac:dyDescent="0.25">
      <c r="A186">
        <v>316</v>
      </c>
      <c r="B186">
        <v>1267</v>
      </c>
      <c r="C186" t="s">
        <v>34</v>
      </c>
      <c r="D186" t="s">
        <v>172</v>
      </c>
      <c r="E186">
        <v>15</v>
      </c>
      <c r="F186">
        <v>18.579999999999998</v>
      </c>
      <c r="G186">
        <v>10.77</v>
      </c>
      <c r="H186">
        <v>27.83</v>
      </c>
      <c r="I186">
        <v>1.04</v>
      </c>
      <c r="J186">
        <v>332.1</v>
      </c>
      <c r="K186">
        <f t="shared" si="20"/>
        <v>4981.5</v>
      </c>
      <c r="L186">
        <f t="shared" si="21"/>
        <v>0</v>
      </c>
      <c r="M186">
        <f t="shared" si="18"/>
        <v>0</v>
      </c>
      <c r="N186">
        <f t="shared" si="22"/>
        <v>0</v>
      </c>
      <c r="O186">
        <f t="shared" si="23"/>
        <v>3001.5989999999993</v>
      </c>
      <c r="P186">
        <f t="shared" si="24"/>
        <v>750.39974999999981</v>
      </c>
      <c r="Q186">
        <f t="shared" si="25"/>
        <v>765.70790489999979</v>
      </c>
      <c r="R186">
        <f t="shared" si="26"/>
        <v>434.14800000000002</v>
      </c>
      <c r="S186">
        <f t="shared" si="19"/>
        <v>4981.5</v>
      </c>
    </row>
    <row r="187" spans="1:19" x14ac:dyDescent="0.25">
      <c r="A187">
        <v>317</v>
      </c>
      <c r="B187">
        <v>1267</v>
      </c>
      <c r="C187" t="s">
        <v>34</v>
      </c>
      <c r="D187" t="s">
        <v>173</v>
      </c>
      <c r="E187">
        <v>26</v>
      </c>
      <c r="F187">
        <v>15.8</v>
      </c>
      <c r="G187">
        <v>2.8</v>
      </c>
      <c r="H187">
        <v>33.26</v>
      </c>
      <c r="I187">
        <v>0.79</v>
      </c>
      <c r="J187">
        <v>89.73</v>
      </c>
      <c r="K187">
        <f t="shared" si="20"/>
        <v>2332.98</v>
      </c>
      <c r="L187">
        <f t="shared" si="21"/>
        <v>2332.98</v>
      </c>
      <c r="M187">
        <f t="shared" si="18"/>
        <v>1150.24</v>
      </c>
      <c r="N187">
        <f t="shared" si="22"/>
        <v>287.56</v>
      </c>
      <c r="O187">
        <f t="shared" si="23"/>
        <v>1150.24</v>
      </c>
      <c r="P187">
        <f t="shared" si="24"/>
        <v>287.56</v>
      </c>
      <c r="Q187">
        <f t="shared" si="25"/>
        <v>293.42622399999999</v>
      </c>
      <c r="R187">
        <f t="shared" si="26"/>
        <v>683.16039999999998</v>
      </c>
      <c r="S187">
        <f t="shared" si="19"/>
        <v>2332.98</v>
      </c>
    </row>
    <row r="188" spans="1:19" x14ac:dyDescent="0.25">
      <c r="A188">
        <v>318</v>
      </c>
      <c r="B188">
        <v>1267</v>
      </c>
      <c r="C188" t="s">
        <v>34</v>
      </c>
      <c r="D188" t="s">
        <v>172</v>
      </c>
      <c r="E188">
        <v>14</v>
      </c>
      <c r="F188">
        <v>18.53</v>
      </c>
      <c r="G188">
        <v>10.61</v>
      </c>
      <c r="H188">
        <v>28.98</v>
      </c>
      <c r="I188">
        <v>0.94</v>
      </c>
      <c r="J188">
        <v>324.86</v>
      </c>
      <c r="K188">
        <f t="shared" si="20"/>
        <v>4548.04</v>
      </c>
      <c r="L188">
        <f t="shared" si="21"/>
        <v>0</v>
      </c>
      <c r="M188">
        <f t="shared" si="18"/>
        <v>0</v>
      </c>
      <c r="N188">
        <f t="shared" si="22"/>
        <v>0</v>
      </c>
      <c r="O188">
        <f t="shared" si="23"/>
        <v>2752.4461999999999</v>
      </c>
      <c r="P188">
        <f t="shared" si="24"/>
        <v>688.11154999999997</v>
      </c>
      <c r="Q188">
        <f t="shared" si="25"/>
        <v>702.14902561999997</v>
      </c>
      <c r="R188">
        <f t="shared" si="26"/>
        <v>381.3768</v>
      </c>
      <c r="S188">
        <f t="shared" si="19"/>
        <v>4548.04</v>
      </c>
    </row>
    <row r="189" spans="1:19" x14ac:dyDescent="0.25">
      <c r="A189">
        <v>319</v>
      </c>
      <c r="B189">
        <v>1267</v>
      </c>
      <c r="C189" t="s">
        <v>34</v>
      </c>
      <c r="D189" t="s">
        <v>172</v>
      </c>
      <c r="E189">
        <v>12</v>
      </c>
      <c r="F189">
        <v>19.29</v>
      </c>
      <c r="G189">
        <v>10.23</v>
      </c>
      <c r="H189">
        <v>34.01</v>
      </c>
      <c r="I189">
        <v>1.01</v>
      </c>
      <c r="J189">
        <v>334.42</v>
      </c>
      <c r="K189">
        <f t="shared" si="20"/>
        <v>4013.04</v>
      </c>
      <c r="L189">
        <f t="shared" si="21"/>
        <v>0</v>
      </c>
      <c r="M189">
        <f t="shared" si="18"/>
        <v>0</v>
      </c>
      <c r="N189">
        <f t="shared" si="22"/>
        <v>0</v>
      </c>
      <c r="O189">
        <f t="shared" si="23"/>
        <v>2368.0403999999999</v>
      </c>
      <c r="P189">
        <f t="shared" si="24"/>
        <v>592.01009999999997</v>
      </c>
      <c r="Q189">
        <f t="shared" si="25"/>
        <v>604.08710603999998</v>
      </c>
      <c r="R189">
        <f t="shared" si="26"/>
        <v>412.20120000000003</v>
      </c>
      <c r="S189">
        <f t="shared" si="19"/>
        <v>4013.04</v>
      </c>
    </row>
    <row r="190" spans="1:19" x14ac:dyDescent="0.25">
      <c r="A190">
        <v>320</v>
      </c>
      <c r="B190">
        <v>1267</v>
      </c>
      <c r="C190" t="s">
        <v>34</v>
      </c>
      <c r="D190" t="s">
        <v>172</v>
      </c>
      <c r="E190">
        <v>17</v>
      </c>
      <c r="F190">
        <v>19.61</v>
      </c>
      <c r="G190">
        <v>11.32</v>
      </c>
      <c r="H190">
        <v>34.64</v>
      </c>
      <c r="I190">
        <v>0.91</v>
      </c>
      <c r="J190">
        <v>367.71</v>
      </c>
      <c r="K190">
        <f t="shared" si="20"/>
        <v>6251.07</v>
      </c>
      <c r="L190">
        <f t="shared" si="21"/>
        <v>0</v>
      </c>
      <c r="M190">
        <f t="shared" si="18"/>
        <v>0</v>
      </c>
      <c r="N190">
        <f t="shared" si="22"/>
        <v>0</v>
      </c>
      <c r="O190">
        <f t="shared" si="23"/>
        <v>3773.7483999999999</v>
      </c>
      <c r="P190">
        <f t="shared" si="24"/>
        <v>943.43709999999999</v>
      </c>
      <c r="Q190">
        <f t="shared" si="25"/>
        <v>962.68321684</v>
      </c>
      <c r="R190">
        <f t="shared" si="26"/>
        <v>535.88080000000002</v>
      </c>
      <c r="S190">
        <f t="shared" si="19"/>
        <v>6251.07</v>
      </c>
    </row>
    <row r="191" spans="1:19" x14ac:dyDescent="0.25">
      <c r="A191">
        <v>321</v>
      </c>
      <c r="B191">
        <v>1267</v>
      </c>
      <c r="C191" t="s">
        <v>34</v>
      </c>
      <c r="D191" t="s">
        <v>173</v>
      </c>
      <c r="E191">
        <v>22</v>
      </c>
      <c r="F191">
        <v>13.34</v>
      </c>
      <c r="G191">
        <v>2.84</v>
      </c>
      <c r="H191">
        <v>29.47</v>
      </c>
      <c r="I191">
        <v>0.77</v>
      </c>
      <c r="J191">
        <v>77.05</v>
      </c>
      <c r="K191">
        <f t="shared" si="20"/>
        <v>1695.1</v>
      </c>
      <c r="L191">
        <f t="shared" si="21"/>
        <v>1695.1</v>
      </c>
      <c r="M191">
        <f t="shared" si="18"/>
        <v>833.4831999999999</v>
      </c>
      <c r="N191">
        <f t="shared" si="22"/>
        <v>208.37079999999997</v>
      </c>
      <c r="O191">
        <f t="shared" si="23"/>
        <v>833.4831999999999</v>
      </c>
      <c r="P191">
        <f t="shared" si="24"/>
        <v>208.37079999999997</v>
      </c>
      <c r="Q191">
        <f t="shared" si="25"/>
        <v>212.62156431999998</v>
      </c>
      <c r="R191">
        <f t="shared" si="26"/>
        <v>499.22180000000003</v>
      </c>
      <c r="S191">
        <f t="shared" si="19"/>
        <v>1695.1</v>
      </c>
    </row>
    <row r="192" spans="1:19" x14ac:dyDescent="0.25">
      <c r="A192">
        <v>322</v>
      </c>
      <c r="B192">
        <v>1268</v>
      </c>
      <c r="C192" t="s">
        <v>34</v>
      </c>
      <c r="D192" t="s">
        <v>173</v>
      </c>
      <c r="E192">
        <v>15</v>
      </c>
      <c r="F192">
        <v>14.52</v>
      </c>
      <c r="G192">
        <v>2.66</v>
      </c>
      <c r="H192">
        <v>28.69</v>
      </c>
      <c r="I192">
        <v>0.76</v>
      </c>
      <c r="J192">
        <v>77.09</v>
      </c>
      <c r="K192">
        <f t="shared" si="20"/>
        <v>1156.3500000000001</v>
      </c>
      <c r="L192">
        <f t="shared" si="21"/>
        <v>1156.3500000000001</v>
      </c>
      <c r="M192">
        <f t="shared" si="18"/>
        <v>579.34800000000007</v>
      </c>
      <c r="N192">
        <f t="shared" si="22"/>
        <v>144.83700000000002</v>
      </c>
      <c r="O192">
        <f t="shared" si="23"/>
        <v>579.34800000000007</v>
      </c>
      <c r="P192">
        <f t="shared" si="24"/>
        <v>144.83700000000002</v>
      </c>
      <c r="Q192">
        <f t="shared" si="25"/>
        <v>147.79167480000001</v>
      </c>
      <c r="R192">
        <f t="shared" si="26"/>
        <v>327.06600000000003</v>
      </c>
      <c r="S192">
        <f t="shared" si="19"/>
        <v>1156.3500000000001</v>
      </c>
    </row>
    <row r="193" spans="1:19" x14ac:dyDescent="0.25">
      <c r="A193">
        <v>323</v>
      </c>
      <c r="B193">
        <v>1268</v>
      </c>
      <c r="C193" t="s">
        <v>34</v>
      </c>
      <c r="D193" t="s">
        <v>172</v>
      </c>
      <c r="E193">
        <v>11</v>
      </c>
      <c r="F193">
        <v>20.399999999999999</v>
      </c>
      <c r="G193">
        <v>11.06</v>
      </c>
      <c r="H193">
        <v>32.56</v>
      </c>
      <c r="I193">
        <v>1</v>
      </c>
      <c r="J193">
        <v>374.36</v>
      </c>
      <c r="K193">
        <f t="shared" si="20"/>
        <v>4117.96</v>
      </c>
      <c r="L193">
        <f t="shared" si="21"/>
        <v>0</v>
      </c>
      <c r="M193">
        <f t="shared" si="18"/>
        <v>0</v>
      </c>
      <c r="N193">
        <f t="shared" si="22"/>
        <v>0</v>
      </c>
      <c r="O193">
        <f t="shared" si="23"/>
        <v>2481.864</v>
      </c>
      <c r="P193">
        <f t="shared" si="24"/>
        <v>620.46600000000001</v>
      </c>
      <c r="Q193">
        <f t="shared" si="25"/>
        <v>633.1235064</v>
      </c>
      <c r="R193">
        <f t="shared" si="26"/>
        <v>358.16</v>
      </c>
      <c r="S193">
        <f t="shared" si="19"/>
        <v>4117.96</v>
      </c>
    </row>
    <row r="194" spans="1:19" x14ac:dyDescent="0.25">
      <c r="A194">
        <v>324</v>
      </c>
      <c r="B194">
        <v>1268</v>
      </c>
      <c r="C194" t="s">
        <v>34</v>
      </c>
      <c r="D194" t="s">
        <v>172</v>
      </c>
      <c r="E194">
        <v>12</v>
      </c>
      <c r="F194">
        <v>18.47</v>
      </c>
      <c r="G194">
        <v>11.42</v>
      </c>
      <c r="H194">
        <v>29.02</v>
      </c>
      <c r="I194">
        <v>1.1000000000000001</v>
      </c>
      <c r="J194">
        <v>289.95999999999998</v>
      </c>
      <c r="K194">
        <f t="shared" si="20"/>
        <v>3479.5199999999995</v>
      </c>
      <c r="L194">
        <f t="shared" si="21"/>
        <v>0</v>
      </c>
      <c r="M194">
        <f t="shared" ref="M194:M257" si="27">IF(D194="SHOES",O194,0)</f>
        <v>0</v>
      </c>
      <c r="N194">
        <f t="shared" si="22"/>
        <v>0</v>
      </c>
      <c r="O194">
        <f t="shared" si="23"/>
        <v>2531.1287999999995</v>
      </c>
      <c r="P194">
        <f t="shared" si="24"/>
        <v>632.78219999999988</v>
      </c>
      <c r="Q194">
        <f t="shared" si="25"/>
        <v>645.69095687999982</v>
      </c>
      <c r="R194">
        <f t="shared" si="26"/>
        <v>383.06400000000002</v>
      </c>
      <c r="S194">
        <f t="shared" ref="S194:S257" si="28">PRODUCT(J194,E194)</f>
        <v>3479.5199999999995</v>
      </c>
    </row>
    <row r="195" spans="1:19" x14ac:dyDescent="0.25">
      <c r="A195">
        <v>325</v>
      </c>
      <c r="B195">
        <v>1268</v>
      </c>
      <c r="C195" t="s">
        <v>34</v>
      </c>
      <c r="D195" t="s">
        <v>172</v>
      </c>
      <c r="E195">
        <v>29</v>
      </c>
      <c r="F195">
        <v>20.329999999999998</v>
      </c>
      <c r="G195">
        <v>9.18</v>
      </c>
      <c r="H195">
        <v>32.53</v>
      </c>
      <c r="I195">
        <v>0.99</v>
      </c>
      <c r="J195">
        <v>255.4</v>
      </c>
      <c r="K195">
        <f t="shared" ref="K195:K258" si="29">E195*J195</f>
        <v>7406.6</v>
      </c>
      <c r="L195">
        <f t="shared" ref="L195:L258" si="30">IF(D195="SHOES",E195*J195,0)</f>
        <v>0</v>
      </c>
      <c r="M195">
        <f t="shared" si="27"/>
        <v>0</v>
      </c>
      <c r="N195">
        <f t="shared" ref="N195:N258" si="31">IF(D195="SHOES",P195,0)</f>
        <v>0</v>
      </c>
      <c r="O195">
        <f t="shared" ref="O195:O258" si="32">PRODUCT(E195,G195,F195)</f>
        <v>5412.2525999999989</v>
      </c>
      <c r="P195">
        <f t="shared" ref="P195:P258" si="33">PRODUCT(O195,0.25)</f>
        <v>1353.0631499999997</v>
      </c>
      <c r="Q195">
        <f t="shared" ref="Q195:Q258" si="34">PRODUCT(O195,0.2551)</f>
        <v>1380.6656382599997</v>
      </c>
      <c r="R195">
        <f t="shared" ref="R195:R258" si="35">PRODUCT(E195,I195,H195)</f>
        <v>933.93630000000007</v>
      </c>
      <c r="S195">
        <f t="shared" si="28"/>
        <v>7406.6</v>
      </c>
    </row>
    <row r="196" spans="1:19" x14ac:dyDescent="0.25">
      <c r="A196">
        <v>326</v>
      </c>
      <c r="B196">
        <v>1268</v>
      </c>
      <c r="C196" t="s">
        <v>34</v>
      </c>
      <c r="D196" t="s">
        <v>172</v>
      </c>
      <c r="E196">
        <v>66</v>
      </c>
      <c r="F196">
        <v>18.399999999999999</v>
      </c>
      <c r="G196">
        <v>12.59</v>
      </c>
      <c r="H196">
        <v>32.5</v>
      </c>
      <c r="I196">
        <v>0.99</v>
      </c>
      <c r="J196">
        <v>382.88</v>
      </c>
      <c r="K196">
        <f t="shared" si="29"/>
        <v>25270.079999999998</v>
      </c>
      <c r="L196">
        <f t="shared" si="30"/>
        <v>0</v>
      </c>
      <c r="M196">
        <f t="shared" si="27"/>
        <v>0</v>
      </c>
      <c r="N196">
        <f t="shared" si="31"/>
        <v>0</v>
      </c>
      <c r="O196">
        <f t="shared" si="32"/>
        <v>15289.295999999998</v>
      </c>
      <c r="P196">
        <f t="shared" si="33"/>
        <v>3822.3239999999996</v>
      </c>
      <c r="Q196">
        <f t="shared" si="34"/>
        <v>3900.2994095999993</v>
      </c>
      <c r="R196">
        <f t="shared" si="35"/>
        <v>2123.5500000000002</v>
      </c>
      <c r="S196">
        <f t="shared" si="28"/>
        <v>25270.079999999998</v>
      </c>
    </row>
    <row r="197" spans="1:19" x14ac:dyDescent="0.25">
      <c r="A197">
        <v>327</v>
      </c>
      <c r="B197">
        <v>1268</v>
      </c>
      <c r="C197" t="s">
        <v>34</v>
      </c>
      <c r="D197" t="s">
        <v>173</v>
      </c>
      <c r="E197">
        <v>48</v>
      </c>
      <c r="F197">
        <v>15.18</v>
      </c>
      <c r="G197">
        <v>2.69</v>
      </c>
      <c r="H197">
        <v>29.28</v>
      </c>
      <c r="I197">
        <v>0.78</v>
      </c>
      <c r="J197">
        <v>81.27</v>
      </c>
      <c r="K197">
        <f t="shared" si="29"/>
        <v>3900.96</v>
      </c>
      <c r="L197">
        <f t="shared" si="30"/>
        <v>3900.96</v>
      </c>
      <c r="M197">
        <f t="shared" si="27"/>
        <v>1960.0416</v>
      </c>
      <c r="N197">
        <f t="shared" si="31"/>
        <v>490.0104</v>
      </c>
      <c r="O197">
        <f t="shared" si="32"/>
        <v>1960.0416</v>
      </c>
      <c r="P197">
        <f t="shared" si="33"/>
        <v>490.0104</v>
      </c>
      <c r="Q197">
        <f t="shared" si="34"/>
        <v>500.00661215999997</v>
      </c>
      <c r="R197">
        <f t="shared" si="35"/>
        <v>1096.2431999999999</v>
      </c>
      <c r="S197">
        <f t="shared" si="28"/>
        <v>3900.96</v>
      </c>
    </row>
    <row r="198" spans="1:19" x14ac:dyDescent="0.25">
      <c r="A198">
        <v>328</v>
      </c>
      <c r="B198">
        <v>1268</v>
      </c>
      <c r="C198" t="s">
        <v>34</v>
      </c>
      <c r="D198" t="s">
        <v>172</v>
      </c>
      <c r="E198">
        <v>17</v>
      </c>
      <c r="F198">
        <v>19.350000000000001</v>
      </c>
      <c r="G198">
        <v>11.12</v>
      </c>
      <c r="H198">
        <v>34.119999999999997</v>
      </c>
      <c r="I198">
        <v>1.1100000000000001</v>
      </c>
      <c r="J198">
        <v>365.14</v>
      </c>
      <c r="K198">
        <f t="shared" si="29"/>
        <v>6207.38</v>
      </c>
      <c r="L198">
        <f t="shared" si="30"/>
        <v>0</v>
      </c>
      <c r="M198">
        <f t="shared" si="27"/>
        <v>0</v>
      </c>
      <c r="N198">
        <f t="shared" si="31"/>
        <v>0</v>
      </c>
      <c r="O198">
        <f t="shared" si="32"/>
        <v>3657.924</v>
      </c>
      <c r="P198">
        <f t="shared" si="33"/>
        <v>914.48099999999999</v>
      </c>
      <c r="Q198">
        <f t="shared" si="34"/>
        <v>933.13641239999993</v>
      </c>
      <c r="R198">
        <f t="shared" si="35"/>
        <v>643.84439999999995</v>
      </c>
      <c r="S198">
        <f t="shared" si="28"/>
        <v>6207.38</v>
      </c>
    </row>
    <row r="199" spans="1:19" x14ac:dyDescent="0.25">
      <c r="A199">
        <v>329</v>
      </c>
      <c r="B199">
        <v>1269</v>
      </c>
      <c r="C199" t="s">
        <v>32</v>
      </c>
      <c r="D199" t="s">
        <v>172</v>
      </c>
      <c r="E199">
        <v>10</v>
      </c>
      <c r="F199">
        <v>22.33</v>
      </c>
      <c r="G199">
        <v>11.69</v>
      </c>
      <c r="H199">
        <v>23.78</v>
      </c>
      <c r="I199">
        <v>0.94</v>
      </c>
      <c r="J199">
        <v>414.89</v>
      </c>
      <c r="K199">
        <f t="shared" si="29"/>
        <v>4148.8999999999996</v>
      </c>
      <c r="L199">
        <f t="shared" si="30"/>
        <v>0</v>
      </c>
      <c r="M199">
        <f t="shared" si="27"/>
        <v>0</v>
      </c>
      <c r="N199">
        <f t="shared" si="31"/>
        <v>0</v>
      </c>
      <c r="O199">
        <f t="shared" si="32"/>
        <v>2610.3769999999995</v>
      </c>
      <c r="P199">
        <f t="shared" si="33"/>
        <v>652.59424999999987</v>
      </c>
      <c r="Q199">
        <f t="shared" si="34"/>
        <v>665.90717269999982</v>
      </c>
      <c r="R199">
        <f t="shared" si="35"/>
        <v>223.53199999999998</v>
      </c>
      <c r="S199">
        <f t="shared" si="28"/>
        <v>4148.8999999999996</v>
      </c>
    </row>
    <row r="200" spans="1:19" x14ac:dyDescent="0.25">
      <c r="A200">
        <v>330</v>
      </c>
      <c r="B200">
        <v>1269</v>
      </c>
      <c r="C200" t="s">
        <v>32</v>
      </c>
      <c r="D200" t="s">
        <v>172</v>
      </c>
      <c r="E200">
        <v>12</v>
      </c>
      <c r="F200">
        <v>20.73</v>
      </c>
      <c r="G200">
        <v>10.55</v>
      </c>
      <c r="H200">
        <v>32.119999999999997</v>
      </c>
      <c r="I200">
        <v>1.01</v>
      </c>
      <c r="J200">
        <v>300.01</v>
      </c>
      <c r="K200">
        <f t="shared" si="29"/>
        <v>3600.12</v>
      </c>
      <c r="L200">
        <f t="shared" si="30"/>
        <v>0</v>
      </c>
      <c r="M200">
        <f t="shared" si="27"/>
        <v>0</v>
      </c>
      <c r="N200">
        <f t="shared" si="31"/>
        <v>0</v>
      </c>
      <c r="O200">
        <f t="shared" si="32"/>
        <v>2624.4180000000001</v>
      </c>
      <c r="P200">
        <f t="shared" si="33"/>
        <v>656.10450000000003</v>
      </c>
      <c r="Q200">
        <f t="shared" si="34"/>
        <v>669.48903180000002</v>
      </c>
      <c r="R200">
        <f t="shared" si="35"/>
        <v>389.2944</v>
      </c>
      <c r="S200">
        <f t="shared" si="28"/>
        <v>3600.12</v>
      </c>
    </row>
    <row r="201" spans="1:19" x14ac:dyDescent="0.25">
      <c r="A201">
        <v>331</v>
      </c>
      <c r="B201">
        <v>1269</v>
      </c>
      <c r="C201" t="s">
        <v>32</v>
      </c>
      <c r="D201" t="s">
        <v>172</v>
      </c>
      <c r="E201">
        <v>15</v>
      </c>
      <c r="F201">
        <v>21.88</v>
      </c>
      <c r="G201">
        <v>11.09</v>
      </c>
      <c r="H201">
        <v>33.119999999999997</v>
      </c>
      <c r="I201">
        <v>0.99</v>
      </c>
      <c r="J201">
        <v>399.96</v>
      </c>
      <c r="K201">
        <f t="shared" si="29"/>
        <v>5999.4</v>
      </c>
      <c r="L201">
        <f t="shared" si="30"/>
        <v>0</v>
      </c>
      <c r="M201">
        <f t="shared" si="27"/>
        <v>0</v>
      </c>
      <c r="N201">
        <f t="shared" si="31"/>
        <v>0</v>
      </c>
      <c r="O201">
        <f t="shared" si="32"/>
        <v>3639.7379999999998</v>
      </c>
      <c r="P201">
        <f t="shared" si="33"/>
        <v>909.93449999999996</v>
      </c>
      <c r="Q201">
        <f t="shared" si="34"/>
        <v>928.49716379999995</v>
      </c>
      <c r="R201">
        <f t="shared" si="35"/>
        <v>491.83199999999994</v>
      </c>
      <c r="S201">
        <f t="shared" si="28"/>
        <v>5999.4</v>
      </c>
    </row>
    <row r="202" spans="1:19" x14ac:dyDescent="0.25">
      <c r="A202">
        <v>332</v>
      </c>
      <c r="B202">
        <v>1269</v>
      </c>
      <c r="C202" t="s">
        <v>32</v>
      </c>
      <c r="D202" t="s">
        <v>173</v>
      </c>
      <c r="E202">
        <v>9</v>
      </c>
      <c r="F202">
        <v>16.04</v>
      </c>
      <c r="G202">
        <v>2.92</v>
      </c>
      <c r="H202">
        <v>31.7</v>
      </c>
      <c r="I202">
        <v>0.8</v>
      </c>
      <c r="J202">
        <v>92.3</v>
      </c>
      <c r="K202">
        <f t="shared" si="29"/>
        <v>830.69999999999993</v>
      </c>
      <c r="L202">
        <f t="shared" si="30"/>
        <v>830.69999999999993</v>
      </c>
      <c r="M202">
        <f t="shared" si="27"/>
        <v>421.53120000000001</v>
      </c>
      <c r="N202">
        <f t="shared" si="31"/>
        <v>105.3828</v>
      </c>
      <c r="O202">
        <f t="shared" si="32"/>
        <v>421.53120000000001</v>
      </c>
      <c r="P202">
        <f t="shared" si="33"/>
        <v>105.3828</v>
      </c>
      <c r="Q202">
        <f t="shared" si="34"/>
        <v>107.53260912</v>
      </c>
      <c r="R202">
        <f t="shared" si="35"/>
        <v>228.24</v>
      </c>
      <c r="S202">
        <f t="shared" si="28"/>
        <v>830.69999999999993</v>
      </c>
    </row>
    <row r="203" spans="1:19" x14ac:dyDescent="0.25">
      <c r="A203">
        <v>333</v>
      </c>
      <c r="B203">
        <v>1269</v>
      </c>
      <c r="C203" t="s">
        <v>32</v>
      </c>
      <c r="D203" t="s">
        <v>172</v>
      </c>
      <c r="E203">
        <v>23</v>
      </c>
      <c r="F203">
        <v>17.850000000000001</v>
      </c>
      <c r="G203">
        <v>11.26</v>
      </c>
      <c r="H203">
        <v>29.79</v>
      </c>
      <c r="I203">
        <v>1.04</v>
      </c>
      <c r="J203">
        <v>335.84</v>
      </c>
      <c r="K203">
        <f t="shared" si="29"/>
        <v>7724.32</v>
      </c>
      <c r="L203">
        <f t="shared" si="30"/>
        <v>0</v>
      </c>
      <c r="M203">
        <f t="shared" si="27"/>
        <v>0</v>
      </c>
      <c r="N203">
        <f t="shared" si="31"/>
        <v>0</v>
      </c>
      <c r="O203">
        <f t="shared" si="32"/>
        <v>4622.7930000000006</v>
      </c>
      <c r="P203">
        <f t="shared" si="33"/>
        <v>1155.6982500000001</v>
      </c>
      <c r="Q203">
        <f t="shared" si="34"/>
        <v>1179.2744943</v>
      </c>
      <c r="R203">
        <f t="shared" si="35"/>
        <v>712.57680000000005</v>
      </c>
      <c r="S203">
        <f t="shared" si="28"/>
        <v>7724.32</v>
      </c>
    </row>
    <row r="204" spans="1:19" x14ac:dyDescent="0.25">
      <c r="A204">
        <v>334</v>
      </c>
      <c r="B204">
        <v>1269</v>
      </c>
      <c r="C204" t="s">
        <v>32</v>
      </c>
      <c r="D204" t="s">
        <v>173</v>
      </c>
      <c r="E204">
        <v>11</v>
      </c>
      <c r="F204">
        <v>14.6</v>
      </c>
      <c r="G204">
        <v>2.98</v>
      </c>
      <c r="H204">
        <v>34.380000000000003</v>
      </c>
      <c r="I204">
        <v>0.8</v>
      </c>
      <c r="J204">
        <v>90.08</v>
      </c>
      <c r="K204">
        <f t="shared" si="29"/>
        <v>990.88</v>
      </c>
      <c r="L204">
        <f t="shared" si="30"/>
        <v>990.88</v>
      </c>
      <c r="M204">
        <f t="shared" si="27"/>
        <v>478.58800000000002</v>
      </c>
      <c r="N204">
        <f t="shared" si="31"/>
        <v>119.64700000000001</v>
      </c>
      <c r="O204">
        <f t="shared" si="32"/>
        <v>478.58800000000002</v>
      </c>
      <c r="P204">
        <f t="shared" si="33"/>
        <v>119.64700000000001</v>
      </c>
      <c r="Q204">
        <f t="shared" si="34"/>
        <v>122.0877988</v>
      </c>
      <c r="R204">
        <f t="shared" si="35"/>
        <v>302.54400000000004</v>
      </c>
      <c r="S204">
        <f t="shared" si="28"/>
        <v>990.88</v>
      </c>
    </row>
    <row r="205" spans="1:19" x14ac:dyDescent="0.25">
      <c r="A205">
        <v>335</v>
      </c>
      <c r="B205">
        <v>1269</v>
      </c>
      <c r="C205" t="s">
        <v>32</v>
      </c>
      <c r="D205" t="s">
        <v>173</v>
      </c>
      <c r="E205">
        <v>13</v>
      </c>
      <c r="F205">
        <v>17.22</v>
      </c>
      <c r="G205">
        <v>2.69</v>
      </c>
      <c r="H205">
        <v>32.93</v>
      </c>
      <c r="I205">
        <v>0.76</v>
      </c>
      <c r="J205">
        <v>91.22</v>
      </c>
      <c r="K205">
        <f t="shared" si="29"/>
        <v>1185.8599999999999</v>
      </c>
      <c r="L205">
        <f t="shared" si="30"/>
        <v>1185.8599999999999</v>
      </c>
      <c r="M205">
        <f t="shared" si="27"/>
        <v>602.18339999999989</v>
      </c>
      <c r="N205">
        <f t="shared" si="31"/>
        <v>150.54584999999997</v>
      </c>
      <c r="O205">
        <f t="shared" si="32"/>
        <v>602.18339999999989</v>
      </c>
      <c r="P205">
        <f t="shared" si="33"/>
        <v>150.54584999999997</v>
      </c>
      <c r="Q205">
        <f t="shared" si="34"/>
        <v>153.61698533999996</v>
      </c>
      <c r="R205">
        <f t="shared" si="35"/>
        <v>325.34840000000003</v>
      </c>
      <c r="S205">
        <f t="shared" si="28"/>
        <v>1185.8599999999999</v>
      </c>
    </row>
    <row r="206" spans="1:19" x14ac:dyDescent="0.25">
      <c r="A206">
        <v>336</v>
      </c>
      <c r="B206">
        <v>1270</v>
      </c>
      <c r="C206" t="s">
        <v>34</v>
      </c>
      <c r="D206" t="s">
        <v>172</v>
      </c>
      <c r="E206">
        <v>19</v>
      </c>
      <c r="F206">
        <v>18.690000000000001</v>
      </c>
      <c r="G206">
        <v>11.28</v>
      </c>
      <c r="H206">
        <v>28.78</v>
      </c>
      <c r="I206">
        <v>1.03</v>
      </c>
      <c r="J206">
        <v>348.87</v>
      </c>
      <c r="K206">
        <f t="shared" si="29"/>
        <v>6628.53</v>
      </c>
      <c r="L206">
        <f t="shared" si="30"/>
        <v>0</v>
      </c>
      <c r="M206">
        <f t="shared" si="27"/>
        <v>0</v>
      </c>
      <c r="N206">
        <f t="shared" si="31"/>
        <v>0</v>
      </c>
      <c r="O206">
        <f t="shared" si="32"/>
        <v>4005.6408000000001</v>
      </c>
      <c r="P206">
        <f t="shared" si="33"/>
        <v>1001.4102</v>
      </c>
      <c r="Q206">
        <f t="shared" si="34"/>
        <v>1021.83896808</v>
      </c>
      <c r="R206">
        <f t="shared" si="35"/>
        <v>563.22460000000001</v>
      </c>
      <c r="S206">
        <f t="shared" si="28"/>
        <v>6628.53</v>
      </c>
    </row>
    <row r="207" spans="1:19" x14ac:dyDescent="0.25">
      <c r="A207">
        <v>337</v>
      </c>
      <c r="B207">
        <v>1270</v>
      </c>
      <c r="C207" t="s">
        <v>34</v>
      </c>
      <c r="D207" t="s">
        <v>172</v>
      </c>
      <c r="E207">
        <v>17</v>
      </c>
      <c r="F207">
        <v>19.57</v>
      </c>
      <c r="G207">
        <v>11.35</v>
      </c>
      <c r="H207">
        <v>34.35</v>
      </c>
      <c r="I207">
        <v>0.98</v>
      </c>
      <c r="J207">
        <v>370.46</v>
      </c>
      <c r="K207">
        <f t="shared" si="29"/>
        <v>6297.82</v>
      </c>
      <c r="L207">
        <f t="shared" si="30"/>
        <v>0</v>
      </c>
      <c r="M207">
        <f t="shared" si="27"/>
        <v>0</v>
      </c>
      <c r="N207">
        <f t="shared" si="31"/>
        <v>0</v>
      </c>
      <c r="O207">
        <f t="shared" si="32"/>
        <v>3776.0315000000001</v>
      </c>
      <c r="P207">
        <f t="shared" si="33"/>
        <v>944.00787500000001</v>
      </c>
      <c r="Q207">
        <f t="shared" si="34"/>
        <v>963.26563565000004</v>
      </c>
      <c r="R207">
        <f t="shared" si="35"/>
        <v>572.27100000000007</v>
      </c>
      <c r="S207">
        <f t="shared" si="28"/>
        <v>6297.82</v>
      </c>
    </row>
    <row r="208" spans="1:19" x14ac:dyDescent="0.25">
      <c r="A208">
        <v>338</v>
      </c>
      <c r="B208">
        <v>1270</v>
      </c>
      <c r="C208" t="s">
        <v>34</v>
      </c>
      <c r="D208" t="s">
        <v>172</v>
      </c>
      <c r="E208">
        <v>30</v>
      </c>
      <c r="F208">
        <v>20.23</v>
      </c>
      <c r="G208">
        <v>11.66</v>
      </c>
      <c r="H208">
        <v>33.5</v>
      </c>
      <c r="I208">
        <v>1.05</v>
      </c>
      <c r="J208">
        <v>323.76</v>
      </c>
      <c r="K208">
        <f t="shared" si="29"/>
        <v>9712.7999999999993</v>
      </c>
      <c r="L208">
        <f t="shared" si="30"/>
        <v>0</v>
      </c>
      <c r="M208">
        <f t="shared" si="27"/>
        <v>0</v>
      </c>
      <c r="N208">
        <f t="shared" si="31"/>
        <v>0</v>
      </c>
      <c r="O208">
        <f t="shared" si="32"/>
        <v>7076.4540000000006</v>
      </c>
      <c r="P208">
        <f t="shared" si="33"/>
        <v>1769.1135000000002</v>
      </c>
      <c r="Q208">
        <f t="shared" si="34"/>
        <v>1805.2034154</v>
      </c>
      <c r="R208">
        <f t="shared" si="35"/>
        <v>1055.25</v>
      </c>
      <c r="S208">
        <f t="shared" si="28"/>
        <v>9712.7999999999993</v>
      </c>
    </row>
    <row r="209" spans="1:19" x14ac:dyDescent="0.25">
      <c r="A209">
        <v>339</v>
      </c>
      <c r="B209">
        <v>1270</v>
      </c>
      <c r="C209" t="s">
        <v>34</v>
      </c>
      <c r="D209" t="s">
        <v>173</v>
      </c>
      <c r="E209">
        <v>12</v>
      </c>
      <c r="F209">
        <v>14.91</v>
      </c>
      <c r="G209">
        <v>2.82</v>
      </c>
      <c r="H209">
        <v>31.69</v>
      </c>
      <c r="I209">
        <v>0.83</v>
      </c>
      <c r="J209">
        <v>86.75</v>
      </c>
      <c r="K209">
        <f t="shared" si="29"/>
        <v>1041</v>
      </c>
      <c r="L209">
        <f t="shared" si="30"/>
        <v>1041</v>
      </c>
      <c r="M209">
        <f t="shared" si="27"/>
        <v>504.55439999999993</v>
      </c>
      <c r="N209">
        <f t="shared" si="31"/>
        <v>126.13859999999998</v>
      </c>
      <c r="O209">
        <f t="shared" si="32"/>
        <v>504.55439999999993</v>
      </c>
      <c r="P209">
        <f t="shared" si="33"/>
        <v>126.13859999999998</v>
      </c>
      <c r="Q209">
        <f t="shared" si="34"/>
        <v>128.71182743999998</v>
      </c>
      <c r="R209">
        <f t="shared" si="35"/>
        <v>315.63239999999996</v>
      </c>
      <c r="S209">
        <f t="shared" si="28"/>
        <v>1041</v>
      </c>
    </row>
    <row r="210" spans="1:19" x14ac:dyDescent="0.25">
      <c r="A210">
        <v>340</v>
      </c>
      <c r="B210">
        <v>1270</v>
      </c>
      <c r="C210" t="s">
        <v>34</v>
      </c>
      <c r="D210" t="s">
        <v>172</v>
      </c>
      <c r="E210">
        <v>6</v>
      </c>
      <c r="F210">
        <v>18.95</v>
      </c>
      <c r="G210">
        <v>9.42</v>
      </c>
      <c r="H210">
        <v>28.37</v>
      </c>
      <c r="I210">
        <v>1.1000000000000001</v>
      </c>
      <c r="J210">
        <v>302.67</v>
      </c>
      <c r="K210">
        <f t="shared" si="29"/>
        <v>1816.02</v>
      </c>
      <c r="L210">
        <f t="shared" si="30"/>
        <v>0</v>
      </c>
      <c r="M210">
        <f t="shared" si="27"/>
        <v>0</v>
      </c>
      <c r="N210">
        <f t="shared" si="31"/>
        <v>0</v>
      </c>
      <c r="O210">
        <f t="shared" si="32"/>
        <v>1071.0539999999999</v>
      </c>
      <c r="P210">
        <f t="shared" si="33"/>
        <v>267.76349999999996</v>
      </c>
      <c r="Q210">
        <f t="shared" si="34"/>
        <v>273.22587539999995</v>
      </c>
      <c r="R210">
        <f t="shared" si="35"/>
        <v>187.24200000000002</v>
      </c>
      <c r="S210">
        <f t="shared" si="28"/>
        <v>1816.02</v>
      </c>
    </row>
    <row r="211" spans="1:19" x14ac:dyDescent="0.25">
      <c r="A211">
        <v>341</v>
      </c>
      <c r="B211">
        <v>1270</v>
      </c>
      <c r="C211" t="s">
        <v>34</v>
      </c>
      <c r="D211" t="s">
        <v>172</v>
      </c>
      <c r="E211">
        <v>21</v>
      </c>
      <c r="F211">
        <v>19.02</v>
      </c>
      <c r="G211">
        <v>10.93</v>
      </c>
      <c r="H211">
        <v>31.27</v>
      </c>
      <c r="I211">
        <v>1.08</v>
      </c>
      <c r="J211">
        <v>349.42</v>
      </c>
      <c r="K211">
        <f t="shared" si="29"/>
        <v>7337.8200000000006</v>
      </c>
      <c r="L211">
        <f t="shared" si="30"/>
        <v>0</v>
      </c>
      <c r="M211">
        <f t="shared" si="27"/>
        <v>0</v>
      </c>
      <c r="N211">
        <f t="shared" si="31"/>
        <v>0</v>
      </c>
      <c r="O211">
        <f t="shared" si="32"/>
        <v>4365.6606000000002</v>
      </c>
      <c r="P211">
        <f t="shared" si="33"/>
        <v>1091.41515</v>
      </c>
      <c r="Q211">
        <f t="shared" si="34"/>
        <v>1113.6800190599999</v>
      </c>
      <c r="R211">
        <f t="shared" si="35"/>
        <v>709.20359999999994</v>
      </c>
      <c r="S211">
        <f t="shared" si="28"/>
        <v>7337.8200000000006</v>
      </c>
    </row>
    <row r="212" spans="1:19" x14ac:dyDescent="0.25">
      <c r="A212">
        <v>342</v>
      </c>
      <c r="B212">
        <v>1270</v>
      </c>
      <c r="C212" t="s">
        <v>34</v>
      </c>
      <c r="D212" t="s">
        <v>172</v>
      </c>
      <c r="E212">
        <v>22</v>
      </c>
      <c r="F212">
        <v>19.47</v>
      </c>
      <c r="G212">
        <v>11.57</v>
      </c>
      <c r="H212">
        <v>31.21</v>
      </c>
      <c r="I212">
        <v>0.98</v>
      </c>
      <c r="J212">
        <v>371.48</v>
      </c>
      <c r="K212">
        <f t="shared" si="29"/>
        <v>8172.56</v>
      </c>
      <c r="L212">
        <f t="shared" si="30"/>
        <v>0</v>
      </c>
      <c r="M212">
        <f t="shared" si="27"/>
        <v>0</v>
      </c>
      <c r="N212">
        <f t="shared" si="31"/>
        <v>0</v>
      </c>
      <c r="O212">
        <f t="shared" si="32"/>
        <v>4955.8937999999998</v>
      </c>
      <c r="P212">
        <f t="shared" si="33"/>
        <v>1238.97345</v>
      </c>
      <c r="Q212">
        <f t="shared" si="34"/>
        <v>1264.24850838</v>
      </c>
      <c r="R212">
        <f t="shared" si="35"/>
        <v>672.88760000000002</v>
      </c>
      <c r="S212">
        <f t="shared" si="28"/>
        <v>8172.56</v>
      </c>
    </row>
    <row r="213" spans="1:19" x14ac:dyDescent="0.25">
      <c r="A213">
        <v>343</v>
      </c>
      <c r="B213">
        <v>1270</v>
      </c>
      <c r="C213" t="s">
        <v>34</v>
      </c>
      <c r="D213" t="s">
        <v>173</v>
      </c>
      <c r="E213">
        <v>20</v>
      </c>
      <c r="F213">
        <v>14.11</v>
      </c>
      <c r="G213">
        <v>3.06</v>
      </c>
      <c r="H213">
        <v>33.11</v>
      </c>
      <c r="I213">
        <v>0.83</v>
      </c>
      <c r="J213">
        <v>89.6</v>
      </c>
      <c r="K213">
        <f t="shared" si="29"/>
        <v>1792</v>
      </c>
      <c r="L213">
        <f t="shared" si="30"/>
        <v>1792</v>
      </c>
      <c r="M213">
        <f t="shared" si="27"/>
        <v>863.53200000000004</v>
      </c>
      <c r="N213">
        <f t="shared" si="31"/>
        <v>215.88300000000001</v>
      </c>
      <c r="O213">
        <f t="shared" si="32"/>
        <v>863.53200000000004</v>
      </c>
      <c r="P213">
        <f t="shared" si="33"/>
        <v>215.88300000000001</v>
      </c>
      <c r="Q213">
        <f t="shared" si="34"/>
        <v>220.28701320000002</v>
      </c>
      <c r="R213">
        <f t="shared" si="35"/>
        <v>549.62599999999998</v>
      </c>
      <c r="S213">
        <f t="shared" si="28"/>
        <v>1792</v>
      </c>
    </row>
    <row r="214" spans="1:19" x14ac:dyDescent="0.25">
      <c r="A214">
        <v>344</v>
      </c>
      <c r="B214">
        <v>1270</v>
      </c>
      <c r="C214" t="s">
        <v>34</v>
      </c>
      <c r="D214" t="s">
        <v>172</v>
      </c>
      <c r="E214">
        <v>29</v>
      </c>
      <c r="F214">
        <v>18.89</v>
      </c>
      <c r="G214">
        <v>10.71</v>
      </c>
      <c r="H214">
        <v>34.83</v>
      </c>
      <c r="I214">
        <v>1.01</v>
      </c>
      <c r="J214">
        <v>342.8</v>
      </c>
      <c r="K214">
        <f t="shared" si="29"/>
        <v>9941.2000000000007</v>
      </c>
      <c r="L214">
        <f t="shared" si="30"/>
        <v>0</v>
      </c>
      <c r="M214">
        <f t="shared" si="27"/>
        <v>0</v>
      </c>
      <c r="N214">
        <f t="shared" si="31"/>
        <v>0</v>
      </c>
      <c r="O214">
        <f t="shared" si="32"/>
        <v>5867.0451000000012</v>
      </c>
      <c r="P214">
        <f t="shared" si="33"/>
        <v>1466.7612750000003</v>
      </c>
      <c r="Q214">
        <f t="shared" si="34"/>
        <v>1496.6832050100002</v>
      </c>
      <c r="R214">
        <f t="shared" si="35"/>
        <v>1020.1706999999999</v>
      </c>
      <c r="S214">
        <f t="shared" si="28"/>
        <v>9941.2000000000007</v>
      </c>
    </row>
    <row r="215" spans="1:19" x14ac:dyDescent="0.25">
      <c r="A215">
        <v>345</v>
      </c>
      <c r="B215">
        <v>1270</v>
      </c>
      <c r="C215" t="s">
        <v>34</v>
      </c>
      <c r="D215" t="s">
        <v>173</v>
      </c>
      <c r="E215">
        <v>11</v>
      </c>
      <c r="F215">
        <v>14.49</v>
      </c>
      <c r="G215">
        <v>2.88</v>
      </c>
      <c r="H215">
        <v>31.96</v>
      </c>
      <c r="I215">
        <v>0.76</v>
      </c>
      <c r="J215">
        <v>84.1</v>
      </c>
      <c r="K215">
        <f t="shared" si="29"/>
        <v>925.09999999999991</v>
      </c>
      <c r="L215">
        <f t="shared" si="30"/>
        <v>925.09999999999991</v>
      </c>
      <c r="M215">
        <f t="shared" si="27"/>
        <v>459.04320000000001</v>
      </c>
      <c r="N215">
        <f t="shared" si="31"/>
        <v>114.7608</v>
      </c>
      <c r="O215">
        <f t="shared" si="32"/>
        <v>459.04320000000001</v>
      </c>
      <c r="P215">
        <f t="shared" si="33"/>
        <v>114.7608</v>
      </c>
      <c r="Q215">
        <f t="shared" si="34"/>
        <v>117.10192032</v>
      </c>
      <c r="R215">
        <f t="shared" si="35"/>
        <v>267.18559999999997</v>
      </c>
      <c r="S215">
        <f t="shared" si="28"/>
        <v>925.09999999999991</v>
      </c>
    </row>
    <row r="216" spans="1:19" x14ac:dyDescent="0.25">
      <c r="A216">
        <v>346</v>
      </c>
      <c r="B216">
        <v>1270</v>
      </c>
      <c r="C216" t="s">
        <v>34</v>
      </c>
      <c r="D216" t="s">
        <v>172</v>
      </c>
      <c r="E216">
        <v>8</v>
      </c>
      <c r="F216">
        <v>18.600000000000001</v>
      </c>
      <c r="G216">
        <v>11.13</v>
      </c>
      <c r="H216">
        <v>34.85</v>
      </c>
      <c r="I216">
        <v>0.97</v>
      </c>
      <c r="J216">
        <v>348.17</v>
      </c>
      <c r="K216">
        <f t="shared" si="29"/>
        <v>2785.36</v>
      </c>
      <c r="L216">
        <f t="shared" si="30"/>
        <v>0</v>
      </c>
      <c r="M216">
        <f t="shared" si="27"/>
        <v>0</v>
      </c>
      <c r="N216">
        <f t="shared" si="31"/>
        <v>0</v>
      </c>
      <c r="O216">
        <f t="shared" si="32"/>
        <v>1656.1440000000002</v>
      </c>
      <c r="P216">
        <f t="shared" si="33"/>
        <v>414.03600000000006</v>
      </c>
      <c r="Q216">
        <f t="shared" si="34"/>
        <v>422.48233440000007</v>
      </c>
      <c r="R216">
        <f t="shared" si="35"/>
        <v>270.43599999999998</v>
      </c>
      <c r="S216">
        <f t="shared" si="28"/>
        <v>2785.36</v>
      </c>
    </row>
    <row r="217" spans="1:19" x14ac:dyDescent="0.25">
      <c r="A217">
        <v>347</v>
      </c>
      <c r="B217">
        <v>1271</v>
      </c>
      <c r="C217" t="s">
        <v>32</v>
      </c>
      <c r="D217" t="s">
        <v>172</v>
      </c>
      <c r="E217">
        <v>161</v>
      </c>
      <c r="F217">
        <v>21.43</v>
      </c>
      <c r="G217">
        <v>11.14</v>
      </c>
      <c r="H217">
        <v>25.54</v>
      </c>
      <c r="I217">
        <v>1.1000000000000001</v>
      </c>
      <c r="J217">
        <v>388.54</v>
      </c>
      <c r="K217">
        <f t="shared" si="29"/>
        <v>62554.94</v>
      </c>
      <c r="L217">
        <f t="shared" si="30"/>
        <v>0</v>
      </c>
      <c r="M217">
        <f t="shared" si="27"/>
        <v>0</v>
      </c>
      <c r="N217">
        <f t="shared" si="31"/>
        <v>0</v>
      </c>
      <c r="O217">
        <f t="shared" si="32"/>
        <v>38435.5622</v>
      </c>
      <c r="P217">
        <f t="shared" si="33"/>
        <v>9608.8905500000001</v>
      </c>
      <c r="Q217">
        <f t="shared" si="34"/>
        <v>9804.9119172199989</v>
      </c>
      <c r="R217">
        <f t="shared" si="35"/>
        <v>4523.134</v>
      </c>
      <c r="S217">
        <f t="shared" si="28"/>
        <v>62554.94</v>
      </c>
    </row>
    <row r="218" spans="1:19" x14ac:dyDescent="0.25">
      <c r="A218">
        <v>348</v>
      </c>
      <c r="B218">
        <v>1271</v>
      </c>
      <c r="C218" t="s">
        <v>32</v>
      </c>
      <c r="D218" t="s">
        <v>173</v>
      </c>
      <c r="E218">
        <v>8</v>
      </c>
      <c r="F218">
        <v>15.42</v>
      </c>
      <c r="G218">
        <v>2.66</v>
      </c>
      <c r="H218">
        <v>29.64</v>
      </c>
      <c r="I218">
        <v>0.78</v>
      </c>
      <c r="J218">
        <v>81.83</v>
      </c>
      <c r="K218">
        <f t="shared" si="29"/>
        <v>654.64</v>
      </c>
      <c r="L218">
        <f t="shared" si="30"/>
        <v>654.64</v>
      </c>
      <c r="M218">
        <f t="shared" si="27"/>
        <v>328.13760000000002</v>
      </c>
      <c r="N218">
        <f t="shared" si="31"/>
        <v>82.034400000000005</v>
      </c>
      <c r="O218">
        <f t="shared" si="32"/>
        <v>328.13760000000002</v>
      </c>
      <c r="P218">
        <f t="shared" si="33"/>
        <v>82.034400000000005</v>
      </c>
      <c r="Q218">
        <f t="shared" si="34"/>
        <v>83.707901759999999</v>
      </c>
      <c r="R218">
        <f t="shared" si="35"/>
        <v>184.95360000000002</v>
      </c>
      <c r="S218">
        <f t="shared" si="28"/>
        <v>654.64</v>
      </c>
    </row>
    <row r="219" spans="1:19" x14ac:dyDescent="0.25">
      <c r="A219">
        <v>349</v>
      </c>
      <c r="B219">
        <v>1271</v>
      </c>
      <c r="C219" t="s">
        <v>32</v>
      </c>
      <c r="D219" t="s">
        <v>172</v>
      </c>
      <c r="E219">
        <v>14</v>
      </c>
      <c r="F219">
        <v>18.48</v>
      </c>
      <c r="G219">
        <v>11.19</v>
      </c>
      <c r="H219">
        <v>30.51</v>
      </c>
      <c r="I219">
        <v>1</v>
      </c>
      <c r="J219">
        <v>343.91</v>
      </c>
      <c r="K219">
        <f t="shared" si="29"/>
        <v>4814.7400000000007</v>
      </c>
      <c r="L219">
        <f t="shared" si="30"/>
        <v>0</v>
      </c>
      <c r="M219">
        <f t="shared" si="27"/>
        <v>0</v>
      </c>
      <c r="N219">
        <f t="shared" si="31"/>
        <v>0</v>
      </c>
      <c r="O219">
        <f t="shared" si="32"/>
        <v>2895.0767999999998</v>
      </c>
      <c r="P219">
        <f t="shared" si="33"/>
        <v>723.76919999999996</v>
      </c>
      <c r="Q219">
        <f t="shared" si="34"/>
        <v>738.53409167999996</v>
      </c>
      <c r="R219">
        <f t="shared" si="35"/>
        <v>427.14000000000004</v>
      </c>
      <c r="S219">
        <f t="shared" si="28"/>
        <v>4814.7400000000007</v>
      </c>
    </row>
    <row r="220" spans="1:19" x14ac:dyDescent="0.25">
      <c r="A220">
        <v>350</v>
      </c>
      <c r="B220">
        <v>1271</v>
      </c>
      <c r="C220" t="s">
        <v>32</v>
      </c>
      <c r="D220" t="s">
        <v>173</v>
      </c>
      <c r="E220">
        <v>14</v>
      </c>
      <c r="F220">
        <v>13.68</v>
      </c>
      <c r="G220">
        <v>2.96</v>
      </c>
      <c r="H220">
        <v>33.200000000000003</v>
      </c>
      <c r="I220">
        <v>0.79</v>
      </c>
      <c r="J220">
        <v>84.53</v>
      </c>
      <c r="K220">
        <f t="shared" si="29"/>
        <v>1183.42</v>
      </c>
      <c r="L220">
        <f t="shared" si="30"/>
        <v>1183.42</v>
      </c>
      <c r="M220">
        <f t="shared" si="27"/>
        <v>566.89919999999995</v>
      </c>
      <c r="N220">
        <f t="shared" si="31"/>
        <v>141.72479999999999</v>
      </c>
      <c r="O220">
        <f t="shared" si="32"/>
        <v>566.89919999999995</v>
      </c>
      <c r="P220">
        <f t="shared" si="33"/>
        <v>141.72479999999999</v>
      </c>
      <c r="Q220">
        <f t="shared" si="34"/>
        <v>144.61598591999999</v>
      </c>
      <c r="R220">
        <f t="shared" si="35"/>
        <v>367.19200000000006</v>
      </c>
      <c r="S220">
        <f t="shared" si="28"/>
        <v>1183.42</v>
      </c>
    </row>
    <row r="221" spans="1:19" x14ac:dyDescent="0.25">
      <c r="A221">
        <v>351</v>
      </c>
      <c r="B221">
        <v>1271</v>
      </c>
      <c r="C221" t="s">
        <v>32</v>
      </c>
      <c r="D221" t="s">
        <v>172</v>
      </c>
      <c r="E221">
        <v>12</v>
      </c>
      <c r="F221">
        <v>19.97</v>
      </c>
      <c r="G221">
        <v>10.78</v>
      </c>
      <c r="H221">
        <v>37.5</v>
      </c>
      <c r="I221">
        <v>0.96</v>
      </c>
      <c r="J221">
        <v>363.06</v>
      </c>
      <c r="K221">
        <f t="shared" si="29"/>
        <v>4356.72</v>
      </c>
      <c r="L221">
        <f t="shared" si="30"/>
        <v>0</v>
      </c>
      <c r="M221">
        <f t="shared" si="27"/>
        <v>0</v>
      </c>
      <c r="N221">
        <f t="shared" si="31"/>
        <v>0</v>
      </c>
      <c r="O221">
        <f t="shared" si="32"/>
        <v>2583.3191999999995</v>
      </c>
      <c r="P221">
        <f t="shared" si="33"/>
        <v>645.82979999999986</v>
      </c>
      <c r="Q221">
        <f t="shared" si="34"/>
        <v>659.00472791999982</v>
      </c>
      <c r="R221">
        <f t="shared" si="35"/>
        <v>432</v>
      </c>
      <c r="S221">
        <f t="shared" si="28"/>
        <v>4356.72</v>
      </c>
    </row>
    <row r="222" spans="1:19" x14ac:dyDescent="0.25">
      <c r="A222">
        <v>352</v>
      </c>
      <c r="B222">
        <v>1271</v>
      </c>
      <c r="C222" t="s">
        <v>32</v>
      </c>
      <c r="D222" t="s">
        <v>173</v>
      </c>
      <c r="E222">
        <v>12</v>
      </c>
      <c r="F222">
        <v>14.26</v>
      </c>
      <c r="G222">
        <v>2.68</v>
      </c>
      <c r="H222">
        <v>30.78</v>
      </c>
      <c r="I222">
        <v>0.8</v>
      </c>
      <c r="J222">
        <v>79.63</v>
      </c>
      <c r="K222">
        <f t="shared" si="29"/>
        <v>955.56</v>
      </c>
      <c r="L222">
        <f t="shared" si="30"/>
        <v>955.56</v>
      </c>
      <c r="M222">
        <f t="shared" si="27"/>
        <v>458.60160000000002</v>
      </c>
      <c r="N222">
        <f t="shared" si="31"/>
        <v>114.6504</v>
      </c>
      <c r="O222">
        <f t="shared" si="32"/>
        <v>458.60160000000002</v>
      </c>
      <c r="P222">
        <f t="shared" si="33"/>
        <v>114.6504</v>
      </c>
      <c r="Q222">
        <f t="shared" si="34"/>
        <v>116.98926816000001</v>
      </c>
      <c r="R222">
        <f t="shared" si="35"/>
        <v>295.48800000000006</v>
      </c>
      <c r="S222">
        <f t="shared" si="28"/>
        <v>955.56</v>
      </c>
    </row>
    <row r="223" spans="1:19" x14ac:dyDescent="0.25">
      <c r="A223">
        <v>353</v>
      </c>
      <c r="B223">
        <v>1271</v>
      </c>
      <c r="C223" t="s">
        <v>32</v>
      </c>
      <c r="D223" t="s">
        <v>173</v>
      </c>
      <c r="E223">
        <v>14</v>
      </c>
      <c r="F223">
        <v>14.09</v>
      </c>
      <c r="G223">
        <v>3.03</v>
      </c>
      <c r="H223">
        <v>32.39</v>
      </c>
      <c r="I223">
        <v>0.8</v>
      </c>
      <c r="J223">
        <v>87.21</v>
      </c>
      <c r="K223">
        <f t="shared" si="29"/>
        <v>1220.9399999999998</v>
      </c>
      <c r="L223">
        <f t="shared" si="30"/>
        <v>1220.9399999999998</v>
      </c>
      <c r="M223">
        <f t="shared" si="27"/>
        <v>597.69779999999992</v>
      </c>
      <c r="N223">
        <f t="shared" si="31"/>
        <v>149.42444999999998</v>
      </c>
      <c r="O223">
        <f t="shared" si="32"/>
        <v>597.69779999999992</v>
      </c>
      <c r="P223">
        <f t="shared" si="33"/>
        <v>149.42444999999998</v>
      </c>
      <c r="Q223">
        <f t="shared" si="34"/>
        <v>152.47270877999998</v>
      </c>
      <c r="R223">
        <f t="shared" si="35"/>
        <v>362.76800000000003</v>
      </c>
      <c r="S223">
        <f t="shared" si="28"/>
        <v>1220.9399999999998</v>
      </c>
    </row>
    <row r="224" spans="1:19" x14ac:dyDescent="0.25">
      <c r="A224">
        <v>354</v>
      </c>
      <c r="B224">
        <v>1271</v>
      </c>
      <c r="C224" t="s">
        <v>32</v>
      </c>
      <c r="D224" t="s">
        <v>173</v>
      </c>
      <c r="E224">
        <v>13</v>
      </c>
      <c r="F224">
        <v>15.38</v>
      </c>
      <c r="G224">
        <v>2.99</v>
      </c>
      <c r="H224">
        <v>28.74</v>
      </c>
      <c r="I224">
        <v>0.77</v>
      </c>
      <c r="J224">
        <v>87.57</v>
      </c>
      <c r="K224">
        <f t="shared" si="29"/>
        <v>1138.4099999999999</v>
      </c>
      <c r="L224">
        <f t="shared" si="30"/>
        <v>1138.4099999999999</v>
      </c>
      <c r="M224">
        <f t="shared" si="27"/>
        <v>597.82060000000013</v>
      </c>
      <c r="N224">
        <f t="shared" si="31"/>
        <v>149.45515000000003</v>
      </c>
      <c r="O224">
        <f t="shared" si="32"/>
        <v>597.82060000000013</v>
      </c>
      <c r="P224">
        <f t="shared" si="33"/>
        <v>149.45515000000003</v>
      </c>
      <c r="Q224">
        <f t="shared" si="34"/>
        <v>152.50403506000004</v>
      </c>
      <c r="R224">
        <f t="shared" si="35"/>
        <v>287.68739999999997</v>
      </c>
      <c r="S224">
        <f t="shared" si="28"/>
        <v>1138.4099999999999</v>
      </c>
    </row>
    <row r="225" spans="1:19" x14ac:dyDescent="0.25">
      <c r="A225">
        <v>355</v>
      </c>
      <c r="B225">
        <v>1272</v>
      </c>
      <c r="C225" t="s">
        <v>33</v>
      </c>
      <c r="D225" t="s">
        <v>172</v>
      </c>
      <c r="E225">
        <v>14</v>
      </c>
      <c r="F225">
        <v>17.25</v>
      </c>
      <c r="G225">
        <v>10.72</v>
      </c>
      <c r="H225">
        <v>27.9</v>
      </c>
      <c r="I225">
        <v>0.94</v>
      </c>
      <c r="J225">
        <v>306.27999999999997</v>
      </c>
      <c r="K225">
        <f t="shared" si="29"/>
        <v>4287.92</v>
      </c>
      <c r="L225">
        <f t="shared" si="30"/>
        <v>0</v>
      </c>
      <c r="M225">
        <f t="shared" si="27"/>
        <v>0</v>
      </c>
      <c r="N225">
        <f t="shared" si="31"/>
        <v>0</v>
      </c>
      <c r="O225">
        <f t="shared" si="32"/>
        <v>2588.88</v>
      </c>
      <c r="P225">
        <f t="shared" si="33"/>
        <v>647.22</v>
      </c>
      <c r="Q225">
        <f t="shared" si="34"/>
        <v>660.42328799999996</v>
      </c>
      <c r="R225">
        <f t="shared" si="35"/>
        <v>367.16399999999999</v>
      </c>
      <c r="S225">
        <f t="shared" si="28"/>
        <v>4287.92</v>
      </c>
    </row>
    <row r="226" spans="1:19" x14ac:dyDescent="0.25">
      <c r="A226">
        <v>356</v>
      </c>
      <c r="B226">
        <v>1272</v>
      </c>
      <c r="C226" t="s">
        <v>33</v>
      </c>
      <c r="D226" t="s">
        <v>172</v>
      </c>
      <c r="E226">
        <v>12</v>
      </c>
      <c r="F226">
        <v>19.3</v>
      </c>
      <c r="G226">
        <v>10.89</v>
      </c>
      <c r="H226">
        <v>30.4</v>
      </c>
      <c r="I226">
        <v>1.01</v>
      </c>
      <c r="J226">
        <v>349.18</v>
      </c>
      <c r="K226">
        <f t="shared" si="29"/>
        <v>4190.16</v>
      </c>
      <c r="L226">
        <f t="shared" si="30"/>
        <v>0</v>
      </c>
      <c r="M226">
        <f t="shared" si="27"/>
        <v>0</v>
      </c>
      <c r="N226">
        <f t="shared" si="31"/>
        <v>0</v>
      </c>
      <c r="O226">
        <f t="shared" si="32"/>
        <v>2522.1240000000003</v>
      </c>
      <c r="P226">
        <f t="shared" si="33"/>
        <v>630.53100000000006</v>
      </c>
      <c r="Q226">
        <f t="shared" si="34"/>
        <v>643.39383240000006</v>
      </c>
      <c r="R226">
        <f t="shared" si="35"/>
        <v>368.44800000000004</v>
      </c>
      <c r="S226">
        <f t="shared" si="28"/>
        <v>4190.16</v>
      </c>
    </row>
    <row r="227" spans="1:19" x14ac:dyDescent="0.25">
      <c r="A227">
        <v>357</v>
      </c>
      <c r="B227">
        <v>1272</v>
      </c>
      <c r="C227" t="s">
        <v>33</v>
      </c>
      <c r="D227" t="s">
        <v>172</v>
      </c>
      <c r="E227">
        <v>9</v>
      </c>
      <c r="F227">
        <v>21.2</v>
      </c>
      <c r="G227">
        <v>11.61</v>
      </c>
      <c r="H227">
        <v>29.78</v>
      </c>
      <c r="I227">
        <v>0.86</v>
      </c>
      <c r="J227">
        <v>396.6</v>
      </c>
      <c r="K227">
        <f t="shared" si="29"/>
        <v>3569.4</v>
      </c>
      <c r="L227">
        <f t="shared" si="30"/>
        <v>0</v>
      </c>
      <c r="M227">
        <f t="shared" si="27"/>
        <v>0</v>
      </c>
      <c r="N227">
        <f t="shared" si="31"/>
        <v>0</v>
      </c>
      <c r="O227">
        <f t="shared" si="32"/>
        <v>2215.1879999999996</v>
      </c>
      <c r="P227">
        <f t="shared" si="33"/>
        <v>553.79699999999991</v>
      </c>
      <c r="Q227">
        <f t="shared" si="34"/>
        <v>565.09445879999987</v>
      </c>
      <c r="R227">
        <f t="shared" si="35"/>
        <v>230.49720000000002</v>
      </c>
      <c r="S227">
        <f t="shared" si="28"/>
        <v>3569.4</v>
      </c>
    </row>
    <row r="228" spans="1:19" x14ac:dyDescent="0.25">
      <c r="A228">
        <v>358</v>
      </c>
      <c r="B228">
        <v>1272</v>
      </c>
      <c r="C228" t="s">
        <v>33</v>
      </c>
      <c r="D228" t="s">
        <v>173</v>
      </c>
      <c r="E228">
        <v>47</v>
      </c>
      <c r="F228">
        <v>13.04</v>
      </c>
      <c r="G228">
        <v>3.04</v>
      </c>
      <c r="H228">
        <v>34.56</v>
      </c>
      <c r="I228">
        <v>0.82</v>
      </c>
      <c r="J228">
        <v>85.68</v>
      </c>
      <c r="K228">
        <f t="shared" si="29"/>
        <v>4026.9600000000005</v>
      </c>
      <c r="L228">
        <f t="shared" si="30"/>
        <v>4026.9600000000005</v>
      </c>
      <c r="M228">
        <f t="shared" si="27"/>
        <v>1863.1551999999999</v>
      </c>
      <c r="N228">
        <f t="shared" si="31"/>
        <v>465.78879999999998</v>
      </c>
      <c r="O228">
        <f t="shared" si="32"/>
        <v>1863.1551999999999</v>
      </c>
      <c r="P228">
        <f t="shared" si="33"/>
        <v>465.78879999999998</v>
      </c>
      <c r="Q228">
        <f t="shared" si="34"/>
        <v>475.29089151999995</v>
      </c>
      <c r="R228">
        <f t="shared" si="35"/>
        <v>1331.9424000000001</v>
      </c>
      <c r="S228">
        <f t="shared" si="28"/>
        <v>4026.9600000000005</v>
      </c>
    </row>
    <row r="229" spans="1:19" x14ac:dyDescent="0.25">
      <c r="A229">
        <v>359</v>
      </c>
      <c r="B229">
        <v>1272</v>
      </c>
      <c r="C229" t="s">
        <v>33</v>
      </c>
      <c r="D229" t="s">
        <v>172</v>
      </c>
      <c r="E229">
        <v>12</v>
      </c>
      <c r="F229">
        <v>20.55</v>
      </c>
      <c r="G229">
        <v>11.4</v>
      </c>
      <c r="H229">
        <v>26.05</v>
      </c>
      <c r="I229">
        <v>1.01</v>
      </c>
      <c r="J229">
        <v>379.79</v>
      </c>
      <c r="K229">
        <f t="shared" si="29"/>
        <v>4557.4800000000005</v>
      </c>
      <c r="L229">
        <f t="shared" si="30"/>
        <v>0</v>
      </c>
      <c r="M229">
        <f t="shared" si="27"/>
        <v>0</v>
      </c>
      <c r="N229">
        <f t="shared" si="31"/>
        <v>0</v>
      </c>
      <c r="O229">
        <f t="shared" si="32"/>
        <v>2811.2400000000002</v>
      </c>
      <c r="P229">
        <f t="shared" si="33"/>
        <v>702.81000000000006</v>
      </c>
      <c r="Q229">
        <f t="shared" si="34"/>
        <v>717.14732400000003</v>
      </c>
      <c r="R229">
        <f t="shared" si="35"/>
        <v>315.72600000000006</v>
      </c>
      <c r="S229">
        <f t="shared" si="28"/>
        <v>4557.4800000000005</v>
      </c>
    </row>
    <row r="230" spans="1:19" x14ac:dyDescent="0.25">
      <c r="A230">
        <v>360</v>
      </c>
      <c r="B230">
        <v>1272</v>
      </c>
      <c r="C230" t="s">
        <v>33</v>
      </c>
      <c r="D230" t="s">
        <v>172</v>
      </c>
      <c r="E230">
        <v>14</v>
      </c>
      <c r="F230">
        <v>19.36</v>
      </c>
      <c r="G230">
        <v>10.7</v>
      </c>
      <c r="H230">
        <v>34.47</v>
      </c>
      <c r="I230">
        <v>0.91</v>
      </c>
      <c r="J230">
        <v>284.79000000000002</v>
      </c>
      <c r="K230">
        <f t="shared" si="29"/>
        <v>3987.0600000000004</v>
      </c>
      <c r="L230">
        <f t="shared" si="30"/>
        <v>0</v>
      </c>
      <c r="M230">
        <f t="shared" si="27"/>
        <v>0</v>
      </c>
      <c r="N230">
        <f t="shared" si="31"/>
        <v>0</v>
      </c>
      <c r="O230">
        <f t="shared" si="32"/>
        <v>2900.1279999999997</v>
      </c>
      <c r="P230">
        <f t="shared" si="33"/>
        <v>725.03199999999993</v>
      </c>
      <c r="Q230">
        <f t="shared" si="34"/>
        <v>739.8226527999999</v>
      </c>
      <c r="R230">
        <f t="shared" si="35"/>
        <v>439.14780000000002</v>
      </c>
      <c r="S230">
        <f t="shared" si="28"/>
        <v>3987.0600000000004</v>
      </c>
    </row>
    <row r="231" spans="1:19" x14ac:dyDescent="0.25">
      <c r="A231">
        <v>361</v>
      </c>
      <c r="B231">
        <v>1272</v>
      </c>
      <c r="C231" t="s">
        <v>33</v>
      </c>
      <c r="D231" t="s">
        <v>173</v>
      </c>
      <c r="E231">
        <v>17</v>
      </c>
      <c r="F231">
        <v>15.27</v>
      </c>
      <c r="G231">
        <v>2.83</v>
      </c>
      <c r="H231">
        <v>32.78</v>
      </c>
      <c r="I231">
        <v>0.82</v>
      </c>
      <c r="J231">
        <v>88.99</v>
      </c>
      <c r="K231">
        <f t="shared" si="29"/>
        <v>1512.83</v>
      </c>
      <c r="L231">
        <f t="shared" si="30"/>
        <v>1512.83</v>
      </c>
      <c r="M231">
        <f t="shared" si="27"/>
        <v>734.63969999999995</v>
      </c>
      <c r="N231">
        <f t="shared" si="31"/>
        <v>183.65992499999999</v>
      </c>
      <c r="O231">
        <f t="shared" si="32"/>
        <v>734.63969999999995</v>
      </c>
      <c r="P231">
        <f t="shared" si="33"/>
        <v>183.65992499999999</v>
      </c>
      <c r="Q231">
        <f t="shared" si="34"/>
        <v>187.40658746999998</v>
      </c>
      <c r="R231">
        <f t="shared" si="35"/>
        <v>456.95319999999998</v>
      </c>
      <c r="S231">
        <f t="shared" si="28"/>
        <v>1512.83</v>
      </c>
    </row>
    <row r="232" spans="1:19" x14ac:dyDescent="0.25">
      <c r="A232">
        <v>362</v>
      </c>
      <c r="B232">
        <v>1273</v>
      </c>
      <c r="C232" t="s">
        <v>32</v>
      </c>
      <c r="D232" t="s">
        <v>173</v>
      </c>
      <c r="E232">
        <v>13</v>
      </c>
      <c r="F232">
        <v>15.08</v>
      </c>
      <c r="G232">
        <v>3.13</v>
      </c>
      <c r="H232">
        <v>25.65</v>
      </c>
      <c r="I232">
        <v>0.81</v>
      </c>
      <c r="J232">
        <v>87.75</v>
      </c>
      <c r="K232">
        <f t="shared" si="29"/>
        <v>1140.75</v>
      </c>
      <c r="L232">
        <f t="shared" si="30"/>
        <v>1140.75</v>
      </c>
      <c r="M232">
        <f t="shared" si="27"/>
        <v>613.60519999999997</v>
      </c>
      <c r="N232">
        <f t="shared" si="31"/>
        <v>153.40129999999999</v>
      </c>
      <c r="O232">
        <f t="shared" si="32"/>
        <v>613.60519999999997</v>
      </c>
      <c r="P232">
        <f t="shared" si="33"/>
        <v>153.40129999999999</v>
      </c>
      <c r="Q232">
        <f t="shared" si="34"/>
        <v>156.53068651999999</v>
      </c>
      <c r="R232">
        <f t="shared" si="35"/>
        <v>270.09450000000004</v>
      </c>
      <c r="S232">
        <f t="shared" si="28"/>
        <v>1140.75</v>
      </c>
    </row>
    <row r="233" spans="1:19" x14ac:dyDescent="0.25">
      <c r="A233">
        <v>363</v>
      </c>
      <c r="B233">
        <v>1273</v>
      </c>
      <c r="C233" t="s">
        <v>32</v>
      </c>
      <c r="D233" t="s">
        <v>172</v>
      </c>
      <c r="E233">
        <v>9</v>
      </c>
      <c r="F233">
        <v>21.33</v>
      </c>
      <c r="G233">
        <v>10.72</v>
      </c>
      <c r="H233">
        <v>26.08</v>
      </c>
      <c r="I233">
        <v>1.04</v>
      </c>
      <c r="J233">
        <v>372.41</v>
      </c>
      <c r="K233">
        <f t="shared" si="29"/>
        <v>3351.69</v>
      </c>
      <c r="L233">
        <f t="shared" si="30"/>
        <v>0</v>
      </c>
      <c r="M233">
        <f t="shared" si="27"/>
        <v>0</v>
      </c>
      <c r="N233">
        <f t="shared" si="31"/>
        <v>0</v>
      </c>
      <c r="O233">
        <f t="shared" si="32"/>
        <v>2057.9184</v>
      </c>
      <c r="P233">
        <f t="shared" si="33"/>
        <v>514.4796</v>
      </c>
      <c r="Q233">
        <f t="shared" si="34"/>
        <v>524.97498383999994</v>
      </c>
      <c r="R233">
        <f t="shared" si="35"/>
        <v>244.10879999999997</v>
      </c>
      <c r="S233">
        <f t="shared" si="28"/>
        <v>3351.69</v>
      </c>
    </row>
    <row r="234" spans="1:19" x14ac:dyDescent="0.25">
      <c r="A234">
        <v>364</v>
      </c>
      <c r="B234">
        <v>1273</v>
      </c>
      <c r="C234" t="s">
        <v>32</v>
      </c>
      <c r="D234" t="s">
        <v>172</v>
      </c>
      <c r="E234">
        <v>13</v>
      </c>
      <c r="F234">
        <v>19.3</v>
      </c>
      <c r="G234">
        <v>10.81</v>
      </c>
      <c r="H234">
        <v>30.68</v>
      </c>
      <c r="I234">
        <v>1.07</v>
      </c>
      <c r="J234">
        <v>282.45999999999998</v>
      </c>
      <c r="K234">
        <f t="shared" si="29"/>
        <v>3671.9799999999996</v>
      </c>
      <c r="L234">
        <f t="shared" si="30"/>
        <v>0</v>
      </c>
      <c r="M234">
        <f t="shared" si="27"/>
        <v>0</v>
      </c>
      <c r="N234">
        <f t="shared" si="31"/>
        <v>0</v>
      </c>
      <c r="O234">
        <f t="shared" si="32"/>
        <v>2712.2290000000003</v>
      </c>
      <c r="P234">
        <f t="shared" si="33"/>
        <v>678.05725000000007</v>
      </c>
      <c r="Q234">
        <f t="shared" si="34"/>
        <v>691.88961790000008</v>
      </c>
      <c r="R234">
        <f t="shared" si="35"/>
        <v>426.75880000000001</v>
      </c>
      <c r="S234">
        <f t="shared" si="28"/>
        <v>3671.9799999999996</v>
      </c>
    </row>
    <row r="235" spans="1:19" x14ac:dyDescent="0.25">
      <c r="A235">
        <v>365</v>
      </c>
      <c r="B235">
        <v>1273</v>
      </c>
      <c r="C235" t="s">
        <v>32</v>
      </c>
      <c r="D235" t="s">
        <v>172</v>
      </c>
      <c r="E235">
        <v>36</v>
      </c>
      <c r="F235">
        <v>18.63</v>
      </c>
      <c r="G235">
        <v>10.95</v>
      </c>
      <c r="H235">
        <v>30.51</v>
      </c>
      <c r="I235">
        <v>0.96</v>
      </c>
      <c r="J235">
        <v>338.3</v>
      </c>
      <c r="K235">
        <f t="shared" si="29"/>
        <v>12178.800000000001</v>
      </c>
      <c r="L235">
        <f t="shared" si="30"/>
        <v>0</v>
      </c>
      <c r="M235">
        <f t="shared" si="27"/>
        <v>0</v>
      </c>
      <c r="N235">
        <f t="shared" si="31"/>
        <v>0</v>
      </c>
      <c r="O235">
        <f t="shared" si="32"/>
        <v>7343.945999999999</v>
      </c>
      <c r="P235">
        <f t="shared" si="33"/>
        <v>1835.9864999999998</v>
      </c>
      <c r="Q235">
        <f t="shared" si="34"/>
        <v>1873.4406245999996</v>
      </c>
      <c r="R235">
        <f t="shared" si="35"/>
        <v>1054.4256</v>
      </c>
      <c r="S235">
        <f t="shared" si="28"/>
        <v>12178.800000000001</v>
      </c>
    </row>
    <row r="236" spans="1:19" x14ac:dyDescent="0.25">
      <c r="A236">
        <v>366</v>
      </c>
      <c r="B236">
        <v>1273</v>
      </c>
      <c r="C236" t="s">
        <v>32</v>
      </c>
      <c r="D236" t="s">
        <v>172</v>
      </c>
      <c r="E236">
        <v>37</v>
      </c>
      <c r="F236">
        <v>20.95</v>
      </c>
      <c r="G236">
        <v>10.83</v>
      </c>
      <c r="H236">
        <v>29.6</v>
      </c>
      <c r="I236">
        <v>1.01</v>
      </c>
      <c r="J236">
        <v>373.07</v>
      </c>
      <c r="K236">
        <f t="shared" si="29"/>
        <v>13803.59</v>
      </c>
      <c r="L236">
        <f t="shared" si="30"/>
        <v>0</v>
      </c>
      <c r="M236">
        <f t="shared" si="27"/>
        <v>0</v>
      </c>
      <c r="N236">
        <f t="shared" si="31"/>
        <v>0</v>
      </c>
      <c r="O236">
        <f t="shared" si="32"/>
        <v>8394.8744999999999</v>
      </c>
      <c r="P236">
        <f t="shared" si="33"/>
        <v>2098.718625</v>
      </c>
      <c r="Q236">
        <f t="shared" si="34"/>
        <v>2141.5324849499998</v>
      </c>
      <c r="R236">
        <f t="shared" si="35"/>
        <v>1106.152</v>
      </c>
      <c r="S236">
        <f t="shared" si="28"/>
        <v>13803.59</v>
      </c>
    </row>
    <row r="237" spans="1:19" x14ac:dyDescent="0.25">
      <c r="A237">
        <v>367</v>
      </c>
      <c r="B237">
        <v>1273</v>
      </c>
      <c r="C237" t="s">
        <v>32</v>
      </c>
      <c r="D237" t="s">
        <v>172</v>
      </c>
      <c r="E237">
        <v>17</v>
      </c>
      <c r="F237">
        <v>21.2</v>
      </c>
      <c r="G237">
        <v>11.96</v>
      </c>
      <c r="H237">
        <v>36.9</v>
      </c>
      <c r="I237">
        <v>1.1100000000000001</v>
      </c>
      <c r="J237">
        <v>425.9</v>
      </c>
      <c r="K237">
        <f t="shared" si="29"/>
        <v>7240.2999999999993</v>
      </c>
      <c r="L237">
        <f t="shared" si="30"/>
        <v>0</v>
      </c>
      <c r="M237">
        <f t="shared" si="27"/>
        <v>0</v>
      </c>
      <c r="N237">
        <f t="shared" si="31"/>
        <v>0</v>
      </c>
      <c r="O237">
        <f t="shared" si="32"/>
        <v>4310.384</v>
      </c>
      <c r="P237">
        <f t="shared" si="33"/>
        <v>1077.596</v>
      </c>
      <c r="Q237">
        <f t="shared" si="34"/>
        <v>1099.5789583999999</v>
      </c>
      <c r="R237">
        <f t="shared" si="35"/>
        <v>696.303</v>
      </c>
      <c r="S237">
        <f t="shared" si="28"/>
        <v>7240.2999999999993</v>
      </c>
    </row>
    <row r="238" spans="1:19" x14ac:dyDescent="0.25">
      <c r="A238">
        <v>368</v>
      </c>
      <c r="B238">
        <v>1273</v>
      </c>
      <c r="C238" t="s">
        <v>32</v>
      </c>
      <c r="D238" t="s">
        <v>173</v>
      </c>
      <c r="E238">
        <v>13</v>
      </c>
      <c r="F238">
        <v>15.04</v>
      </c>
      <c r="G238">
        <v>3</v>
      </c>
      <c r="H238">
        <v>30.6</v>
      </c>
      <c r="I238">
        <v>0.81</v>
      </c>
      <c r="J238">
        <v>89.3</v>
      </c>
      <c r="K238">
        <f t="shared" si="29"/>
        <v>1160.8999999999999</v>
      </c>
      <c r="L238">
        <f t="shared" si="30"/>
        <v>1160.8999999999999</v>
      </c>
      <c r="M238">
        <f t="shared" si="27"/>
        <v>586.55999999999995</v>
      </c>
      <c r="N238">
        <f t="shared" si="31"/>
        <v>146.63999999999999</v>
      </c>
      <c r="O238">
        <f t="shared" si="32"/>
        <v>586.55999999999995</v>
      </c>
      <c r="P238">
        <f t="shared" si="33"/>
        <v>146.63999999999999</v>
      </c>
      <c r="Q238">
        <f t="shared" si="34"/>
        <v>149.63145599999999</v>
      </c>
      <c r="R238">
        <f t="shared" si="35"/>
        <v>322.21800000000007</v>
      </c>
      <c r="S238">
        <f t="shared" si="28"/>
        <v>1160.8999999999999</v>
      </c>
    </row>
    <row r="239" spans="1:19" x14ac:dyDescent="0.25">
      <c r="A239">
        <v>369</v>
      </c>
      <c r="B239">
        <v>1273</v>
      </c>
      <c r="C239" t="s">
        <v>32</v>
      </c>
      <c r="D239" t="s">
        <v>172</v>
      </c>
      <c r="E239">
        <v>9</v>
      </c>
      <c r="F239">
        <v>20.96</v>
      </c>
      <c r="G239">
        <v>10.85</v>
      </c>
      <c r="H239">
        <v>30.86</v>
      </c>
      <c r="I239">
        <v>0.9</v>
      </c>
      <c r="J239">
        <v>371.33</v>
      </c>
      <c r="K239">
        <f t="shared" si="29"/>
        <v>3341.97</v>
      </c>
      <c r="L239">
        <f t="shared" si="30"/>
        <v>0</v>
      </c>
      <c r="M239">
        <f t="shared" si="27"/>
        <v>0</v>
      </c>
      <c r="N239">
        <f t="shared" si="31"/>
        <v>0</v>
      </c>
      <c r="O239">
        <f t="shared" si="32"/>
        <v>2046.7439999999999</v>
      </c>
      <c r="P239">
        <f t="shared" si="33"/>
        <v>511.68599999999998</v>
      </c>
      <c r="Q239">
        <f t="shared" si="34"/>
        <v>522.12439439999991</v>
      </c>
      <c r="R239">
        <f t="shared" si="35"/>
        <v>249.96599999999998</v>
      </c>
      <c r="S239">
        <f t="shared" si="28"/>
        <v>3341.97</v>
      </c>
    </row>
    <row r="240" spans="1:19" x14ac:dyDescent="0.25">
      <c r="A240">
        <v>370</v>
      </c>
      <c r="B240">
        <v>1273</v>
      </c>
      <c r="C240" t="s">
        <v>32</v>
      </c>
      <c r="D240" t="s">
        <v>173</v>
      </c>
      <c r="E240">
        <v>10</v>
      </c>
      <c r="F240">
        <v>14.99</v>
      </c>
      <c r="G240">
        <v>2.63</v>
      </c>
      <c r="H240">
        <v>29.26</v>
      </c>
      <c r="I240">
        <v>0.79</v>
      </c>
      <c r="J240">
        <v>71.67</v>
      </c>
      <c r="K240">
        <f t="shared" si="29"/>
        <v>716.7</v>
      </c>
      <c r="L240">
        <f t="shared" si="30"/>
        <v>716.7</v>
      </c>
      <c r="M240">
        <f t="shared" si="27"/>
        <v>394.23699999999997</v>
      </c>
      <c r="N240">
        <f t="shared" si="31"/>
        <v>98.559249999999992</v>
      </c>
      <c r="O240">
        <f t="shared" si="32"/>
        <v>394.23699999999997</v>
      </c>
      <c r="P240">
        <f t="shared" si="33"/>
        <v>98.559249999999992</v>
      </c>
      <c r="Q240">
        <f t="shared" si="34"/>
        <v>100.56985869999998</v>
      </c>
      <c r="R240">
        <f t="shared" si="35"/>
        <v>231.15400000000002</v>
      </c>
      <c r="S240">
        <f t="shared" si="28"/>
        <v>716.7</v>
      </c>
    </row>
    <row r="241" spans="1:19" x14ac:dyDescent="0.25">
      <c r="A241">
        <v>371</v>
      </c>
      <c r="B241">
        <v>1274</v>
      </c>
      <c r="C241" t="s">
        <v>35</v>
      </c>
      <c r="D241" t="s">
        <v>173</v>
      </c>
      <c r="E241">
        <v>35</v>
      </c>
      <c r="F241">
        <v>13.84</v>
      </c>
      <c r="G241">
        <v>2.66</v>
      </c>
      <c r="H241">
        <v>30.15</v>
      </c>
      <c r="I241">
        <v>0.78</v>
      </c>
      <c r="J241">
        <v>76.489999999999995</v>
      </c>
      <c r="K241">
        <f t="shared" si="29"/>
        <v>2677.1499999999996</v>
      </c>
      <c r="L241">
        <f t="shared" si="30"/>
        <v>2677.1499999999996</v>
      </c>
      <c r="M241">
        <f t="shared" si="27"/>
        <v>1288.5040000000001</v>
      </c>
      <c r="N241">
        <f t="shared" si="31"/>
        <v>322.12600000000003</v>
      </c>
      <c r="O241">
        <f t="shared" si="32"/>
        <v>1288.5040000000001</v>
      </c>
      <c r="P241">
        <f t="shared" si="33"/>
        <v>322.12600000000003</v>
      </c>
      <c r="Q241">
        <f t="shared" si="34"/>
        <v>328.69737040000001</v>
      </c>
      <c r="R241">
        <f t="shared" si="35"/>
        <v>823.09500000000003</v>
      </c>
      <c r="S241">
        <f t="shared" si="28"/>
        <v>2677.1499999999996</v>
      </c>
    </row>
    <row r="242" spans="1:19" x14ac:dyDescent="0.25">
      <c r="A242">
        <v>372</v>
      </c>
      <c r="B242">
        <v>1274</v>
      </c>
      <c r="C242" t="s">
        <v>35</v>
      </c>
      <c r="D242" t="s">
        <v>172</v>
      </c>
      <c r="E242">
        <v>18</v>
      </c>
      <c r="F242">
        <v>20.9</v>
      </c>
      <c r="G242">
        <v>10.9</v>
      </c>
      <c r="H242">
        <v>32.36</v>
      </c>
      <c r="I242">
        <v>0.9</v>
      </c>
      <c r="J242">
        <v>373.52</v>
      </c>
      <c r="K242">
        <f t="shared" si="29"/>
        <v>6723.36</v>
      </c>
      <c r="L242">
        <f t="shared" si="30"/>
        <v>0</v>
      </c>
      <c r="M242">
        <f t="shared" si="27"/>
        <v>0</v>
      </c>
      <c r="N242">
        <f t="shared" si="31"/>
        <v>0</v>
      </c>
      <c r="O242">
        <f t="shared" si="32"/>
        <v>4100.58</v>
      </c>
      <c r="P242">
        <f t="shared" si="33"/>
        <v>1025.145</v>
      </c>
      <c r="Q242">
        <f t="shared" si="34"/>
        <v>1046.0579579999999</v>
      </c>
      <c r="R242">
        <f t="shared" si="35"/>
        <v>524.23199999999997</v>
      </c>
      <c r="S242">
        <f t="shared" si="28"/>
        <v>6723.36</v>
      </c>
    </row>
    <row r="243" spans="1:19" x14ac:dyDescent="0.25">
      <c r="A243">
        <v>373</v>
      </c>
      <c r="B243">
        <v>1274</v>
      </c>
      <c r="C243" t="s">
        <v>35</v>
      </c>
      <c r="D243" t="s">
        <v>172</v>
      </c>
      <c r="E243">
        <v>14</v>
      </c>
      <c r="F243">
        <v>20.14</v>
      </c>
      <c r="G243">
        <v>10.46</v>
      </c>
      <c r="H243">
        <v>26.35</v>
      </c>
      <c r="I243">
        <v>1.04</v>
      </c>
      <c r="J243">
        <v>345.98</v>
      </c>
      <c r="K243">
        <f t="shared" si="29"/>
        <v>4843.72</v>
      </c>
      <c r="L243">
        <f t="shared" si="30"/>
        <v>0</v>
      </c>
      <c r="M243">
        <f t="shared" si="27"/>
        <v>0</v>
      </c>
      <c r="N243">
        <f t="shared" si="31"/>
        <v>0</v>
      </c>
      <c r="O243">
        <f t="shared" si="32"/>
        <v>2949.3016000000002</v>
      </c>
      <c r="P243">
        <f t="shared" si="33"/>
        <v>737.32540000000006</v>
      </c>
      <c r="Q243">
        <f t="shared" si="34"/>
        <v>752.36683816000004</v>
      </c>
      <c r="R243">
        <f t="shared" si="35"/>
        <v>383.65600000000001</v>
      </c>
      <c r="S243">
        <f t="shared" si="28"/>
        <v>4843.72</v>
      </c>
    </row>
    <row r="244" spans="1:19" x14ac:dyDescent="0.25">
      <c r="A244">
        <v>374</v>
      </c>
      <c r="B244">
        <v>1274</v>
      </c>
      <c r="C244" t="s">
        <v>35</v>
      </c>
      <c r="D244" t="s">
        <v>173</v>
      </c>
      <c r="E244">
        <v>18</v>
      </c>
      <c r="F244">
        <v>13.46</v>
      </c>
      <c r="G244">
        <v>2.94</v>
      </c>
      <c r="H244">
        <v>31.96</v>
      </c>
      <c r="I244">
        <v>0.8</v>
      </c>
      <c r="J244">
        <v>82.54</v>
      </c>
      <c r="K244">
        <f t="shared" si="29"/>
        <v>1485.72</v>
      </c>
      <c r="L244">
        <f t="shared" si="30"/>
        <v>1485.72</v>
      </c>
      <c r="M244">
        <f t="shared" si="27"/>
        <v>712.30320000000006</v>
      </c>
      <c r="N244">
        <f t="shared" si="31"/>
        <v>178.07580000000002</v>
      </c>
      <c r="O244">
        <f t="shared" si="32"/>
        <v>712.30320000000006</v>
      </c>
      <c r="P244">
        <f t="shared" si="33"/>
        <v>178.07580000000002</v>
      </c>
      <c r="Q244">
        <f t="shared" si="34"/>
        <v>181.70854632000001</v>
      </c>
      <c r="R244">
        <f t="shared" si="35"/>
        <v>460.22400000000005</v>
      </c>
      <c r="S244">
        <f t="shared" si="28"/>
        <v>1485.72</v>
      </c>
    </row>
    <row r="245" spans="1:19" x14ac:dyDescent="0.25">
      <c r="A245">
        <v>375</v>
      </c>
      <c r="B245">
        <v>1274</v>
      </c>
      <c r="C245" t="s">
        <v>35</v>
      </c>
      <c r="D245" t="s">
        <v>173</v>
      </c>
      <c r="E245">
        <v>12</v>
      </c>
      <c r="F245">
        <v>14.15</v>
      </c>
      <c r="G245">
        <v>2.98</v>
      </c>
      <c r="H245">
        <v>34.97</v>
      </c>
      <c r="I245">
        <v>0.82</v>
      </c>
      <c r="J245">
        <v>89.52</v>
      </c>
      <c r="K245">
        <f t="shared" si="29"/>
        <v>1074.24</v>
      </c>
      <c r="L245">
        <f t="shared" si="30"/>
        <v>1074.24</v>
      </c>
      <c r="M245">
        <f t="shared" si="27"/>
        <v>506.00399999999996</v>
      </c>
      <c r="N245">
        <f t="shared" si="31"/>
        <v>126.50099999999999</v>
      </c>
      <c r="O245">
        <f t="shared" si="32"/>
        <v>506.00399999999996</v>
      </c>
      <c r="P245">
        <f t="shared" si="33"/>
        <v>126.50099999999999</v>
      </c>
      <c r="Q245">
        <f t="shared" si="34"/>
        <v>129.08162039999999</v>
      </c>
      <c r="R245">
        <f t="shared" si="35"/>
        <v>344.10480000000001</v>
      </c>
      <c r="S245">
        <f t="shared" si="28"/>
        <v>1074.24</v>
      </c>
    </row>
    <row r="246" spans="1:19" x14ac:dyDescent="0.25">
      <c r="A246">
        <v>376</v>
      </c>
      <c r="B246">
        <v>1274</v>
      </c>
      <c r="C246" t="s">
        <v>35</v>
      </c>
      <c r="D246" t="s">
        <v>172</v>
      </c>
      <c r="E246">
        <v>20</v>
      </c>
      <c r="F246">
        <v>20.37</v>
      </c>
      <c r="G246">
        <v>11.13</v>
      </c>
      <c r="H246">
        <v>30.88</v>
      </c>
      <c r="I246">
        <v>1.01</v>
      </c>
      <c r="J246">
        <v>374.36</v>
      </c>
      <c r="K246">
        <f t="shared" si="29"/>
        <v>7487.2000000000007</v>
      </c>
      <c r="L246">
        <f t="shared" si="30"/>
        <v>0</v>
      </c>
      <c r="M246">
        <f t="shared" si="27"/>
        <v>0</v>
      </c>
      <c r="N246">
        <f t="shared" si="31"/>
        <v>0</v>
      </c>
      <c r="O246">
        <f t="shared" si="32"/>
        <v>4534.362000000001</v>
      </c>
      <c r="P246">
        <f t="shared" si="33"/>
        <v>1133.5905000000002</v>
      </c>
      <c r="Q246">
        <f t="shared" si="34"/>
        <v>1156.7157462000002</v>
      </c>
      <c r="R246">
        <f t="shared" si="35"/>
        <v>623.77599999999995</v>
      </c>
      <c r="S246">
        <f t="shared" si="28"/>
        <v>7487.2000000000007</v>
      </c>
    </row>
    <row r="247" spans="1:19" x14ac:dyDescent="0.25">
      <c r="A247">
        <v>377</v>
      </c>
      <c r="B247">
        <v>1274</v>
      </c>
      <c r="C247" t="s">
        <v>35</v>
      </c>
      <c r="D247" t="s">
        <v>173</v>
      </c>
      <c r="E247">
        <v>16</v>
      </c>
      <c r="F247">
        <v>14.41</v>
      </c>
      <c r="G247">
        <v>2.91</v>
      </c>
      <c r="H247">
        <v>34.299999999999997</v>
      </c>
      <c r="I247">
        <v>0.79</v>
      </c>
      <c r="J247">
        <v>87.46</v>
      </c>
      <c r="K247">
        <f t="shared" si="29"/>
        <v>1399.36</v>
      </c>
      <c r="L247">
        <f t="shared" si="30"/>
        <v>1399.36</v>
      </c>
      <c r="M247">
        <f t="shared" si="27"/>
        <v>670.92960000000005</v>
      </c>
      <c r="N247">
        <f t="shared" si="31"/>
        <v>167.73240000000001</v>
      </c>
      <c r="O247">
        <f t="shared" si="32"/>
        <v>670.92960000000005</v>
      </c>
      <c r="P247">
        <f t="shared" si="33"/>
        <v>167.73240000000001</v>
      </c>
      <c r="Q247">
        <f t="shared" si="34"/>
        <v>171.15414096000001</v>
      </c>
      <c r="R247">
        <f t="shared" si="35"/>
        <v>433.55199999999996</v>
      </c>
      <c r="S247">
        <f t="shared" si="28"/>
        <v>1399.36</v>
      </c>
    </row>
    <row r="248" spans="1:19" x14ac:dyDescent="0.25">
      <c r="A248">
        <v>378</v>
      </c>
      <c r="B248">
        <v>1275</v>
      </c>
      <c r="C248" t="s">
        <v>34</v>
      </c>
      <c r="D248" t="s">
        <v>172</v>
      </c>
      <c r="E248">
        <v>16</v>
      </c>
      <c r="F248">
        <v>20.53</v>
      </c>
      <c r="G248">
        <v>9.66</v>
      </c>
      <c r="H248">
        <v>37.619999999999997</v>
      </c>
      <c r="I248">
        <v>0.94</v>
      </c>
      <c r="J248">
        <v>337.08</v>
      </c>
      <c r="K248">
        <f t="shared" si="29"/>
        <v>5393.28</v>
      </c>
      <c r="L248">
        <f t="shared" si="30"/>
        <v>0</v>
      </c>
      <c r="M248">
        <f t="shared" si="27"/>
        <v>0</v>
      </c>
      <c r="N248">
        <f t="shared" si="31"/>
        <v>0</v>
      </c>
      <c r="O248">
        <f t="shared" si="32"/>
        <v>3173.1168000000002</v>
      </c>
      <c r="P248">
        <f t="shared" si="33"/>
        <v>793.27920000000006</v>
      </c>
      <c r="Q248">
        <f t="shared" si="34"/>
        <v>809.46209568000006</v>
      </c>
      <c r="R248">
        <f t="shared" si="35"/>
        <v>565.80479999999989</v>
      </c>
      <c r="S248">
        <f t="shared" si="28"/>
        <v>5393.28</v>
      </c>
    </row>
    <row r="249" spans="1:19" x14ac:dyDescent="0.25">
      <c r="A249">
        <v>379</v>
      </c>
      <c r="B249">
        <v>1275</v>
      </c>
      <c r="C249" t="s">
        <v>34</v>
      </c>
      <c r="D249" t="s">
        <v>172</v>
      </c>
      <c r="E249">
        <v>22</v>
      </c>
      <c r="F249">
        <v>19.489999999999998</v>
      </c>
      <c r="G249">
        <v>10.220000000000001</v>
      </c>
      <c r="H249">
        <v>33.9</v>
      </c>
      <c r="I249">
        <v>1.03</v>
      </c>
      <c r="J249">
        <v>337.84</v>
      </c>
      <c r="K249">
        <f t="shared" si="29"/>
        <v>7432.48</v>
      </c>
      <c r="L249">
        <f t="shared" si="30"/>
        <v>0</v>
      </c>
      <c r="M249">
        <f t="shared" si="27"/>
        <v>0</v>
      </c>
      <c r="N249">
        <f t="shared" si="31"/>
        <v>0</v>
      </c>
      <c r="O249">
        <f t="shared" si="32"/>
        <v>4382.1315999999997</v>
      </c>
      <c r="P249">
        <f t="shared" si="33"/>
        <v>1095.5328999999999</v>
      </c>
      <c r="Q249">
        <f t="shared" si="34"/>
        <v>1117.88177116</v>
      </c>
      <c r="R249">
        <f t="shared" si="35"/>
        <v>768.17399999999998</v>
      </c>
      <c r="S249">
        <f t="shared" si="28"/>
        <v>7432.48</v>
      </c>
    </row>
    <row r="250" spans="1:19" x14ac:dyDescent="0.25">
      <c r="A250">
        <v>380</v>
      </c>
      <c r="B250">
        <v>1275</v>
      </c>
      <c r="C250" t="s">
        <v>34</v>
      </c>
      <c r="D250" t="s">
        <v>173</v>
      </c>
      <c r="E250">
        <v>26</v>
      </c>
      <c r="F250">
        <v>12.94</v>
      </c>
      <c r="G250">
        <v>3.11</v>
      </c>
      <c r="H250">
        <v>26.72</v>
      </c>
      <c r="I250">
        <v>0.79</v>
      </c>
      <c r="J250">
        <v>78.55</v>
      </c>
      <c r="K250">
        <f t="shared" si="29"/>
        <v>2042.3</v>
      </c>
      <c r="L250">
        <f t="shared" si="30"/>
        <v>2042.3</v>
      </c>
      <c r="M250">
        <f t="shared" si="27"/>
        <v>1046.3283999999999</v>
      </c>
      <c r="N250">
        <f t="shared" si="31"/>
        <v>261.58209999999997</v>
      </c>
      <c r="O250">
        <f t="shared" si="32"/>
        <v>1046.3283999999999</v>
      </c>
      <c r="P250">
        <f t="shared" si="33"/>
        <v>261.58209999999997</v>
      </c>
      <c r="Q250">
        <f t="shared" si="34"/>
        <v>266.91837483999996</v>
      </c>
      <c r="R250">
        <f t="shared" si="35"/>
        <v>548.8288</v>
      </c>
      <c r="S250">
        <f t="shared" si="28"/>
        <v>2042.3</v>
      </c>
    </row>
    <row r="251" spans="1:19" x14ac:dyDescent="0.25">
      <c r="A251">
        <v>381</v>
      </c>
      <c r="B251">
        <v>1275</v>
      </c>
      <c r="C251" t="s">
        <v>34</v>
      </c>
      <c r="D251" t="s">
        <v>172</v>
      </c>
      <c r="E251">
        <v>11</v>
      </c>
      <c r="F251">
        <v>19.55</v>
      </c>
      <c r="G251">
        <v>11.37</v>
      </c>
      <c r="H251">
        <v>30.15</v>
      </c>
      <c r="I251">
        <v>1.01</v>
      </c>
      <c r="J251">
        <v>366.88</v>
      </c>
      <c r="K251">
        <f t="shared" si="29"/>
        <v>4035.68</v>
      </c>
      <c r="L251">
        <f t="shared" si="30"/>
        <v>0</v>
      </c>
      <c r="M251">
        <f t="shared" si="27"/>
        <v>0</v>
      </c>
      <c r="N251">
        <f t="shared" si="31"/>
        <v>0</v>
      </c>
      <c r="O251">
        <f t="shared" si="32"/>
        <v>2445.1185</v>
      </c>
      <c r="P251">
        <f t="shared" si="33"/>
        <v>611.27962500000001</v>
      </c>
      <c r="Q251">
        <f t="shared" si="34"/>
        <v>623.74972934999994</v>
      </c>
      <c r="R251">
        <f t="shared" si="35"/>
        <v>334.96649999999994</v>
      </c>
      <c r="S251">
        <f t="shared" si="28"/>
        <v>4035.68</v>
      </c>
    </row>
    <row r="252" spans="1:19" x14ac:dyDescent="0.25">
      <c r="A252">
        <v>382</v>
      </c>
      <c r="B252">
        <v>1275</v>
      </c>
      <c r="C252" t="s">
        <v>34</v>
      </c>
      <c r="D252" t="s">
        <v>173</v>
      </c>
      <c r="E252">
        <v>27</v>
      </c>
      <c r="F252">
        <v>15.21</v>
      </c>
      <c r="G252">
        <v>2.59</v>
      </c>
      <c r="H252">
        <v>25.77</v>
      </c>
      <c r="I252">
        <v>0.79</v>
      </c>
      <c r="J252">
        <v>76.56</v>
      </c>
      <c r="K252">
        <f t="shared" si="29"/>
        <v>2067.12</v>
      </c>
      <c r="L252">
        <f t="shared" si="30"/>
        <v>2067.12</v>
      </c>
      <c r="M252">
        <f t="shared" si="27"/>
        <v>1063.6352999999999</v>
      </c>
      <c r="N252">
        <f t="shared" si="31"/>
        <v>265.90882499999998</v>
      </c>
      <c r="O252">
        <f t="shared" si="32"/>
        <v>1063.6352999999999</v>
      </c>
      <c r="P252">
        <f t="shared" si="33"/>
        <v>265.90882499999998</v>
      </c>
      <c r="Q252">
        <f t="shared" si="34"/>
        <v>271.33336502999998</v>
      </c>
      <c r="R252">
        <f t="shared" si="35"/>
        <v>549.67410000000007</v>
      </c>
      <c r="S252">
        <f t="shared" si="28"/>
        <v>2067.12</v>
      </c>
    </row>
    <row r="253" spans="1:19" x14ac:dyDescent="0.25">
      <c r="A253">
        <v>383</v>
      </c>
      <c r="B253">
        <v>1275</v>
      </c>
      <c r="C253" t="s">
        <v>34</v>
      </c>
      <c r="D253" t="s">
        <v>173</v>
      </c>
      <c r="E253">
        <v>32</v>
      </c>
      <c r="F253">
        <v>15.27</v>
      </c>
      <c r="G253">
        <v>2.79</v>
      </c>
      <c r="H253">
        <v>28.84</v>
      </c>
      <c r="I253">
        <v>0.78</v>
      </c>
      <c r="J253">
        <v>83.32</v>
      </c>
      <c r="K253">
        <f t="shared" si="29"/>
        <v>2666.24</v>
      </c>
      <c r="L253">
        <f t="shared" si="30"/>
        <v>2666.24</v>
      </c>
      <c r="M253">
        <f t="shared" si="27"/>
        <v>1363.3055999999999</v>
      </c>
      <c r="N253">
        <f t="shared" si="31"/>
        <v>340.82639999999998</v>
      </c>
      <c r="O253">
        <f t="shared" si="32"/>
        <v>1363.3055999999999</v>
      </c>
      <c r="P253">
        <f t="shared" si="33"/>
        <v>340.82639999999998</v>
      </c>
      <c r="Q253">
        <f t="shared" si="34"/>
        <v>347.77925855999996</v>
      </c>
      <c r="R253">
        <f t="shared" si="35"/>
        <v>719.84640000000002</v>
      </c>
      <c r="S253">
        <f t="shared" si="28"/>
        <v>2666.24</v>
      </c>
    </row>
    <row r="254" spans="1:19" x14ac:dyDescent="0.25">
      <c r="A254">
        <v>384</v>
      </c>
      <c r="B254">
        <v>1275</v>
      </c>
      <c r="C254" t="s">
        <v>34</v>
      </c>
      <c r="D254" t="s">
        <v>172</v>
      </c>
      <c r="E254">
        <v>6</v>
      </c>
      <c r="F254">
        <v>19.690000000000001</v>
      </c>
      <c r="G254">
        <v>10.74</v>
      </c>
      <c r="H254">
        <v>30.18</v>
      </c>
      <c r="I254">
        <v>1</v>
      </c>
      <c r="J254">
        <v>350.48</v>
      </c>
      <c r="K254">
        <f t="shared" si="29"/>
        <v>2102.88</v>
      </c>
      <c r="L254">
        <f t="shared" si="30"/>
        <v>0</v>
      </c>
      <c r="M254">
        <f t="shared" si="27"/>
        <v>0</v>
      </c>
      <c r="N254">
        <f t="shared" si="31"/>
        <v>0</v>
      </c>
      <c r="O254">
        <f t="shared" si="32"/>
        <v>1268.8235999999999</v>
      </c>
      <c r="P254">
        <f t="shared" si="33"/>
        <v>317.20589999999999</v>
      </c>
      <c r="Q254">
        <f t="shared" si="34"/>
        <v>323.67690035999999</v>
      </c>
      <c r="R254">
        <f t="shared" si="35"/>
        <v>181.07999999999998</v>
      </c>
      <c r="S254">
        <f t="shared" si="28"/>
        <v>2102.88</v>
      </c>
    </row>
    <row r="255" spans="1:19" x14ac:dyDescent="0.25">
      <c r="A255">
        <v>385</v>
      </c>
      <c r="B255">
        <v>1276</v>
      </c>
      <c r="C255" t="s">
        <v>32</v>
      </c>
      <c r="D255" t="s">
        <v>173</v>
      </c>
      <c r="E255">
        <v>45</v>
      </c>
      <c r="F255">
        <v>14.47</v>
      </c>
      <c r="G255">
        <v>2.84</v>
      </c>
      <c r="H255">
        <v>26.81</v>
      </c>
      <c r="I255">
        <v>0.82</v>
      </c>
      <c r="J255">
        <v>80.69</v>
      </c>
      <c r="K255">
        <f t="shared" si="29"/>
        <v>3631.0499999999997</v>
      </c>
      <c r="L255">
        <f t="shared" si="30"/>
        <v>3631.0499999999997</v>
      </c>
      <c r="M255">
        <f t="shared" si="27"/>
        <v>1849.2660000000001</v>
      </c>
      <c r="N255">
        <f t="shared" si="31"/>
        <v>462.31650000000002</v>
      </c>
      <c r="O255">
        <f t="shared" si="32"/>
        <v>1849.2660000000001</v>
      </c>
      <c r="P255">
        <f t="shared" si="33"/>
        <v>462.31650000000002</v>
      </c>
      <c r="Q255">
        <f t="shared" si="34"/>
        <v>471.7477566</v>
      </c>
      <c r="R255">
        <f t="shared" si="35"/>
        <v>989.28899999999987</v>
      </c>
      <c r="S255">
        <f t="shared" si="28"/>
        <v>3631.0499999999997</v>
      </c>
    </row>
    <row r="256" spans="1:19" x14ac:dyDescent="0.25">
      <c r="A256">
        <v>386</v>
      </c>
      <c r="B256">
        <v>1276</v>
      </c>
      <c r="C256" t="s">
        <v>32</v>
      </c>
      <c r="D256" t="s">
        <v>173</v>
      </c>
      <c r="E256">
        <v>19</v>
      </c>
      <c r="F256">
        <v>15.15</v>
      </c>
      <c r="G256">
        <v>3.14</v>
      </c>
      <c r="H256">
        <v>29.53</v>
      </c>
      <c r="I256">
        <v>0.8</v>
      </c>
      <c r="J256">
        <v>91.4</v>
      </c>
      <c r="K256">
        <f t="shared" si="29"/>
        <v>1736.6000000000001</v>
      </c>
      <c r="L256">
        <f t="shared" si="30"/>
        <v>1736.6000000000001</v>
      </c>
      <c r="M256">
        <f t="shared" si="27"/>
        <v>903.84900000000005</v>
      </c>
      <c r="N256">
        <f t="shared" si="31"/>
        <v>225.96225000000001</v>
      </c>
      <c r="O256">
        <f t="shared" si="32"/>
        <v>903.84900000000005</v>
      </c>
      <c r="P256">
        <f t="shared" si="33"/>
        <v>225.96225000000001</v>
      </c>
      <c r="Q256">
        <f t="shared" si="34"/>
        <v>230.5718799</v>
      </c>
      <c r="R256">
        <f t="shared" si="35"/>
        <v>448.85600000000005</v>
      </c>
      <c r="S256">
        <f t="shared" si="28"/>
        <v>1736.6000000000001</v>
      </c>
    </row>
    <row r="257" spans="1:19" x14ac:dyDescent="0.25">
      <c r="A257">
        <v>387</v>
      </c>
      <c r="B257">
        <v>1276</v>
      </c>
      <c r="C257" t="s">
        <v>32</v>
      </c>
      <c r="D257" t="s">
        <v>173</v>
      </c>
      <c r="E257">
        <v>16</v>
      </c>
      <c r="F257">
        <v>14.35</v>
      </c>
      <c r="G257">
        <v>2.76</v>
      </c>
      <c r="H257">
        <v>24.96</v>
      </c>
      <c r="I257">
        <v>0.81</v>
      </c>
      <c r="J257">
        <v>76.7</v>
      </c>
      <c r="K257">
        <f t="shared" si="29"/>
        <v>1227.2</v>
      </c>
      <c r="L257">
        <f t="shared" si="30"/>
        <v>1227.2</v>
      </c>
      <c r="M257">
        <f t="shared" si="27"/>
        <v>633.69599999999991</v>
      </c>
      <c r="N257">
        <f t="shared" si="31"/>
        <v>158.42399999999998</v>
      </c>
      <c r="O257">
        <f t="shared" si="32"/>
        <v>633.69599999999991</v>
      </c>
      <c r="P257">
        <f t="shared" si="33"/>
        <v>158.42399999999998</v>
      </c>
      <c r="Q257">
        <f t="shared" si="34"/>
        <v>161.65584959999998</v>
      </c>
      <c r="R257">
        <f t="shared" si="35"/>
        <v>323.48160000000001</v>
      </c>
      <c r="S257">
        <f t="shared" si="28"/>
        <v>1227.2</v>
      </c>
    </row>
    <row r="258" spans="1:19" x14ac:dyDescent="0.25">
      <c r="A258">
        <v>388</v>
      </c>
      <c r="B258">
        <v>1276</v>
      </c>
      <c r="C258" t="s">
        <v>32</v>
      </c>
      <c r="D258" t="s">
        <v>173</v>
      </c>
      <c r="E258">
        <v>14</v>
      </c>
      <c r="F258">
        <v>13.84</v>
      </c>
      <c r="G258">
        <v>2.9</v>
      </c>
      <c r="H258">
        <v>29.87</v>
      </c>
      <c r="I258">
        <v>0.81</v>
      </c>
      <c r="J258">
        <v>81.8</v>
      </c>
      <c r="K258">
        <f t="shared" si="29"/>
        <v>1145.2</v>
      </c>
      <c r="L258">
        <f t="shared" si="30"/>
        <v>1145.2</v>
      </c>
      <c r="M258">
        <f t="shared" ref="M258:M321" si="36">IF(D258="SHOES",O258,0)</f>
        <v>561.904</v>
      </c>
      <c r="N258">
        <f t="shared" si="31"/>
        <v>140.476</v>
      </c>
      <c r="O258">
        <f t="shared" si="32"/>
        <v>561.904</v>
      </c>
      <c r="P258">
        <f t="shared" si="33"/>
        <v>140.476</v>
      </c>
      <c r="Q258">
        <f t="shared" si="34"/>
        <v>143.34171039999998</v>
      </c>
      <c r="R258">
        <f t="shared" si="35"/>
        <v>338.72579999999999</v>
      </c>
      <c r="S258">
        <f t="shared" ref="S258:S321" si="37">PRODUCT(J258,E258)</f>
        <v>1145.2</v>
      </c>
    </row>
    <row r="259" spans="1:19" x14ac:dyDescent="0.25">
      <c r="A259">
        <v>389</v>
      </c>
      <c r="B259">
        <v>1276</v>
      </c>
      <c r="C259" t="s">
        <v>32</v>
      </c>
      <c r="D259" t="s">
        <v>172</v>
      </c>
      <c r="E259">
        <v>24</v>
      </c>
      <c r="F259">
        <v>19.86</v>
      </c>
      <c r="G259">
        <v>11.4</v>
      </c>
      <c r="H259">
        <v>31.46</v>
      </c>
      <c r="I259">
        <v>1.1100000000000001</v>
      </c>
      <c r="J259">
        <v>378.33</v>
      </c>
      <c r="K259">
        <f t="shared" ref="K259:K322" si="38">E259*J259</f>
        <v>9079.92</v>
      </c>
      <c r="L259">
        <f t="shared" ref="L259:L322" si="39">IF(D259="SHOES",E259*J259,0)</f>
        <v>0</v>
      </c>
      <c r="M259">
        <f t="shared" si="36"/>
        <v>0</v>
      </c>
      <c r="N259">
        <f t="shared" ref="N259:N322" si="40">IF(D259="SHOES",P259,0)</f>
        <v>0</v>
      </c>
      <c r="O259">
        <f t="shared" ref="O259:O322" si="41">PRODUCT(E259,G259,F259)</f>
        <v>5433.6959999999999</v>
      </c>
      <c r="P259">
        <f t="shared" ref="P259:P322" si="42">PRODUCT(O259,0.25)</f>
        <v>1358.424</v>
      </c>
      <c r="Q259">
        <f t="shared" ref="Q259:Q322" si="43">PRODUCT(O259,0.2551)</f>
        <v>1386.1358496</v>
      </c>
      <c r="R259">
        <f t="shared" ref="R259:R322" si="44">PRODUCT(E259,I259,H259)</f>
        <v>838.09440000000006</v>
      </c>
      <c r="S259">
        <f t="shared" si="37"/>
        <v>9079.92</v>
      </c>
    </row>
    <row r="260" spans="1:19" x14ac:dyDescent="0.25">
      <c r="A260">
        <v>390</v>
      </c>
      <c r="B260">
        <v>1276</v>
      </c>
      <c r="C260" t="s">
        <v>32</v>
      </c>
      <c r="D260" t="s">
        <v>173</v>
      </c>
      <c r="E260">
        <v>13</v>
      </c>
      <c r="F260">
        <v>14.48</v>
      </c>
      <c r="G260">
        <v>3.01</v>
      </c>
      <c r="H260">
        <v>28.81</v>
      </c>
      <c r="I260">
        <v>0.8</v>
      </c>
      <c r="J260">
        <v>85.28</v>
      </c>
      <c r="K260">
        <f t="shared" si="38"/>
        <v>1108.6400000000001</v>
      </c>
      <c r="L260">
        <f t="shared" si="39"/>
        <v>1108.6400000000001</v>
      </c>
      <c r="M260">
        <f t="shared" si="36"/>
        <v>566.60239999999999</v>
      </c>
      <c r="N260">
        <f t="shared" si="40"/>
        <v>141.6506</v>
      </c>
      <c r="O260">
        <f t="shared" si="41"/>
        <v>566.60239999999999</v>
      </c>
      <c r="P260">
        <f t="shared" si="42"/>
        <v>141.6506</v>
      </c>
      <c r="Q260">
        <f t="shared" si="43"/>
        <v>144.54027224000001</v>
      </c>
      <c r="R260">
        <f t="shared" si="44"/>
        <v>299.62400000000002</v>
      </c>
      <c r="S260">
        <f t="shared" si="37"/>
        <v>1108.6400000000001</v>
      </c>
    </row>
    <row r="261" spans="1:19" x14ac:dyDescent="0.25">
      <c r="A261">
        <v>391</v>
      </c>
      <c r="B261">
        <v>1276</v>
      </c>
      <c r="C261" t="s">
        <v>32</v>
      </c>
      <c r="D261" t="s">
        <v>172</v>
      </c>
      <c r="E261">
        <v>14</v>
      </c>
      <c r="F261">
        <v>19.89</v>
      </c>
      <c r="G261">
        <v>10.77</v>
      </c>
      <c r="H261">
        <v>31.54</v>
      </c>
      <c r="I261">
        <v>0.98</v>
      </c>
      <c r="J261">
        <v>355.43</v>
      </c>
      <c r="K261">
        <f t="shared" si="38"/>
        <v>4976.0200000000004</v>
      </c>
      <c r="L261">
        <f t="shared" si="39"/>
        <v>0</v>
      </c>
      <c r="M261">
        <f t="shared" si="36"/>
        <v>0</v>
      </c>
      <c r="N261">
        <f t="shared" si="40"/>
        <v>0</v>
      </c>
      <c r="O261">
        <f t="shared" si="41"/>
        <v>2999.0142000000001</v>
      </c>
      <c r="P261">
        <f t="shared" si="42"/>
        <v>749.75355000000002</v>
      </c>
      <c r="Q261">
        <f t="shared" si="43"/>
        <v>765.04852242000004</v>
      </c>
      <c r="R261">
        <f t="shared" si="44"/>
        <v>432.72879999999998</v>
      </c>
      <c r="S261">
        <f t="shared" si="37"/>
        <v>4976.0200000000004</v>
      </c>
    </row>
    <row r="262" spans="1:19" x14ac:dyDescent="0.25">
      <c r="A262">
        <v>392</v>
      </c>
      <c r="B262">
        <v>1276</v>
      </c>
      <c r="C262" t="s">
        <v>32</v>
      </c>
      <c r="D262" t="s">
        <v>173</v>
      </c>
      <c r="E262">
        <v>10</v>
      </c>
      <c r="F262">
        <v>16.559999999999999</v>
      </c>
      <c r="G262">
        <v>2.97</v>
      </c>
      <c r="H262">
        <v>28.13</v>
      </c>
      <c r="I262">
        <v>0.81</v>
      </c>
      <c r="J262">
        <v>92.69</v>
      </c>
      <c r="K262">
        <f t="shared" si="38"/>
        <v>926.9</v>
      </c>
      <c r="L262">
        <f t="shared" si="39"/>
        <v>926.9</v>
      </c>
      <c r="M262">
        <f t="shared" si="36"/>
        <v>491.83199999999999</v>
      </c>
      <c r="N262">
        <f t="shared" si="40"/>
        <v>122.958</v>
      </c>
      <c r="O262">
        <f t="shared" si="41"/>
        <v>491.83199999999999</v>
      </c>
      <c r="P262">
        <f t="shared" si="42"/>
        <v>122.958</v>
      </c>
      <c r="Q262">
        <f t="shared" si="43"/>
        <v>125.4663432</v>
      </c>
      <c r="R262">
        <f t="shared" si="44"/>
        <v>227.85300000000004</v>
      </c>
      <c r="S262">
        <f t="shared" si="37"/>
        <v>926.9</v>
      </c>
    </row>
    <row r="263" spans="1:19" x14ac:dyDescent="0.25">
      <c r="A263">
        <v>393</v>
      </c>
      <c r="B263">
        <v>1276</v>
      </c>
      <c r="C263" t="s">
        <v>32</v>
      </c>
      <c r="D263" t="s">
        <v>172</v>
      </c>
      <c r="E263">
        <v>18</v>
      </c>
      <c r="F263">
        <v>18.12</v>
      </c>
      <c r="G263">
        <v>10.41</v>
      </c>
      <c r="H263">
        <v>29.21</v>
      </c>
      <c r="I263">
        <v>1.03</v>
      </c>
      <c r="J263">
        <v>316.39</v>
      </c>
      <c r="K263">
        <f t="shared" si="38"/>
        <v>5695.0199999999995</v>
      </c>
      <c r="L263">
        <f t="shared" si="39"/>
        <v>0</v>
      </c>
      <c r="M263">
        <f t="shared" si="36"/>
        <v>0</v>
      </c>
      <c r="N263">
        <f t="shared" si="40"/>
        <v>0</v>
      </c>
      <c r="O263">
        <f t="shared" si="41"/>
        <v>3395.3256000000001</v>
      </c>
      <c r="P263">
        <f t="shared" si="42"/>
        <v>848.83140000000003</v>
      </c>
      <c r="Q263">
        <f t="shared" si="43"/>
        <v>866.14756055999999</v>
      </c>
      <c r="R263">
        <f t="shared" si="44"/>
        <v>541.55340000000001</v>
      </c>
      <c r="S263">
        <f t="shared" si="37"/>
        <v>5695.0199999999995</v>
      </c>
    </row>
    <row r="264" spans="1:19" x14ac:dyDescent="0.25">
      <c r="A264">
        <v>394</v>
      </c>
      <c r="B264">
        <v>1276</v>
      </c>
      <c r="C264" t="s">
        <v>32</v>
      </c>
      <c r="D264" t="s">
        <v>173</v>
      </c>
      <c r="E264">
        <v>13</v>
      </c>
      <c r="F264">
        <v>14.56</v>
      </c>
      <c r="G264">
        <v>2.87</v>
      </c>
      <c r="H264">
        <v>36.99</v>
      </c>
      <c r="I264">
        <v>0.8</v>
      </c>
      <c r="J264">
        <v>90.01</v>
      </c>
      <c r="K264">
        <f t="shared" si="38"/>
        <v>1170.1300000000001</v>
      </c>
      <c r="L264">
        <f t="shared" si="39"/>
        <v>1170.1300000000001</v>
      </c>
      <c r="M264">
        <f t="shared" si="36"/>
        <v>543.23360000000002</v>
      </c>
      <c r="N264">
        <f t="shared" si="40"/>
        <v>135.80840000000001</v>
      </c>
      <c r="O264">
        <f t="shared" si="41"/>
        <v>543.23360000000002</v>
      </c>
      <c r="P264">
        <f t="shared" si="42"/>
        <v>135.80840000000001</v>
      </c>
      <c r="Q264">
        <f t="shared" si="43"/>
        <v>138.57889136</v>
      </c>
      <c r="R264">
        <f t="shared" si="44"/>
        <v>384.69600000000003</v>
      </c>
      <c r="S264">
        <f t="shared" si="37"/>
        <v>1170.1300000000001</v>
      </c>
    </row>
    <row r="265" spans="1:19" x14ac:dyDescent="0.25">
      <c r="A265">
        <v>395</v>
      </c>
      <c r="B265">
        <v>1276</v>
      </c>
      <c r="C265" t="s">
        <v>32</v>
      </c>
      <c r="D265" t="s">
        <v>172</v>
      </c>
      <c r="E265">
        <v>16</v>
      </c>
      <c r="F265">
        <v>20.05</v>
      </c>
      <c r="G265">
        <v>11.57</v>
      </c>
      <c r="H265">
        <v>34.82</v>
      </c>
      <c r="I265">
        <v>1.02</v>
      </c>
      <c r="J265">
        <v>387.33</v>
      </c>
      <c r="K265">
        <f t="shared" si="38"/>
        <v>6197.28</v>
      </c>
      <c r="L265">
        <f t="shared" si="39"/>
        <v>0</v>
      </c>
      <c r="M265">
        <f t="shared" si="36"/>
        <v>0</v>
      </c>
      <c r="N265">
        <f t="shared" si="40"/>
        <v>0</v>
      </c>
      <c r="O265">
        <f t="shared" si="41"/>
        <v>3711.6560000000004</v>
      </c>
      <c r="P265">
        <f t="shared" si="42"/>
        <v>927.9140000000001</v>
      </c>
      <c r="Q265">
        <f t="shared" si="43"/>
        <v>946.84344560000011</v>
      </c>
      <c r="R265">
        <f t="shared" si="44"/>
        <v>568.26240000000007</v>
      </c>
      <c r="S265">
        <f t="shared" si="37"/>
        <v>6197.28</v>
      </c>
    </row>
    <row r="266" spans="1:19" x14ac:dyDescent="0.25">
      <c r="A266">
        <v>396</v>
      </c>
      <c r="B266">
        <v>1276</v>
      </c>
      <c r="C266" t="s">
        <v>32</v>
      </c>
      <c r="D266" t="s">
        <v>173</v>
      </c>
      <c r="E266">
        <v>19</v>
      </c>
      <c r="F266">
        <v>14.36</v>
      </c>
      <c r="G266">
        <v>3</v>
      </c>
      <c r="H266">
        <v>33.119999999999997</v>
      </c>
      <c r="I266">
        <v>0.83</v>
      </c>
      <c r="J266">
        <v>89.47</v>
      </c>
      <c r="K266">
        <f t="shared" si="38"/>
        <v>1699.93</v>
      </c>
      <c r="L266">
        <f t="shared" si="39"/>
        <v>1699.93</v>
      </c>
      <c r="M266">
        <f t="shared" si="36"/>
        <v>818.52</v>
      </c>
      <c r="N266">
        <f t="shared" si="40"/>
        <v>204.63</v>
      </c>
      <c r="O266">
        <f t="shared" si="41"/>
        <v>818.52</v>
      </c>
      <c r="P266">
        <f t="shared" si="42"/>
        <v>204.63</v>
      </c>
      <c r="Q266">
        <f t="shared" si="43"/>
        <v>208.804452</v>
      </c>
      <c r="R266">
        <f t="shared" si="44"/>
        <v>522.30239999999992</v>
      </c>
      <c r="S266">
        <f t="shared" si="37"/>
        <v>1699.93</v>
      </c>
    </row>
    <row r="267" spans="1:19" x14ac:dyDescent="0.25">
      <c r="A267">
        <v>397</v>
      </c>
      <c r="B267">
        <v>1276</v>
      </c>
      <c r="C267" t="s">
        <v>32</v>
      </c>
      <c r="D267" t="s">
        <v>172</v>
      </c>
      <c r="E267">
        <v>16</v>
      </c>
      <c r="F267">
        <v>19.690000000000001</v>
      </c>
      <c r="G267">
        <v>10.15</v>
      </c>
      <c r="H267">
        <v>28.13</v>
      </c>
      <c r="I267">
        <v>1.01</v>
      </c>
      <c r="J267">
        <v>331.09</v>
      </c>
      <c r="K267">
        <f t="shared" si="38"/>
        <v>5297.44</v>
      </c>
      <c r="L267">
        <f t="shared" si="39"/>
        <v>0</v>
      </c>
      <c r="M267">
        <f t="shared" si="36"/>
        <v>0</v>
      </c>
      <c r="N267">
        <f t="shared" si="40"/>
        <v>0</v>
      </c>
      <c r="O267">
        <f t="shared" si="41"/>
        <v>3197.6560000000004</v>
      </c>
      <c r="P267">
        <f t="shared" si="42"/>
        <v>799.4140000000001</v>
      </c>
      <c r="Q267">
        <f t="shared" si="43"/>
        <v>815.72204560000011</v>
      </c>
      <c r="R267">
        <f t="shared" si="44"/>
        <v>454.58080000000001</v>
      </c>
      <c r="S267">
        <f t="shared" si="37"/>
        <v>5297.44</v>
      </c>
    </row>
    <row r="268" spans="1:19" x14ac:dyDescent="0.25">
      <c r="A268">
        <v>398</v>
      </c>
      <c r="B268">
        <v>1277</v>
      </c>
      <c r="C268" t="s">
        <v>33</v>
      </c>
      <c r="D268" t="s">
        <v>173</v>
      </c>
      <c r="E268">
        <v>5</v>
      </c>
      <c r="F268">
        <v>14.67</v>
      </c>
      <c r="G268">
        <v>2.73</v>
      </c>
      <c r="H268">
        <v>33.03</v>
      </c>
      <c r="I268">
        <v>0.81</v>
      </c>
      <c r="J268">
        <v>84.5</v>
      </c>
      <c r="K268">
        <f t="shared" si="38"/>
        <v>422.5</v>
      </c>
      <c r="L268">
        <f t="shared" si="39"/>
        <v>422.5</v>
      </c>
      <c r="M268">
        <f t="shared" si="36"/>
        <v>200.24549999999999</v>
      </c>
      <c r="N268">
        <f t="shared" si="40"/>
        <v>50.061374999999998</v>
      </c>
      <c r="O268">
        <f t="shared" si="41"/>
        <v>200.24549999999999</v>
      </c>
      <c r="P268">
        <f t="shared" si="42"/>
        <v>50.061374999999998</v>
      </c>
      <c r="Q268">
        <f t="shared" si="43"/>
        <v>51.082627049999999</v>
      </c>
      <c r="R268">
        <f t="shared" si="44"/>
        <v>133.77150000000003</v>
      </c>
      <c r="S268">
        <f t="shared" si="37"/>
        <v>422.5</v>
      </c>
    </row>
    <row r="269" spans="1:19" x14ac:dyDescent="0.25">
      <c r="A269">
        <v>399</v>
      </c>
      <c r="B269">
        <v>1277</v>
      </c>
      <c r="C269" t="s">
        <v>33</v>
      </c>
      <c r="D269" t="s">
        <v>173</v>
      </c>
      <c r="E269">
        <v>17</v>
      </c>
      <c r="F269">
        <v>14.56</v>
      </c>
      <c r="G269">
        <v>2.82</v>
      </c>
      <c r="H269">
        <v>30.01</v>
      </c>
      <c r="I269">
        <v>0.8</v>
      </c>
      <c r="J269">
        <v>82.87</v>
      </c>
      <c r="K269">
        <f t="shared" si="38"/>
        <v>1408.79</v>
      </c>
      <c r="L269">
        <f t="shared" si="39"/>
        <v>1408.79</v>
      </c>
      <c r="M269">
        <f t="shared" si="36"/>
        <v>698.00639999999999</v>
      </c>
      <c r="N269">
        <f t="shared" si="40"/>
        <v>174.5016</v>
      </c>
      <c r="O269">
        <f t="shared" si="41"/>
        <v>698.00639999999999</v>
      </c>
      <c r="P269">
        <f t="shared" si="42"/>
        <v>174.5016</v>
      </c>
      <c r="Q269">
        <f t="shared" si="43"/>
        <v>178.06143263999999</v>
      </c>
      <c r="R269">
        <f t="shared" si="44"/>
        <v>408.13600000000008</v>
      </c>
      <c r="S269">
        <f t="shared" si="37"/>
        <v>1408.79</v>
      </c>
    </row>
    <row r="270" spans="1:19" x14ac:dyDescent="0.25">
      <c r="A270">
        <v>400</v>
      </c>
      <c r="B270">
        <v>1277</v>
      </c>
      <c r="C270" t="s">
        <v>33</v>
      </c>
      <c r="D270" t="s">
        <v>172</v>
      </c>
      <c r="E270">
        <v>73</v>
      </c>
      <c r="F270">
        <v>20.9</v>
      </c>
      <c r="G270">
        <v>11.71</v>
      </c>
      <c r="H270">
        <v>32.61</v>
      </c>
      <c r="I270">
        <v>0.97</v>
      </c>
      <c r="J270">
        <v>401.69</v>
      </c>
      <c r="K270">
        <f t="shared" si="38"/>
        <v>29323.37</v>
      </c>
      <c r="L270">
        <f t="shared" si="39"/>
        <v>0</v>
      </c>
      <c r="M270">
        <f t="shared" si="36"/>
        <v>0</v>
      </c>
      <c r="N270">
        <f t="shared" si="40"/>
        <v>0</v>
      </c>
      <c r="O270">
        <f t="shared" si="41"/>
        <v>17865.947</v>
      </c>
      <c r="P270">
        <f t="shared" si="42"/>
        <v>4466.48675</v>
      </c>
      <c r="Q270">
        <f t="shared" si="43"/>
        <v>4557.6030797000003</v>
      </c>
      <c r="R270">
        <f t="shared" si="44"/>
        <v>2309.1141000000002</v>
      </c>
      <c r="S270">
        <f t="shared" si="37"/>
        <v>29323.37</v>
      </c>
    </row>
    <row r="271" spans="1:19" x14ac:dyDescent="0.25">
      <c r="A271">
        <v>401</v>
      </c>
      <c r="B271">
        <v>1277</v>
      </c>
      <c r="C271" t="s">
        <v>33</v>
      </c>
      <c r="D271" t="s">
        <v>173</v>
      </c>
      <c r="E271">
        <v>11</v>
      </c>
      <c r="F271">
        <v>15.24</v>
      </c>
      <c r="G271">
        <v>2.57</v>
      </c>
      <c r="H271">
        <v>26.89</v>
      </c>
      <c r="I271">
        <v>0.81</v>
      </c>
      <c r="J271">
        <v>77.81</v>
      </c>
      <c r="K271">
        <f t="shared" si="38"/>
        <v>855.91000000000008</v>
      </c>
      <c r="L271">
        <f t="shared" si="39"/>
        <v>855.91000000000008</v>
      </c>
      <c r="M271">
        <f t="shared" si="36"/>
        <v>430.83479999999997</v>
      </c>
      <c r="N271">
        <f t="shared" si="40"/>
        <v>107.70869999999999</v>
      </c>
      <c r="O271">
        <f t="shared" si="41"/>
        <v>430.83479999999997</v>
      </c>
      <c r="P271">
        <f t="shared" si="42"/>
        <v>107.70869999999999</v>
      </c>
      <c r="Q271">
        <f t="shared" si="43"/>
        <v>109.90595747999998</v>
      </c>
      <c r="R271">
        <f t="shared" si="44"/>
        <v>239.5899</v>
      </c>
      <c r="S271">
        <f t="shared" si="37"/>
        <v>855.91000000000008</v>
      </c>
    </row>
    <row r="272" spans="1:19" x14ac:dyDescent="0.25">
      <c r="A272">
        <v>402</v>
      </c>
      <c r="B272">
        <v>1277</v>
      </c>
      <c r="C272" t="s">
        <v>33</v>
      </c>
      <c r="D272" t="s">
        <v>172</v>
      </c>
      <c r="E272">
        <v>12</v>
      </c>
      <c r="F272">
        <v>21.18</v>
      </c>
      <c r="G272">
        <v>11.5</v>
      </c>
      <c r="H272">
        <v>32.01</v>
      </c>
      <c r="I272">
        <v>1.0900000000000001</v>
      </c>
      <c r="J272">
        <v>403.83</v>
      </c>
      <c r="K272">
        <f t="shared" si="38"/>
        <v>4845.96</v>
      </c>
      <c r="L272">
        <f t="shared" si="39"/>
        <v>0</v>
      </c>
      <c r="M272">
        <f t="shared" si="36"/>
        <v>0</v>
      </c>
      <c r="N272">
        <f t="shared" si="40"/>
        <v>0</v>
      </c>
      <c r="O272">
        <f t="shared" si="41"/>
        <v>2922.84</v>
      </c>
      <c r="P272">
        <f t="shared" si="42"/>
        <v>730.71</v>
      </c>
      <c r="Q272">
        <f t="shared" si="43"/>
        <v>745.61648400000001</v>
      </c>
      <c r="R272">
        <f t="shared" si="44"/>
        <v>418.69080000000002</v>
      </c>
      <c r="S272">
        <f t="shared" si="37"/>
        <v>4845.96</v>
      </c>
    </row>
    <row r="273" spans="1:19" x14ac:dyDescent="0.25">
      <c r="A273">
        <v>403</v>
      </c>
      <c r="B273">
        <v>1277</v>
      </c>
      <c r="C273" t="s">
        <v>33</v>
      </c>
      <c r="D273" t="s">
        <v>173</v>
      </c>
      <c r="E273">
        <v>15</v>
      </c>
      <c r="F273">
        <v>14.54</v>
      </c>
      <c r="G273">
        <v>2.9</v>
      </c>
      <c r="H273">
        <v>30.14</v>
      </c>
      <c r="I273">
        <v>0.83</v>
      </c>
      <c r="J273">
        <v>85.5</v>
      </c>
      <c r="K273">
        <f t="shared" si="38"/>
        <v>1282.5</v>
      </c>
      <c r="L273">
        <f t="shared" si="39"/>
        <v>1282.5</v>
      </c>
      <c r="M273">
        <f t="shared" si="36"/>
        <v>632.49</v>
      </c>
      <c r="N273">
        <f t="shared" si="40"/>
        <v>158.1225</v>
      </c>
      <c r="O273">
        <f t="shared" si="41"/>
        <v>632.49</v>
      </c>
      <c r="P273">
        <f t="shared" si="42"/>
        <v>158.1225</v>
      </c>
      <c r="Q273">
        <f t="shared" si="43"/>
        <v>161.34819899999999</v>
      </c>
      <c r="R273">
        <f t="shared" si="44"/>
        <v>375.24299999999999</v>
      </c>
      <c r="S273">
        <f t="shared" si="37"/>
        <v>1282.5</v>
      </c>
    </row>
    <row r="274" spans="1:19" x14ac:dyDescent="0.25">
      <c r="A274">
        <v>404</v>
      </c>
      <c r="B274">
        <v>1277</v>
      </c>
      <c r="C274" t="s">
        <v>33</v>
      </c>
      <c r="D274" t="s">
        <v>172</v>
      </c>
      <c r="E274">
        <v>11</v>
      </c>
      <c r="F274">
        <v>19.46</v>
      </c>
      <c r="G274">
        <v>10.57</v>
      </c>
      <c r="H274">
        <v>35.29</v>
      </c>
      <c r="I274">
        <v>0.9</v>
      </c>
      <c r="J274">
        <v>343.76</v>
      </c>
      <c r="K274">
        <f t="shared" si="38"/>
        <v>3781.3599999999997</v>
      </c>
      <c r="L274">
        <f t="shared" si="39"/>
        <v>0</v>
      </c>
      <c r="M274">
        <f t="shared" si="36"/>
        <v>0</v>
      </c>
      <c r="N274">
        <f t="shared" si="40"/>
        <v>0</v>
      </c>
      <c r="O274">
        <f t="shared" si="41"/>
        <v>2262.6142000000004</v>
      </c>
      <c r="P274">
        <f t="shared" si="42"/>
        <v>565.65355000000011</v>
      </c>
      <c r="Q274">
        <f t="shared" si="43"/>
        <v>577.19288242000005</v>
      </c>
      <c r="R274">
        <f t="shared" si="44"/>
        <v>349.37099999999998</v>
      </c>
      <c r="S274">
        <f t="shared" si="37"/>
        <v>3781.3599999999997</v>
      </c>
    </row>
    <row r="275" spans="1:19" x14ac:dyDescent="0.25">
      <c r="A275">
        <v>405</v>
      </c>
      <c r="B275">
        <v>1278</v>
      </c>
      <c r="C275" t="s">
        <v>33</v>
      </c>
      <c r="D275" t="s">
        <v>173</v>
      </c>
      <c r="E275">
        <v>28</v>
      </c>
      <c r="F275">
        <v>14.62</v>
      </c>
      <c r="G275">
        <v>3.07</v>
      </c>
      <c r="H275">
        <v>33.78</v>
      </c>
      <c r="I275">
        <v>0.8</v>
      </c>
      <c r="J275">
        <v>91.44</v>
      </c>
      <c r="K275">
        <f t="shared" si="38"/>
        <v>2560.3199999999997</v>
      </c>
      <c r="L275">
        <f t="shared" si="39"/>
        <v>2560.3199999999997</v>
      </c>
      <c r="M275">
        <f t="shared" si="36"/>
        <v>1256.7351999999998</v>
      </c>
      <c r="N275">
        <f t="shared" si="40"/>
        <v>314.18379999999996</v>
      </c>
      <c r="O275">
        <f t="shared" si="41"/>
        <v>1256.7351999999998</v>
      </c>
      <c r="P275">
        <f t="shared" si="42"/>
        <v>314.18379999999996</v>
      </c>
      <c r="Q275">
        <f t="shared" si="43"/>
        <v>320.59314951999994</v>
      </c>
      <c r="R275">
        <f t="shared" si="44"/>
        <v>756.67200000000014</v>
      </c>
      <c r="S275">
        <f t="shared" si="37"/>
        <v>2560.3199999999997</v>
      </c>
    </row>
    <row r="276" spans="1:19" x14ac:dyDescent="0.25">
      <c r="A276">
        <v>406</v>
      </c>
      <c r="B276">
        <v>1278</v>
      </c>
      <c r="C276" t="s">
        <v>33</v>
      </c>
      <c r="D276" t="s">
        <v>172</v>
      </c>
      <c r="E276">
        <v>26</v>
      </c>
      <c r="F276">
        <v>18.489999999999998</v>
      </c>
      <c r="G276">
        <v>12.32</v>
      </c>
      <c r="H276">
        <v>31.25</v>
      </c>
      <c r="I276">
        <v>1.08</v>
      </c>
      <c r="J276">
        <v>379.01</v>
      </c>
      <c r="K276">
        <f t="shared" si="38"/>
        <v>9854.26</v>
      </c>
      <c r="L276">
        <f t="shared" si="39"/>
        <v>0</v>
      </c>
      <c r="M276">
        <f t="shared" si="36"/>
        <v>0</v>
      </c>
      <c r="N276">
        <f t="shared" si="40"/>
        <v>0</v>
      </c>
      <c r="O276">
        <f t="shared" si="41"/>
        <v>5922.7167999999992</v>
      </c>
      <c r="P276">
        <f t="shared" si="42"/>
        <v>1480.6791999999998</v>
      </c>
      <c r="Q276">
        <f t="shared" si="43"/>
        <v>1510.8850556799998</v>
      </c>
      <c r="R276">
        <f t="shared" si="44"/>
        <v>877.50000000000011</v>
      </c>
      <c r="S276">
        <f t="shared" si="37"/>
        <v>9854.26</v>
      </c>
    </row>
    <row r="277" spans="1:19" x14ac:dyDescent="0.25">
      <c r="A277">
        <v>407</v>
      </c>
      <c r="B277">
        <v>1278</v>
      </c>
      <c r="C277" t="s">
        <v>33</v>
      </c>
      <c r="D277" t="s">
        <v>173</v>
      </c>
      <c r="E277">
        <v>14</v>
      </c>
      <c r="F277">
        <v>12.92</v>
      </c>
      <c r="G277">
        <v>3.09</v>
      </c>
      <c r="H277">
        <v>30.82</v>
      </c>
      <c r="I277">
        <v>0.8</v>
      </c>
      <c r="J277">
        <v>82.02</v>
      </c>
      <c r="K277">
        <f t="shared" si="38"/>
        <v>1148.28</v>
      </c>
      <c r="L277">
        <f t="shared" si="39"/>
        <v>1148.28</v>
      </c>
      <c r="M277">
        <f t="shared" si="36"/>
        <v>558.91919999999993</v>
      </c>
      <c r="N277">
        <f t="shared" si="40"/>
        <v>139.72979999999998</v>
      </c>
      <c r="O277">
        <f t="shared" si="41"/>
        <v>558.91919999999993</v>
      </c>
      <c r="P277">
        <f t="shared" si="42"/>
        <v>139.72979999999998</v>
      </c>
      <c r="Q277">
        <f t="shared" si="43"/>
        <v>142.58028791999999</v>
      </c>
      <c r="R277">
        <f t="shared" si="44"/>
        <v>345.18400000000003</v>
      </c>
      <c r="S277">
        <f t="shared" si="37"/>
        <v>1148.28</v>
      </c>
    </row>
    <row r="278" spans="1:19" x14ac:dyDescent="0.25">
      <c r="A278">
        <v>408</v>
      </c>
      <c r="B278">
        <v>1278</v>
      </c>
      <c r="C278" t="s">
        <v>33</v>
      </c>
      <c r="D278" t="s">
        <v>173</v>
      </c>
      <c r="E278">
        <v>10</v>
      </c>
      <c r="F278">
        <v>14.3</v>
      </c>
      <c r="G278">
        <v>2.89</v>
      </c>
      <c r="H278">
        <v>29.93</v>
      </c>
      <c r="I278">
        <v>0.84</v>
      </c>
      <c r="J278">
        <v>84.48</v>
      </c>
      <c r="K278">
        <f t="shared" si="38"/>
        <v>844.80000000000007</v>
      </c>
      <c r="L278">
        <f t="shared" si="39"/>
        <v>844.80000000000007</v>
      </c>
      <c r="M278">
        <f t="shared" si="36"/>
        <v>413.27000000000004</v>
      </c>
      <c r="N278">
        <f t="shared" si="40"/>
        <v>103.31750000000001</v>
      </c>
      <c r="O278">
        <f t="shared" si="41"/>
        <v>413.27000000000004</v>
      </c>
      <c r="P278">
        <f t="shared" si="42"/>
        <v>103.31750000000001</v>
      </c>
      <c r="Q278">
        <f t="shared" si="43"/>
        <v>105.42517700000001</v>
      </c>
      <c r="R278">
        <f t="shared" si="44"/>
        <v>251.41200000000001</v>
      </c>
      <c r="S278">
        <f t="shared" si="37"/>
        <v>844.80000000000007</v>
      </c>
    </row>
    <row r="279" spans="1:19" x14ac:dyDescent="0.25">
      <c r="A279">
        <v>409</v>
      </c>
      <c r="B279">
        <v>1278</v>
      </c>
      <c r="C279" t="s">
        <v>33</v>
      </c>
      <c r="D279" t="s">
        <v>173</v>
      </c>
      <c r="E279">
        <v>18</v>
      </c>
      <c r="F279">
        <v>12.61</v>
      </c>
      <c r="G279">
        <v>3.08</v>
      </c>
      <c r="H279">
        <v>27.43</v>
      </c>
      <c r="I279">
        <v>0.82</v>
      </c>
      <c r="J279">
        <v>78.14</v>
      </c>
      <c r="K279">
        <f t="shared" si="38"/>
        <v>1406.52</v>
      </c>
      <c r="L279">
        <f t="shared" si="39"/>
        <v>1406.52</v>
      </c>
      <c r="M279">
        <f t="shared" si="36"/>
        <v>699.09839999999997</v>
      </c>
      <c r="N279">
        <f t="shared" si="40"/>
        <v>174.77459999999999</v>
      </c>
      <c r="O279">
        <f t="shared" si="41"/>
        <v>699.09839999999997</v>
      </c>
      <c r="P279">
        <f t="shared" si="42"/>
        <v>174.77459999999999</v>
      </c>
      <c r="Q279">
        <f t="shared" si="43"/>
        <v>178.34000183999999</v>
      </c>
      <c r="R279">
        <f t="shared" si="44"/>
        <v>404.86680000000001</v>
      </c>
      <c r="S279">
        <f t="shared" si="37"/>
        <v>1406.52</v>
      </c>
    </row>
    <row r="280" spans="1:19" x14ac:dyDescent="0.25">
      <c r="A280">
        <v>410</v>
      </c>
      <c r="B280">
        <v>1278</v>
      </c>
      <c r="C280" t="s">
        <v>33</v>
      </c>
      <c r="D280" t="s">
        <v>173</v>
      </c>
      <c r="E280">
        <v>21</v>
      </c>
      <c r="F280">
        <v>13.2</v>
      </c>
      <c r="G280">
        <v>2.88</v>
      </c>
      <c r="H280">
        <v>34.36</v>
      </c>
      <c r="I280">
        <v>0.8</v>
      </c>
      <c r="J280">
        <v>82.51</v>
      </c>
      <c r="K280">
        <f t="shared" si="38"/>
        <v>1732.71</v>
      </c>
      <c r="L280">
        <f t="shared" si="39"/>
        <v>1732.71</v>
      </c>
      <c r="M280">
        <f t="shared" si="36"/>
        <v>798.3359999999999</v>
      </c>
      <c r="N280">
        <f t="shared" si="40"/>
        <v>199.58399999999997</v>
      </c>
      <c r="O280">
        <f t="shared" si="41"/>
        <v>798.3359999999999</v>
      </c>
      <c r="P280">
        <f t="shared" si="42"/>
        <v>199.58399999999997</v>
      </c>
      <c r="Q280">
        <f t="shared" si="43"/>
        <v>203.65551359999998</v>
      </c>
      <c r="R280">
        <f t="shared" si="44"/>
        <v>577.24800000000005</v>
      </c>
      <c r="S280">
        <f t="shared" si="37"/>
        <v>1732.71</v>
      </c>
    </row>
    <row r="281" spans="1:19" x14ac:dyDescent="0.25">
      <c r="A281">
        <v>411</v>
      </c>
      <c r="B281">
        <v>1278</v>
      </c>
      <c r="C281" t="s">
        <v>33</v>
      </c>
      <c r="D281" t="s">
        <v>173</v>
      </c>
      <c r="E281">
        <v>13</v>
      </c>
      <c r="F281">
        <v>14.62</v>
      </c>
      <c r="G281">
        <v>2.9</v>
      </c>
      <c r="H281">
        <v>28.23</v>
      </c>
      <c r="I281">
        <v>0.79</v>
      </c>
      <c r="J281">
        <v>82.83</v>
      </c>
      <c r="K281">
        <f t="shared" si="38"/>
        <v>1076.79</v>
      </c>
      <c r="L281">
        <f t="shared" si="39"/>
        <v>1076.79</v>
      </c>
      <c r="M281">
        <f t="shared" si="36"/>
        <v>551.17399999999986</v>
      </c>
      <c r="N281">
        <f t="shared" si="40"/>
        <v>137.79349999999997</v>
      </c>
      <c r="O281">
        <f t="shared" si="41"/>
        <v>551.17399999999986</v>
      </c>
      <c r="P281">
        <f t="shared" si="42"/>
        <v>137.79349999999997</v>
      </c>
      <c r="Q281">
        <f t="shared" si="43"/>
        <v>140.60448739999995</v>
      </c>
      <c r="R281">
        <f t="shared" si="44"/>
        <v>289.9221</v>
      </c>
      <c r="S281">
        <f t="shared" si="37"/>
        <v>1076.79</v>
      </c>
    </row>
    <row r="282" spans="1:19" x14ac:dyDescent="0.25">
      <c r="A282">
        <v>412</v>
      </c>
      <c r="B282">
        <v>1278</v>
      </c>
      <c r="C282" t="s">
        <v>33</v>
      </c>
      <c r="D282" t="s">
        <v>173</v>
      </c>
      <c r="E282">
        <v>22</v>
      </c>
      <c r="F282">
        <v>16.34</v>
      </c>
      <c r="G282">
        <v>2.5299999999999998</v>
      </c>
      <c r="H282">
        <v>29.62</v>
      </c>
      <c r="I282">
        <v>0.81</v>
      </c>
      <c r="J282">
        <v>83.23</v>
      </c>
      <c r="K282">
        <f t="shared" si="38"/>
        <v>1831.0600000000002</v>
      </c>
      <c r="L282">
        <f t="shared" si="39"/>
        <v>1831.0600000000002</v>
      </c>
      <c r="M282">
        <f t="shared" si="36"/>
        <v>909.48439999999994</v>
      </c>
      <c r="N282">
        <f t="shared" si="40"/>
        <v>227.37109999999998</v>
      </c>
      <c r="O282">
        <f t="shared" si="41"/>
        <v>909.48439999999994</v>
      </c>
      <c r="P282">
        <f t="shared" si="42"/>
        <v>227.37109999999998</v>
      </c>
      <c r="Q282">
        <f t="shared" si="43"/>
        <v>232.00947043999997</v>
      </c>
      <c r="R282">
        <f t="shared" si="44"/>
        <v>527.82839999999999</v>
      </c>
      <c r="S282">
        <f t="shared" si="37"/>
        <v>1831.0600000000002</v>
      </c>
    </row>
    <row r="283" spans="1:19" x14ac:dyDescent="0.25">
      <c r="A283">
        <v>413</v>
      </c>
      <c r="B283">
        <v>1279</v>
      </c>
      <c r="C283" t="s">
        <v>34</v>
      </c>
      <c r="D283" t="s">
        <v>173</v>
      </c>
      <c r="E283">
        <v>7</v>
      </c>
      <c r="F283">
        <v>15.55</v>
      </c>
      <c r="G283">
        <v>2.76</v>
      </c>
      <c r="H283">
        <v>31.33</v>
      </c>
      <c r="I283">
        <v>0.8</v>
      </c>
      <c r="J283">
        <v>86.58</v>
      </c>
      <c r="K283">
        <f t="shared" si="38"/>
        <v>606.05999999999995</v>
      </c>
      <c r="L283">
        <f t="shared" si="39"/>
        <v>606.05999999999995</v>
      </c>
      <c r="M283">
        <f t="shared" si="36"/>
        <v>300.42600000000004</v>
      </c>
      <c r="N283">
        <f t="shared" si="40"/>
        <v>75.106500000000011</v>
      </c>
      <c r="O283">
        <f t="shared" si="41"/>
        <v>300.42600000000004</v>
      </c>
      <c r="P283">
        <f t="shared" si="42"/>
        <v>75.106500000000011</v>
      </c>
      <c r="Q283">
        <f t="shared" si="43"/>
        <v>76.638672600000007</v>
      </c>
      <c r="R283">
        <f t="shared" si="44"/>
        <v>175.44800000000001</v>
      </c>
      <c r="S283">
        <f t="shared" si="37"/>
        <v>606.05999999999995</v>
      </c>
    </row>
    <row r="284" spans="1:19" x14ac:dyDescent="0.25">
      <c r="A284">
        <v>414</v>
      </c>
      <c r="B284">
        <v>1279</v>
      </c>
      <c r="C284" t="s">
        <v>34</v>
      </c>
      <c r="D284" t="s">
        <v>172</v>
      </c>
      <c r="E284">
        <v>12</v>
      </c>
      <c r="F284">
        <v>19.239999999999998</v>
      </c>
      <c r="G284">
        <v>11.68</v>
      </c>
      <c r="H284">
        <v>31.39</v>
      </c>
      <c r="I284">
        <v>1.04</v>
      </c>
      <c r="J284">
        <v>373.12</v>
      </c>
      <c r="K284">
        <f t="shared" si="38"/>
        <v>4477.4400000000005</v>
      </c>
      <c r="L284">
        <f t="shared" si="39"/>
        <v>0</v>
      </c>
      <c r="M284">
        <f t="shared" si="36"/>
        <v>0</v>
      </c>
      <c r="N284">
        <f t="shared" si="40"/>
        <v>0</v>
      </c>
      <c r="O284">
        <f t="shared" si="41"/>
        <v>2696.6783999999998</v>
      </c>
      <c r="P284">
        <f t="shared" si="42"/>
        <v>674.16959999999995</v>
      </c>
      <c r="Q284">
        <f t="shared" si="43"/>
        <v>687.92265983999994</v>
      </c>
      <c r="R284">
        <f t="shared" si="44"/>
        <v>391.74720000000002</v>
      </c>
      <c r="S284">
        <f t="shared" si="37"/>
        <v>4477.4400000000005</v>
      </c>
    </row>
    <row r="285" spans="1:19" x14ac:dyDescent="0.25">
      <c r="A285">
        <v>415</v>
      </c>
      <c r="B285">
        <v>1279</v>
      </c>
      <c r="C285" t="s">
        <v>34</v>
      </c>
      <c r="D285" t="s">
        <v>173</v>
      </c>
      <c r="E285">
        <v>8</v>
      </c>
      <c r="F285">
        <v>16.78</v>
      </c>
      <c r="G285">
        <v>2.87</v>
      </c>
      <c r="H285">
        <v>28.47</v>
      </c>
      <c r="I285">
        <v>0.83</v>
      </c>
      <c r="J285">
        <v>92.21</v>
      </c>
      <c r="K285">
        <f t="shared" si="38"/>
        <v>737.68</v>
      </c>
      <c r="L285">
        <f t="shared" si="39"/>
        <v>737.68</v>
      </c>
      <c r="M285">
        <f t="shared" si="36"/>
        <v>385.26880000000006</v>
      </c>
      <c r="N285">
        <f t="shared" si="40"/>
        <v>96.317200000000014</v>
      </c>
      <c r="O285">
        <f t="shared" si="41"/>
        <v>385.26880000000006</v>
      </c>
      <c r="P285">
        <f t="shared" si="42"/>
        <v>96.317200000000014</v>
      </c>
      <c r="Q285">
        <f t="shared" si="43"/>
        <v>98.282070880000006</v>
      </c>
      <c r="R285">
        <f t="shared" si="44"/>
        <v>189.04079999999999</v>
      </c>
      <c r="S285">
        <f t="shared" si="37"/>
        <v>737.68</v>
      </c>
    </row>
    <row r="286" spans="1:19" x14ac:dyDescent="0.25">
      <c r="A286">
        <v>416</v>
      </c>
      <c r="B286">
        <v>1279</v>
      </c>
      <c r="C286" t="s">
        <v>34</v>
      </c>
      <c r="D286" t="s">
        <v>172</v>
      </c>
      <c r="E286">
        <v>52</v>
      </c>
      <c r="F286">
        <v>18.96</v>
      </c>
      <c r="G286">
        <v>11.95</v>
      </c>
      <c r="H286">
        <v>32.71</v>
      </c>
      <c r="I286">
        <v>1.02</v>
      </c>
      <c r="J286">
        <v>376.73</v>
      </c>
      <c r="K286">
        <f t="shared" si="38"/>
        <v>19589.96</v>
      </c>
      <c r="L286">
        <f t="shared" si="39"/>
        <v>0</v>
      </c>
      <c r="M286">
        <f t="shared" si="36"/>
        <v>0</v>
      </c>
      <c r="N286">
        <f t="shared" si="40"/>
        <v>0</v>
      </c>
      <c r="O286">
        <f t="shared" si="41"/>
        <v>11781.744000000001</v>
      </c>
      <c r="P286">
        <f t="shared" si="42"/>
        <v>2945.4360000000001</v>
      </c>
      <c r="Q286">
        <f t="shared" si="43"/>
        <v>3005.5228944</v>
      </c>
      <c r="R286">
        <f t="shared" si="44"/>
        <v>1734.9384</v>
      </c>
      <c r="S286">
        <f t="shared" si="37"/>
        <v>19589.96</v>
      </c>
    </row>
    <row r="287" spans="1:19" x14ac:dyDescent="0.25">
      <c r="A287">
        <v>417</v>
      </c>
      <c r="B287">
        <v>1279</v>
      </c>
      <c r="C287" t="s">
        <v>34</v>
      </c>
      <c r="D287" t="s">
        <v>173</v>
      </c>
      <c r="E287">
        <v>14</v>
      </c>
      <c r="F287">
        <v>13.89</v>
      </c>
      <c r="G287">
        <v>3.04</v>
      </c>
      <c r="H287">
        <v>37.92</v>
      </c>
      <c r="I287">
        <v>0.82</v>
      </c>
      <c r="J287">
        <v>92.26</v>
      </c>
      <c r="K287">
        <f t="shared" si="38"/>
        <v>1291.6400000000001</v>
      </c>
      <c r="L287">
        <f t="shared" si="39"/>
        <v>1291.6400000000001</v>
      </c>
      <c r="M287">
        <f t="shared" si="36"/>
        <v>591.15840000000003</v>
      </c>
      <c r="N287">
        <f t="shared" si="40"/>
        <v>147.78960000000001</v>
      </c>
      <c r="O287">
        <f t="shared" si="41"/>
        <v>591.15840000000003</v>
      </c>
      <c r="P287">
        <f t="shared" si="42"/>
        <v>147.78960000000001</v>
      </c>
      <c r="Q287">
        <f t="shared" si="43"/>
        <v>150.80450784000001</v>
      </c>
      <c r="R287">
        <f t="shared" si="44"/>
        <v>435.32159999999999</v>
      </c>
      <c r="S287">
        <f t="shared" si="37"/>
        <v>1291.6400000000001</v>
      </c>
    </row>
    <row r="288" spans="1:19" x14ac:dyDescent="0.25">
      <c r="A288">
        <v>418</v>
      </c>
      <c r="B288">
        <v>1279</v>
      </c>
      <c r="C288" t="s">
        <v>34</v>
      </c>
      <c r="D288" t="s">
        <v>172</v>
      </c>
      <c r="E288">
        <v>17</v>
      </c>
      <c r="F288">
        <v>19.21</v>
      </c>
      <c r="G288">
        <v>11.22</v>
      </c>
      <c r="H288">
        <v>31.67</v>
      </c>
      <c r="I288">
        <v>0.86</v>
      </c>
      <c r="J288">
        <v>353.02</v>
      </c>
      <c r="K288">
        <f t="shared" si="38"/>
        <v>6001.34</v>
      </c>
      <c r="L288">
        <f t="shared" si="39"/>
        <v>0</v>
      </c>
      <c r="M288">
        <f t="shared" si="36"/>
        <v>0</v>
      </c>
      <c r="N288">
        <f t="shared" si="40"/>
        <v>0</v>
      </c>
      <c r="O288">
        <f t="shared" si="41"/>
        <v>3664.1154000000001</v>
      </c>
      <c r="P288">
        <f t="shared" si="42"/>
        <v>916.02885000000003</v>
      </c>
      <c r="Q288">
        <f t="shared" si="43"/>
        <v>934.71583854000005</v>
      </c>
      <c r="R288">
        <f t="shared" si="44"/>
        <v>463.0154</v>
      </c>
      <c r="S288">
        <f t="shared" si="37"/>
        <v>6001.34</v>
      </c>
    </row>
    <row r="289" spans="1:19" x14ac:dyDescent="0.25">
      <c r="A289">
        <v>419</v>
      </c>
      <c r="B289">
        <v>1279</v>
      </c>
      <c r="C289" t="s">
        <v>34</v>
      </c>
      <c r="D289" t="s">
        <v>172</v>
      </c>
      <c r="E289">
        <v>8</v>
      </c>
      <c r="F289">
        <v>18.149999999999999</v>
      </c>
      <c r="G289">
        <v>11.01</v>
      </c>
      <c r="H289">
        <v>39.64</v>
      </c>
      <c r="I289">
        <v>1.07</v>
      </c>
      <c r="J289">
        <v>347.72</v>
      </c>
      <c r="K289">
        <f t="shared" si="38"/>
        <v>2781.76</v>
      </c>
      <c r="L289">
        <f t="shared" si="39"/>
        <v>0</v>
      </c>
      <c r="M289">
        <f t="shared" si="36"/>
        <v>0</v>
      </c>
      <c r="N289">
        <f t="shared" si="40"/>
        <v>0</v>
      </c>
      <c r="O289">
        <f t="shared" si="41"/>
        <v>1598.6519999999998</v>
      </c>
      <c r="P289">
        <f t="shared" si="42"/>
        <v>399.66299999999995</v>
      </c>
      <c r="Q289">
        <f t="shared" si="43"/>
        <v>407.81612519999993</v>
      </c>
      <c r="R289">
        <f t="shared" si="44"/>
        <v>339.3184</v>
      </c>
      <c r="S289">
        <f t="shared" si="37"/>
        <v>2781.76</v>
      </c>
    </row>
    <row r="290" spans="1:19" x14ac:dyDescent="0.25">
      <c r="A290">
        <v>420</v>
      </c>
      <c r="B290">
        <v>1280</v>
      </c>
      <c r="C290" t="s">
        <v>32</v>
      </c>
      <c r="D290" t="s">
        <v>172</v>
      </c>
      <c r="E290">
        <v>6</v>
      </c>
      <c r="F290">
        <v>21.58</v>
      </c>
      <c r="G290">
        <v>11.61</v>
      </c>
      <c r="H290">
        <v>28.36</v>
      </c>
      <c r="I290">
        <v>1.03</v>
      </c>
      <c r="J290">
        <v>407.44</v>
      </c>
      <c r="K290">
        <f t="shared" si="38"/>
        <v>2444.64</v>
      </c>
      <c r="L290">
        <f t="shared" si="39"/>
        <v>0</v>
      </c>
      <c r="M290">
        <f t="shared" si="36"/>
        <v>0</v>
      </c>
      <c r="N290">
        <f t="shared" si="40"/>
        <v>0</v>
      </c>
      <c r="O290">
        <f t="shared" si="41"/>
        <v>1503.2627999999997</v>
      </c>
      <c r="P290">
        <f t="shared" si="42"/>
        <v>375.81569999999994</v>
      </c>
      <c r="Q290">
        <f t="shared" si="43"/>
        <v>383.4823402799999</v>
      </c>
      <c r="R290">
        <f t="shared" si="44"/>
        <v>175.26479999999998</v>
      </c>
      <c r="S290">
        <f t="shared" si="37"/>
        <v>2444.64</v>
      </c>
    </row>
    <row r="291" spans="1:19" x14ac:dyDescent="0.25">
      <c r="A291">
        <v>421</v>
      </c>
      <c r="B291">
        <v>1280</v>
      </c>
      <c r="C291" t="s">
        <v>32</v>
      </c>
      <c r="D291" t="s">
        <v>172</v>
      </c>
      <c r="E291">
        <v>26</v>
      </c>
      <c r="F291">
        <v>20.149999999999999</v>
      </c>
      <c r="G291">
        <v>11.82</v>
      </c>
      <c r="H291">
        <v>32.46</v>
      </c>
      <c r="I291">
        <v>0.95</v>
      </c>
      <c r="J291">
        <v>390.98</v>
      </c>
      <c r="K291">
        <f t="shared" si="38"/>
        <v>10165.48</v>
      </c>
      <c r="L291">
        <f t="shared" si="39"/>
        <v>0</v>
      </c>
      <c r="M291">
        <f t="shared" si="36"/>
        <v>0</v>
      </c>
      <c r="N291">
        <f t="shared" si="40"/>
        <v>0</v>
      </c>
      <c r="O291">
        <f t="shared" si="41"/>
        <v>6192.4979999999996</v>
      </c>
      <c r="P291">
        <f t="shared" si="42"/>
        <v>1548.1244999999999</v>
      </c>
      <c r="Q291">
        <f t="shared" si="43"/>
        <v>1579.7062397999998</v>
      </c>
      <c r="R291">
        <f t="shared" si="44"/>
        <v>801.76199999999994</v>
      </c>
      <c r="S291">
        <f t="shared" si="37"/>
        <v>10165.48</v>
      </c>
    </row>
    <row r="292" spans="1:19" x14ac:dyDescent="0.25">
      <c r="A292">
        <v>422</v>
      </c>
      <c r="B292">
        <v>1280</v>
      </c>
      <c r="C292" t="s">
        <v>32</v>
      </c>
      <c r="D292" t="s">
        <v>173</v>
      </c>
      <c r="E292">
        <v>13</v>
      </c>
      <c r="F292">
        <v>14.19</v>
      </c>
      <c r="G292">
        <v>2.89</v>
      </c>
      <c r="H292">
        <v>29.79</v>
      </c>
      <c r="I292">
        <v>0.82</v>
      </c>
      <c r="J292">
        <v>83.26</v>
      </c>
      <c r="K292">
        <f t="shared" si="38"/>
        <v>1082.3800000000001</v>
      </c>
      <c r="L292">
        <f t="shared" si="39"/>
        <v>1082.3800000000001</v>
      </c>
      <c r="M292">
        <f t="shared" si="36"/>
        <v>533.11829999999998</v>
      </c>
      <c r="N292">
        <f t="shared" si="40"/>
        <v>133.27957499999999</v>
      </c>
      <c r="O292">
        <f t="shared" si="41"/>
        <v>533.11829999999998</v>
      </c>
      <c r="P292">
        <f t="shared" si="42"/>
        <v>133.27957499999999</v>
      </c>
      <c r="Q292">
        <f t="shared" si="43"/>
        <v>135.99847832999998</v>
      </c>
      <c r="R292">
        <f t="shared" si="44"/>
        <v>317.56139999999999</v>
      </c>
      <c r="S292">
        <f t="shared" si="37"/>
        <v>1082.3800000000001</v>
      </c>
    </row>
    <row r="293" spans="1:19" x14ac:dyDescent="0.25">
      <c r="A293">
        <v>423</v>
      </c>
      <c r="B293">
        <v>1280</v>
      </c>
      <c r="C293" t="s">
        <v>32</v>
      </c>
      <c r="D293" t="s">
        <v>173</v>
      </c>
      <c r="E293">
        <v>11</v>
      </c>
      <c r="F293">
        <v>14.68</v>
      </c>
      <c r="G293">
        <v>2.72</v>
      </c>
      <c r="H293">
        <v>24.5</v>
      </c>
      <c r="I293">
        <v>0.81</v>
      </c>
      <c r="J293">
        <v>76.73</v>
      </c>
      <c r="K293">
        <f t="shared" si="38"/>
        <v>844.03000000000009</v>
      </c>
      <c r="L293">
        <f t="shared" si="39"/>
        <v>844.03000000000009</v>
      </c>
      <c r="M293">
        <f t="shared" si="36"/>
        <v>439.22560000000004</v>
      </c>
      <c r="N293">
        <f t="shared" si="40"/>
        <v>109.80640000000001</v>
      </c>
      <c r="O293">
        <f t="shared" si="41"/>
        <v>439.22560000000004</v>
      </c>
      <c r="P293">
        <f t="shared" si="42"/>
        <v>109.80640000000001</v>
      </c>
      <c r="Q293">
        <f t="shared" si="43"/>
        <v>112.04645056000001</v>
      </c>
      <c r="R293">
        <f t="shared" si="44"/>
        <v>218.29500000000002</v>
      </c>
      <c r="S293">
        <f t="shared" si="37"/>
        <v>844.03000000000009</v>
      </c>
    </row>
    <row r="294" spans="1:19" x14ac:dyDescent="0.25">
      <c r="A294">
        <v>424</v>
      </c>
      <c r="B294">
        <v>1280</v>
      </c>
      <c r="C294" t="s">
        <v>32</v>
      </c>
      <c r="D294" t="s">
        <v>172</v>
      </c>
      <c r="E294">
        <v>11</v>
      </c>
      <c r="F294">
        <v>19.899999999999999</v>
      </c>
      <c r="G294">
        <v>11.56</v>
      </c>
      <c r="H294">
        <v>29.89</v>
      </c>
      <c r="I294">
        <v>1.02</v>
      </c>
      <c r="J294">
        <v>378.47</v>
      </c>
      <c r="K294">
        <f t="shared" si="38"/>
        <v>4163.17</v>
      </c>
      <c r="L294">
        <f t="shared" si="39"/>
        <v>0</v>
      </c>
      <c r="M294">
        <f t="shared" si="36"/>
        <v>0</v>
      </c>
      <c r="N294">
        <f t="shared" si="40"/>
        <v>0</v>
      </c>
      <c r="O294">
        <f t="shared" si="41"/>
        <v>2530.4839999999999</v>
      </c>
      <c r="P294">
        <f t="shared" si="42"/>
        <v>632.62099999999998</v>
      </c>
      <c r="Q294">
        <f t="shared" si="43"/>
        <v>645.5264684</v>
      </c>
      <c r="R294">
        <f t="shared" si="44"/>
        <v>335.36580000000004</v>
      </c>
      <c r="S294">
        <f t="shared" si="37"/>
        <v>4163.17</v>
      </c>
    </row>
    <row r="295" spans="1:19" x14ac:dyDescent="0.25">
      <c r="A295">
        <v>425</v>
      </c>
      <c r="B295">
        <v>1280</v>
      </c>
      <c r="C295" t="s">
        <v>32</v>
      </c>
      <c r="D295" t="s">
        <v>172</v>
      </c>
      <c r="E295">
        <v>16</v>
      </c>
      <c r="F295">
        <v>20.92</v>
      </c>
      <c r="G295">
        <v>11.98</v>
      </c>
      <c r="H295">
        <v>29.81</v>
      </c>
      <c r="I295">
        <v>0.98</v>
      </c>
      <c r="J295">
        <v>407.56</v>
      </c>
      <c r="K295">
        <f t="shared" si="38"/>
        <v>6520.96</v>
      </c>
      <c r="L295">
        <f t="shared" si="39"/>
        <v>0</v>
      </c>
      <c r="M295">
        <f t="shared" si="36"/>
        <v>0</v>
      </c>
      <c r="N295">
        <f t="shared" si="40"/>
        <v>0</v>
      </c>
      <c r="O295">
        <f t="shared" si="41"/>
        <v>4009.9456000000005</v>
      </c>
      <c r="P295">
        <f t="shared" si="42"/>
        <v>1002.4864000000001</v>
      </c>
      <c r="Q295">
        <f t="shared" si="43"/>
        <v>1022.9371225600001</v>
      </c>
      <c r="R295">
        <f t="shared" si="44"/>
        <v>467.42079999999999</v>
      </c>
      <c r="S295">
        <f t="shared" si="37"/>
        <v>6520.96</v>
      </c>
    </row>
    <row r="296" spans="1:19" x14ac:dyDescent="0.25">
      <c r="A296">
        <v>426</v>
      </c>
      <c r="B296">
        <v>1280</v>
      </c>
      <c r="C296" t="s">
        <v>32</v>
      </c>
      <c r="D296" t="s">
        <v>172</v>
      </c>
      <c r="E296">
        <v>16</v>
      </c>
      <c r="F296">
        <v>18.690000000000001</v>
      </c>
      <c r="G296">
        <v>11.59</v>
      </c>
      <c r="H296">
        <v>28.53</v>
      </c>
      <c r="I296">
        <v>0.99</v>
      </c>
      <c r="J296">
        <v>355.83</v>
      </c>
      <c r="K296">
        <f t="shared" si="38"/>
        <v>5693.28</v>
      </c>
      <c r="L296">
        <f t="shared" si="39"/>
        <v>0</v>
      </c>
      <c r="M296">
        <f t="shared" si="36"/>
        <v>0</v>
      </c>
      <c r="N296">
        <f t="shared" si="40"/>
        <v>0</v>
      </c>
      <c r="O296">
        <f t="shared" si="41"/>
        <v>3465.8736000000004</v>
      </c>
      <c r="P296">
        <f t="shared" si="42"/>
        <v>866.46840000000009</v>
      </c>
      <c r="Q296">
        <f t="shared" si="43"/>
        <v>884.14435536000008</v>
      </c>
      <c r="R296">
        <f t="shared" si="44"/>
        <v>451.91520000000003</v>
      </c>
      <c r="S296">
        <f t="shared" si="37"/>
        <v>5693.28</v>
      </c>
    </row>
    <row r="297" spans="1:19" x14ac:dyDescent="0.25">
      <c r="A297">
        <v>427</v>
      </c>
      <c r="B297">
        <v>1280</v>
      </c>
      <c r="C297" t="s">
        <v>32</v>
      </c>
      <c r="D297" t="s">
        <v>172</v>
      </c>
      <c r="E297">
        <v>10</v>
      </c>
      <c r="F297">
        <v>20.65</v>
      </c>
      <c r="G297">
        <v>11.48</v>
      </c>
      <c r="H297">
        <v>34.29</v>
      </c>
      <c r="I297">
        <v>0.91</v>
      </c>
      <c r="J297">
        <v>389.76</v>
      </c>
      <c r="K297">
        <f t="shared" si="38"/>
        <v>3897.6</v>
      </c>
      <c r="L297">
        <f t="shared" si="39"/>
        <v>0</v>
      </c>
      <c r="M297">
        <f t="shared" si="36"/>
        <v>0</v>
      </c>
      <c r="N297">
        <f t="shared" si="40"/>
        <v>0</v>
      </c>
      <c r="O297">
        <f t="shared" si="41"/>
        <v>2370.62</v>
      </c>
      <c r="P297">
        <f t="shared" si="42"/>
        <v>592.65499999999997</v>
      </c>
      <c r="Q297">
        <f t="shared" si="43"/>
        <v>604.74516199999994</v>
      </c>
      <c r="R297">
        <f t="shared" si="44"/>
        <v>312.03899999999999</v>
      </c>
      <c r="S297">
        <f t="shared" si="37"/>
        <v>3897.6</v>
      </c>
    </row>
    <row r="298" spans="1:19" x14ac:dyDescent="0.25">
      <c r="A298">
        <v>428</v>
      </c>
      <c r="B298">
        <v>1280</v>
      </c>
      <c r="C298" t="s">
        <v>32</v>
      </c>
      <c r="D298" t="s">
        <v>172</v>
      </c>
      <c r="E298">
        <v>11</v>
      </c>
      <c r="F298">
        <v>20.11</v>
      </c>
      <c r="G298">
        <v>10.45</v>
      </c>
      <c r="H298">
        <v>26.83</v>
      </c>
      <c r="I298">
        <v>0.94</v>
      </c>
      <c r="J298">
        <v>342.61</v>
      </c>
      <c r="K298">
        <f t="shared" si="38"/>
        <v>3768.71</v>
      </c>
      <c r="L298">
        <f t="shared" si="39"/>
        <v>0</v>
      </c>
      <c r="M298">
        <f t="shared" si="36"/>
        <v>0</v>
      </c>
      <c r="N298">
        <f t="shared" si="40"/>
        <v>0</v>
      </c>
      <c r="O298">
        <f t="shared" si="41"/>
        <v>2311.6444999999999</v>
      </c>
      <c r="P298">
        <f t="shared" si="42"/>
        <v>577.91112499999997</v>
      </c>
      <c r="Q298">
        <f t="shared" si="43"/>
        <v>589.70051194999996</v>
      </c>
      <c r="R298">
        <f t="shared" si="44"/>
        <v>277.42219999999998</v>
      </c>
      <c r="S298">
        <f t="shared" si="37"/>
        <v>3768.71</v>
      </c>
    </row>
    <row r="299" spans="1:19" x14ac:dyDescent="0.25">
      <c r="A299">
        <v>429</v>
      </c>
      <c r="B299">
        <v>1280</v>
      </c>
      <c r="C299" t="s">
        <v>32</v>
      </c>
      <c r="D299" t="s">
        <v>172</v>
      </c>
      <c r="E299">
        <v>21</v>
      </c>
      <c r="F299">
        <v>19.88</v>
      </c>
      <c r="G299">
        <v>10.38</v>
      </c>
      <c r="H299">
        <v>34.53</v>
      </c>
      <c r="I299">
        <v>1.18</v>
      </c>
      <c r="J299">
        <v>355.44</v>
      </c>
      <c r="K299">
        <f t="shared" si="38"/>
        <v>7464.24</v>
      </c>
      <c r="L299">
        <f t="shared" si="39"/>
        <v>0</v>
      </c>
      <c r="M299">
        <f t="shared" si="36"/>
        <v>0</v>
      </c>
      <c r="N299">
        <f t="shared" si="40"/>
        <v>0</v>
      </c>
      <c r="O299">
        <f t="shared" si="41"/>
        <v>4333.4423999999999</v>
      </c>
      <c r="P299">
        <f t="shared" si="42"/>
        <v>1083.3606</v>
      </c>
      <c r="Q299">
        <f t="shared" si="43"/>
        <v>1105.46115624</v>
      </c>
      <c r="R299">
        <f t="shared" si="44"/>
        <v>855.65339999999992</v>
      </c>
      <c r="S299">
        <f t="shared" si="37"/>
        <v>7464.24</v>
      </c>
    </row>
    <row r="300" spans="1:19" x14ac:dyDescent="0.25">
      <c r="A300">
        <v>430</v>
      </c>
      <c r="B300">
        <v>1280</v>
      </c>
      <c r="C300" t="s">
        <v>32</v>
      </c>
      <c r="D300" t="s">
        <v>172</v>
      </c>
      <c r="E300">
        <v>18</v>
      </c>
      <c r="F300">
        <v>20.41</v>
      </c>
      <c r="G300">
        <v>10.199999999999999</v>
      </c>
      <c r="H300">
        <v>33.49</v>
      </c>
      <c r="I300">
        <v>1.08</v>
      </c>
      <c r="J300">
        <v>352.71</v>
      </c>
      <c r="K300">
        <f t="shared" si="38"/>
        <v>6348.78</v>
      </c>
      <c r="L300">
        <f t="shared" si="39"/>
        <v>0</v>
      </c>
      <c r="M300">
        <f t="shared" si="36"/>
        <v>0</v>
      </c>
      <c r="N300">
        <f t="shared" si="40"/>
        <v>0</v>
      </c>
      <c r="O300">
        <f t="shared" si="41"/>
        <v>3747.2759999999998</v>
      </c>
      <c r="P300">
        <f t="shared" si="42"/>
        <v>936.81899999999996</v>
      </c>
      <c r="Q300">
        <f t="shared" si="43"/>
        <v>955.93010759999993</v>
      </c>
      <c r="R300">
        <f t="shared" si="44"/>
        <v>651.04560000000004</v>
      </c>
      <c r="S300">
        <f t="shared" si="37"/>
        <v>6348.78</v>
      </c>
    </row>
    <row r="301" spans="1:19" x14ac:dyDescent="0.25">
      <c r="A301">
        <v>431</v>
      </c>
      <c r="B301">
        <v>1280</v>
      </c>
      <c r="C301" t="s">
        <v>32</v>
      </c>
      <c r="D301" t="s">
        <v>172</v>
      </c>
      <c r="E301">
        <v>13</v>
      </c>
      <c r="F301">
        <v>19.440000000000001</v>
      </c>
      <c r="G301">
        <v>11.02</v>
      </c>
      <c r="H301">
        <v>28.07</v>
      </c>
      <c r="I301">
        <v>1.03</v>
      </c>
      <c r="J301">
        <v>353.07</v>
      </c>
      <c r="K301">
        <f t="shared" si="38"/>
        <v>4589.91</v>
      </c>
      <c r="L301">
        <f t="shared" si="39"/>
        <v>0</v>
      </c>
      <c r="M301">
        <f t="shared" si="36"/>
        <v>0</v>
      </c>
      <c r="N301">
        <f t="shared" si="40"/>
        <v>0</v>
      </c>
      <c r="O301">
        <f t="shared" si="41"/>
        <v>2784.9744000000001</v>
      </c>
      <c r="P301">
        <f t="shared" si="42"/>
        <v>696.24360000000001</v>
      </c>
      <c r="Q301">
        <f t="shared" si="43"/>
        <v>710.44696943999998</v>
      </c>
      <c r="R301">
        <f t="shared" si="44"/>
        <v>375.85730000000001</v>
      </c>
      <c r="S301">
        <f t="shared" si="37"/>
        <v>4589.91</v>
      </c>
    </row>
    <row r="302" spans="1:19" x14ac:dyDescent="0.25">
      <c r="A302">
        <v>432</v>
      </c>
      <c r="B302">
        <v>1280</v>
      </c>
      <c r="C302" t="s">
        <v>32</v>
      </c>
      <c r="D302" t="s">
        <v>172</v>
      </c>
      <c r="E302">
        <v>18</v>
      </c>
      <c r="F302">
        <v>20.149999999999999</v>
      </c>
      <c r="G302">
        <v>11.11</v>
      </c>
      <c r="H302">
        <v>35.96</v>
      </c>
      <c r="I302">
        <v>1.01</v>
      </c>
      <c r="J302">
        <v>376.22</v>
      </c>
      <c r="K302">
        <f t="shared" si="38"/>
        <v>6771.9600000000009</v>
      </c>
      <c r="L302">
        <f t="shared" si="39"/>
        <v>0</v>
      </c>
      <c r="M302">
        <f t="shared" si="36"/>
        <v>0</v>
      </c>
      <c r="N302">
        <f t="shared" si="40"/>
        <v>0</v>
      </c>
      <c r="O302">
        <f t="shared" si="41"/>
        <v>4029.5969999999993</v>
      </c>
      <c r="P302">
        <f t="shared" si="42"/>
        <v>1007.3992499999998</v>
      </c>
      <c r="Q302">
        <f t="shared" si="43"/>
        <v>1027.9501946999999</v>
      </c>
      <c r="R302">
        <f t="shared" si="44"/>
        <v>653.75279999999998</v>
      </c>
      <c r="S302">
        <f t="shared" si="37"/>
        <v>6771.9600000000009</v>
      </c>
    </row>
    <row r="303" spans="1:19" x14ac:dyDescent="0.25">
      <c r="A303">
        <v>433</v>
      </c>
      <c r="B303">
        <v>1280</v>
      </c>
      <c r="C303" t="s">
        <v>32</v>
      </c>
      <c r="D303" t="s">
        <v>173</v>
      </c>
      <c r="E303">
        <v>8</v>
      </c>
      <c r="F303">
        <v>14.54</v>
      </c>
      <c r="G303">
        <v>2.6</v>
      </c>
      <c r="H303">
        <v>29.94</v>
      </c>
      <c r="I303">
        <v>0.81</v>
      </c>
      <c r="J303">
        <v>78.66</v>
      </c>
      <c r="K303">
        <f t="shared" si="38"/>
        <v>629.28</v>
      </c>
      <c r="L303">
        <f t="shared" si="39"/>
        <v>629.28</v>
      </c>
      <c r="M303">
        <f t="shared" si="36"/>
        <v>302.43200000000002</v>
      </c>
      <c r="N303">
        <f t="shared" si="40"/>
        <v>75.608000000000004</v>
      </c>
      <c r="O303">
        <f t="shared" si="41"/>
        <v>302.43200000000002</v>
      </c>
      <c r="P303">
        <f t="shared" si="42"/>
        <v>75.608000000000004</v>
      </c>
      <c r="Q303">
        <f t="shared" si="43"/>
        <v>77.1504032</v>
      </c>
      <c r="R303">
        <f t="shared" si="44"/>
        <v>194.01120000000003</v>
      </c>
      <c r="S303">
        <f t="shared" si="37"/>
        <v>629.28</v>
      </c>
    </row>
    <row r="304" spans="1:19" x14ac:dyDescent="0.25">
      <c r="A304">
        <v>434</v>
      </c>
      <c r="B304">
        <v>1280</v>
      </c>
      <c r="C304" t="s">
        <v>32</v>
      </c>
      <c r="D304" t="s">
        <v>173</v>
      </c>
      <c r="E304">
        <v>13</v>
      </c>
      <c r="F304">
        <v>14.5</v>
      </c>
      <c r="G304">
        <v>2.61</v>
      </c>
      <c r="H304">
        <v>32.61</v>
      </c>
      <c r="I304">
        <v>0.83</v>
      </c>
      <c r="J304">
        <v>81.81</v>
      </c>
      <c r="K304">
        <f t="shared" si="38"/>
        <v>1063.53</v>
      </c>
      <c r="L304">
        <f t="shared" si="39"/>
        <v>1063.53</v>
      </c>
      <c r="M304">
        <f t="shared" si="36"/>
        <v>491.98500000000001</v>
      </c>
      <c r="N304">
        <f t="shared" si="40"/>
        <v>122.99625</v>
      </c>
      <c r="O304">
        <f t="shared" si="41"/>
        <v>491.98500000000001</v>
      </c>
      <c r="P304">
        <f t="shared" si="42"/>
        <v>122.99625</v>
      </c>
      <c r="Q304">
        <f t="shared" si="43"/>
        <v>125.5053735</v>
      </c>
      <c r="R304">
        <f t="shared" si="44"/>
        <v>351.86189999999999</v>
      </c>
      <c r="S304">
        <f t="shared" si="37"/>
        <v>1063.53</v>
      </c>
    </row>
    <row r="305" spans="1:19" x14ac:dyDescent="0.25">
      <c r="A305">
        <v>435</v>
      </c>
      <c r="B305">
        <v>1280</v>
      </c>
      <c r="C305" t="s">
        <v>32</v>
      </c>
      <c r="D305" t="s">
        <v>172</v>
      </c>
      <c r="E305">
        <v>10</v>
      </c>
      <c r="F305">
        <v>21.46</v>
      </c>
      <c r="G305">
        <v>11.41</v>
      </c>
      <c r="H305">
        <v>27.98</v>
      </c>
      <c r="I305">
        <v>0.96</v>
      </c>
      <c r="J305">
        <v>396.19</v>
      </c>
      <c r="K305">
        <f t="shared" si="38"/>
        <v>3961.9</v>
      </c>
      <c r="L305">
        <f t="shared" si="39"/>
        <v>0</v>
      </c>
      <c r="M305">
        <f t="shared" si="36"/>
        <v>0</v>
      </c>
      <c r="N305">
        <f t="shared" si="40"/>
        <v>0</v>
      </c>
      <c r="O305">
        <f t="shared" si="41"/>
        <v>2448.5859999999998</v>
      </c>
      <c r="P305">
        <f t="shared" si="42"/>
        <v>612.14649999999995</v>
      </c>
      <c r="Q305">
        <f t="shared" si="43"/>
        <v>624.63428859999988</v>
      </c>
      <c r="R305">
        <f t="shared" si="44"/>
        <v>268.608</v>
      </c>
      <c r="S305">
        <f t="shared" si="37"/>
        <v>3961.9</v>
      </c>
    </row>
    <row r="306" spans="1:19" x14ac:dyDescent="0.25">
      <c r="A306">
        <v>436</v>
      </c>
      <c r="B306">
        <v>1280</v>
      </c>
      <c r="C306" t="s">
        <v>32</v>
      </c>
      <c r="D306" t="s">
        <v>173</v>
      </c>
      <c r="E306">
        <v>20</v>
      </c>
      <c r="F306">
        <v>13.36</v>
      </c>
      <c r="G306">
        <v>2.79</v>
      </c>
      <c r="H306">
        <v>31.24</v>
      </c>
      <c r="I306">
        <v>0.8</v>
      </c>
      <c r="J306">
        <v>78.739999999999995</v>
      </c>
      <c r="K306">
        <f t="shared" si="38"/>
        <v>1574.8</v>
      </c>
      <c r="L306">
        <f t="shared" si="39"/>
        <v>1574.8</v>
      </c>
      <c r="M306">
        <f t="shared" si="36"/>
        <v>745.48799999999994</v>
      </c>
      <c r="N306">
        <f t="shared" si="40"/>
        <v>186.37199999999999</v>
      </c>
      <c r="O306">
        <f t="shared" si="41"/>
        <v>745.48799999999994</v>
      </c>
      <c r="P306">
        <f t="shared" si="42"/>
        <v>186.37199999999999</v>
      </c>
      <c r="Q306">
        <f t="shared" si="43"/>
        <v>190.17398879999999</v>
      </c>
      <c r="R306">
        <f t="shared" si="44"/>
        <v>499.84</v>
      </c>
      <c r="S306">
        <f t="shared" si="37"/>
        <v>1574.8</v>
      </c>
    </row>
    <row r="307" spans="1:19" x14ac:dyDescent="0.25">
      <c r="A307">
        <v>437</v>
      </c>
      <c r="B307">
        <v>1281</v>
      </c>
      <c r="C307" t="s">
        <v>34</v>
      </c>
      <c r="D307" t="s">
        <v>172</v>
      </c>
      <c r="E307">
        <v>18</v>
      </c>
      <c r="F307">
        <v>18.47</v>
      </c>
      <c r="G307">
        <v>11.35</v>
      </c>
      <c r="H307">
        <v>29.88</v>
      </c>
      <c r="I307">
        <v>1.03</v>
      </c>
      <c r="J307">
        <v>348.46</v>
      </c>
      <c r="K307">
        <f t="shared" si="38"/>
        <v>6272.28</v>
      </c>
      <c r="L307">
        <f t="shared" si="39"/>
        <v>0</v>
      </c>
      <c r="M307">
        <f t="shared" si="36"/>
        <v>0</v>
      </c>
      <c r="N307">
        <f t="shared" si="40"/>
        <v>0</v>
      </c>
      <c r="O307">
        <f t="shared" si="41"/>
        <v>3773.4209999999994</v>
      </c>
      <c r="P307">
        <f t="shared" si="42"/>
        <v>943.35524999999984</v>
      </c>
      <c r="Q307">
        <f t="shared" si="43"/>
        <v>962.59969709999984</v>
      </c>
      <c r="R307">
        <f t="shared" si="44"/>
        <v>553.97519999999997</v>
      </c>
      <c r="S307">
        <f t="shared" si="37"/>
        <v>6272.28</v>
      </c>
    </row>
    <row r="308" spans="1:19" x14ac:dyDescent="0.25">
      <c r="A308">
        <v>438</v>
      </c>
      <c r="B308">
        <v>1281</v>
      </c>
      <c r="C308" t="s">
        <v>34</v>
      </c>
      <c r="D308" t="s">
        <v>173</v>
      </c>
      <c r="E308">
        <v>8</v>
      </c>
      <c r="F308">
        <v>12.55</v>
      </c>
      <c r="G308">
        <v>2.9</v>
      </c>
      <c r="H308">
        <v>30.9</v>
      </c>
      <c r="I308">
        <v>0.81</v>
      </c>
      <c r="J308">
        <v>77.58</v>
      </c>
      <c r="K308">
        <f t="shared" si="38"/>
        <v>620.64</v>
      </c>
      <c r="L308">
        <f t="shared" si="39"/>
        <v>620.64</v>
      </c>
      <c r="M308">
        <f t="shared" si="36"/>
        <v>291.16000000000003</v>
      </c>
      <c r="N308">
        <f t="shared" si="40"/>
        <v>72.790000000000006</v>
      </c>
      <c r="O308">
        <f t="shared" si="41"/>
        <v>291.16000000000003</v>
      </c>
      <c r="P308">
        <f t="shared" si="42"/>
        <v>72.790000000000006</v>
      </c>
      <c r="Q308">
        <f t="shared" si="43"/>
        <v>74.274916000000005</v>
      </c>
      <c r="R308">
        <f t="shared" si="44"/>
        <v>200.232</v>
      </c>
      <c r="S308">
        <f t="shared" si="37"/>
        <v>620.64</v>
      </c>
    </row>
    <row r="309" spans="1:19" x14ac:dyDescent="0.25">
      <c r="A309">
        <v>439</v>
      </c>
      <c r="B309">
        <v>1281</v>
      </c>
      <c r="C309" t="s">
        <v>34</v>
      </c>
      <c r="D309" t="s">
        <v>173</v>
      </c>
      <c r="E309">
        <v>11</v>
      </c>
      <c r="F309">
        <v>14.96</v>
      </c>
      <c r="G309">
        <v>2.58</v>
      </c>
      <c r="H309">
        <v>28.63</v>
      </c>
      <c r="I309">
        <v>0.79</v>
      </c>
      <c r="J309">
        <v>77.95</v>
      </c>
      <c r="K309">
        <f t="shared" si="38"/>
        <v>857.45</v>
      </c>
      <c r="L309">
        <f t="shared" si="39"/>
        <v>857.45</v>
      </c>
      <c r="M309">
        <f t="shared" si="36"/>
        <v>424.56480000000005</v>
      </c>
      <c r="N309">
        <f t="shared" si="40"/>
        <v>106.14120000000001</v>
      </c>
      <c r="O309">
        <f t="shared" si="41"/>
        <v>424.56480000000005</v>
      </c>
      <c r="P309">
        <f t="shared" si="42"/>
        <v>106.14120000000001</v>
      </c>
      <c r="Q309">
        <f t="shared" si="43"/>
        <v>108.30648048</v>
      </c>
      <c r="R309">
        <f t="shared" si="44"/>
        <v>248.79470000000003</v>
      </c>
      <c r="S309">
        <f t="shared" si="37"/>
        <v>857.45</v>
      </c>
    </row>
    <row r="310" spans="1:19" x14ac:dyDescent="0.25">
      <c r="A310">
        <v>440</v>
      </c>
      <c r="B310">
        <v>1281</v>
      </c>
      <c r="C310" t="s">
        <v>34</v>
      </c>
      <c r="D310" t="s">
        <v>173</v>
      </c>
      <c r="E310">
        <v>14</v>
      </c>
      <c r="F310">
        <v>16.45</v>
      </c>
      <c r="G310">
        <v>2.66</v>
      </c>
      <c r="H310">
        <v>30.13</v>
      </c>
      <c r="I310">
        <v>0.79</v>
      </c>
      <c r="J310">
        <v>86.35</v>
      </c>
      <c r="K310">
        <f t="shared" si="38"/>
        <v>1208.8999999999999</v>
      </c>
      <c r="L310">
        <f t="shared" si="39"/>
        <v>1208.8999999999999</v>
      </c>
      <c r="M310">
        <f t="shared" si="36"/>
        <v>612.59799999999996</v>
      </c>
      <c r="N310">
        <f t="shared" si="40"/>
        <v>153.14949999999999</v>
      </c>
      <c r="O310">
        <f t="shared" si="41"/>
        <v>612.59799999999996</v>
      </c>
      <c r="P310">
        <f t="shared" si="42"/>
        <v>153.14949999999999</v>
      </c>
      <c r="Q310">
        <f t="shared" si="43"/>
        <v>156.27374979999999</v>
      </c>
      <c r="R310">
        <f t="shared" si="44"/>
        <v>333.23779999999999</v>
      </c>
      <c r="S310">
        <f t="shared" si="37"/>
        <v>1208.8999999999999</v>
      </c>
    </row>
    <row r="311" spans="1:19" x14ac:dyDescent="0.25">
      <c r="A311">
        <v>441</v>
      </c>
      <c r="B311">
        <v>1281</v>
      </c>
      <c r="C311" t="s">
        <v>34</v>
      </c>
      <c r="D311" t="s">
        <v>172</v>
      </c>
      <c r="E311">
        <v>15</v>
      </c>
      <c r="F311">
        <v>20.39</v>
      </c>
      <c r="G311">
        <v>11.45</v>
      </c>
      <c r="H311">
        <v>33.83</v>
      </c>
      <c r="I311">
        <v>1.04</v>
      </c>
      <c r="J311">
        <v>389.15</v>
      </c>
      <c r="K311">
        <f t="shared" si="38"/>
        <v>5837.25</v>
      </c>
      <c r="L311">
        <f t="shared" si="39"/>
        <v>0</v>
      </c>
      <c r="M311">
        <f t="shared" si="36"/>
        <v>0</v>
      </c>
      <c r="N311">
        <f t="shared" si="40"/>
        <v>0</v>
      </c>
      <c r="O311">
        <f t="shared" si="41"/>
        <v>3501.9825000000001</v>
      </c>
      <c r="P311">
        <f t="shared" si="42"/>
        <v>875.49562500000002</v>
      </c>
      <c r="Q311">
        <f t="shared" si="43"/>
        <v>893.35573575000001</v>
      </c>
      <c r="R311">
        <f t="shared" si="44"/>
        <v>527.74800000000005</v>
      </c>
      <c r="S311">
        <f t="shared" si="37"/>
        <v>5837.25</v>
      </c>
    </row>
    <row r="312" spans="1:19" x14ac:dyDescent="0.25">
      <c r="A312">
        <v>442</v>
      </c>
      <c r="B312">
        <v>1281</v>
      </c>
      <c r="C312" t="s">
        <v>34</v>
      </c>
      <c r="D312" t="s">
        <v>173</v>
      </c>
      <c r="E312">
        <v>10</v>
      </c>
      <c r="F312">
        <v>13.64</v>
      </c>
      <c r="G312">
        <v>3.11</v>
      </c>
      <c r="H312">
        <v>31.03</v>
      </c>
      <c r="I312">
        <v>0.8</v>
      </c>
      <c r="J312">
        <v>85.63</v>
      </c>
      <c r="K312">
        <f t="shared" si="38"/>
        <v>856.3</v>
      </c>
      <c r="L312">
        <f t="shared" si="39"/>
        <v>856.3</v>
      </c>
      <c r="M312">
        <f t="shared" si="36"/>
        <v>424.20400000000001</v>
      </c>
      <c r="N312">
        <f t="shared" si="40"/>
        <v>106.051</v>
      </c>
      <c r="O312">
        <f t="shared" si="41"/>
        <v>424.20400000000001</v>
      </c>
      <c r="P312">
        <f t="shared" si="42"/>
        <v>106.051</v>
      </c>
      <c r="Q312">
        <f t="shared" si="43"/>
        <v>108.2144404</v>
      </c>
      <c r="R312">
        <f t="shared" si="44"/>
        <v>248.24</v>
      </c>
      <c r="S312">
        <f t="shared" si="37"/>
        <v>856.3</v>
      </c>
    </row>
    <row r="313" spans="1:19" x14ac:dyDescent="0.25">
      <c r="A313">
        <v>443</v>
      </c>
      <c r="B313">
        <v>1281</v>
      </c>
      <c r="C313" t="s">
        <v>34</v>
      </c>
      <c r="D313" t="s">
        <v>173</v>
      </c>
      <c r="E313">
        <v>72</v>
      </c>
      <c r="F313">
        <v>15.23</v>
      </c>
      <c r="G313">
        <v>2.73</v>
      </c>
      <c r="H313">
        <v>30.84</v>
      </c>
      <c r="I313">
        <v>0.77</v>
      </c>
      <c r="J313">
        <v>83.29</v>
      </c>
      <c r="K313">
        <f t="shared" si="38"/>
        <v>5996.88</v>
      </c>
      <c r="L313">
        <f t="shared" si="39"/>
        <v>5996.88</v>
      </c>
      <c r="M313">
        <f t="shared" si="36"/>
        <v>2993.6088</v>
      </c>
      <c r="N313">
        <f t="shared" si="40"/>
        <v>748.40219999999999</v>
      </c>
      <c r="O313">
        <f t="shared" si="41"/>
        <v>2993.6088</v>
      </c>
      <c r="P313">
        <f t="shared" si="42"/>
        <v>748.40219999999999</v>
      </c>
      <c r="Q313">
        <f t="shared" si="43"/>
        <v>763.66960487999995</v>
      </c>
      <c r="R313">
        <f t="shared" si="44"/>
        <v>1709.7695999999999</v>
      </c>
      <c r="S313">
        <f t="shared" si="37"/>
        <v>5996.88</v>
      </c>
    </row>
    <row r="314" spans="1:19" x14ac:dyDescent="0.25">
      <c r="A314">
        <v>444</v>
      </c>
      <c r="B314">
        <v>1282</v>
      </c>
      <c r="C314" t="s">
        <v>35</v>
      </c>
      <c r="D314" t="s">
        <v>173</v>
      </c>
      <c r="E314">
        <v>9</v>
      </c>
      <c r="F314">
        <v>15.66</v>
      </c>
      <c r="G314">
        <v>2.72</v>
      </c>
      <c r="H314">
        <v>32.96</v>
      </c>
      <c r="I314">
        <v>0.8</v>
      </c>
      <c r="J314">
        <v>87.57</v>
      </c>
      <c r="K314">
        <f t="shared" si="38"/>
        <v>788.12999999999988</v>
      </c>
      <c r="L314">
        <f t="shared" si="39"/>
        <v>788.12999999999988</v>
      </c>
      <c r="M314">
        <f t="shared" si="36"/>
        <v>383.35680000000002</v>
      </c>
      <c r="N314">
        <f t="shared" si="40"/>
        <v>95.839200000000005</v>
      </c>
      <c r="O314">
        <f t="shared" si="41"/>
        <v>383.35680000000002</v>
      </c>
      <c r="P314">
        <f t="shared" si="42"/>
        <v>95.839200000000005</v>
      </c>
      <c r="Q314">
        <f t="shared" si="43"/>
        <v>97.794319680000001</v>
      </c>
      <c r="R314">
        <f t="shared" si="44"/>
        <v>237.31200000000001</v>
      </c>
      <c r="S314">
        <f t="shared" si="37"/>
        <v>788.12999999999988</v>
      </c>
    </row>
    <row r="315" spans="1:19" x14ac:dyDescent="0.25">
      <c r="A315">
        <v>445</v>
      </c>
      <c r="B315">
        <v>1282</v>
      </c>
      <c r="C315" t="s">
        <v>35</v>
      </c>
      <c r="D315" t="s">
        <v>173</v>
      </c>
      <c r="E315">
        <v>108</v>
      </c>
      <c r="F315">
        <v>13.34</v>
      </c>
      <c r="G315">
        <v>2.91</v>
      </c>
      <c r="H315">
        <v>29.77</v>
      </c>
      <c r="I315">
        <v>0.78</v>
      </c>
      <c r="J315">
        <v>78.92</v>
      </c>
      <c r="K315">
        <f t="shared" si="38"/>
        <v>8523.36</v>
      </c>
      <c r="L315">
        <f t="shared" si="39"/>
        <v>8523.36</v>
      </c>
      <c r="M315">
        <f t="shared" si="36"/>
        <v>4192.4952000000003</v>
      </c>
      <c r="N315">
        <f t="shared" si="40"/>
        <v>1048.1238000000001</v>
      </c>
      <c r="O315">
        <f t="shared" si="41"/>
        <v>4192.4952000000003</v>
      </c>
      <c r="P315">
        <f t="shared" si="42"/>
        <v>1048.1238000000001</v>
      </c>
      <c r="Q315">
        <f t="shared" si="43"/>
        <v>1069.50552552</v>
      </c>
      <c r="R315">
        <f t="shared" si="44"/>
        <v>2507.8248000000003</v>
      </c>
      <c r="S315">
        <f t="shared" si="37"/>
        <v>8523.36</v>
      </c>
    </row>
    <row r="316" spans="1:19" x14ac:dyDescent="0.25">
      <c r="A316">
        <v>446</v>
      </c>
      <c r="B316">
        <v>1282</v>
      </c>
      <c r="C316" t="s">
        <v>35</v>
      </c>
      <c r="D316" t="s">
        <v>173</v>
      </c>
      <c r="E316">
        <v>14</v>
      </c>
      <c r="F316">
        <v>15.99</v>
      </c>
      <c r="G316">
        <v>2.86</v>
      </c>
      <c r="H316">
        <v>30.45</v>
      </c>
      <c r="I316">
        <v>0.77</v>
      </c>
      <c r="J316">
        <v>79</v>
      </c>
      <c r="K316">
        <f t="shared" si="38"/>
        <v>1106</v>
      </c>
      <c r="L316">
        <f t="shared" si="39"/>
        <v>1106</v>
      </c>
      <c r="M316">
        <f t="shared" si="36"/>
        <v>640.2396</v>
      </c>
      <c r="N316">
        <f t="shared" si="40"/>
        <v>160.0599</v>
      </c>
      <c r="O316">
        <f t="shared" si="41"/>
        <v>640.2396</v>
      </c>
      <c r="P316">
        <f t="shared" si="42"/>
        <v>160.0599</v>
      </c>
      <c r="Q316">
        <f t="shared" si="43"/>
        <v>163.32512195999999</v>
      </c>
      <c r="R316">
        <f t="shared" si="44"/>
        <v>328.25100000000003</v>
      </c>
      <c r="S316">
        <f t="shared" si="37"/>
        <v>1106</v>
      </c>
    </row>
    <row r="317" spans="1:19" x14ac:dyDescent="0.25">
      <c r="A317">
        <v>447</v>
      </c>
      <c r="B317">
        <v>1282</v>
      </c>
      <c r="C317" t="s">
        <v>35</v>
      </c>
      <c r="D317" t="s">
        <v>172</v>
      </c>
      <c r="E317">
        <v>11</v>
      </c>
      <c r="F317">
        <v>20.81</v>
      </c>
      <c r="G317">
        <v>10.99</v>
      </c>
      <c r="H317">
        <v>32.11</v>
      </c>
      <c r="I317">
        <v>1.01</v>
      </c>
      <c r="J317">
        <v>306.20999999999998</v>
      </c>
      <c r="K317">
        <f t="shared" si="38"/>
        <v>3368.31</v>
      </c>
      <c r="L317">
        <f t="shared" si="39"/>
        <v>0</v>
      </c>
      <c r="M317">
        <f t="shared" si="36"/>
        <v>0</v>
      </c>
      <c r="N317">
        <f t="shared" si="40"/>
        <v>0</v>
      </c>
      <c r="O317">
        <f t="shared" si="41"/>
        <v>2515.7208999999998</v>
      </c>
      <c r="P317">
        <f t="shared" si="42"/>
        <v>628.93022499999995</v>
      </c>
      <c r="Q317">
        <f t="shared" si="43"/>
        <v>641.7604015899999</v>
      </c>
      <c r="R317">
        <f t="shared" si="44"/>
        <v>356.74209999999999</v>
      </c>
      <c r="S317">
        <f t="shared" si="37"/>
        <v>3368.31</v>
      </c>
    </row>
    <row r="318" spans="1:19" x14ac:dyDescent="0.25">
      <c r="A318">
        <v>448</v>
      </c>
      <c r="B318">
        <v>1282</v>
      </c>
      <c r="C318" t="s">
        <v>35</v>
      </c>
      <c r="D318" t="s">
        <v>173</v>
      </c>
      <c r="E318">
        <v>15</v>
      </c>
      <c r="F318">
        <v>15.28</v>
      </c>
      <c r="G318">
        <v>3.33</v>
      </c>
      <c r="H318">
        <v>29.95</v>
      </c>
      <c r="I318">
        <v>0.78</v>
      </c>
      <c r="J318">
        <v>95.66</v>
      </c>
      <c r="K318">
        <f t="shared" si="38"/>
        <v>1434.8999999999999</v>
      </c>
      <c r="L318">
        <f t="shared" si="39"/>
        <v>1434.8999999999999</v>
      </c>
      <c r="M318">
        <f t="shared" si="36"/>
        <v>763.23599999999999</v>
      </c>
      <c r="N318">
        <f t="shared" si="40"/>
        <v>190.809</v>
      </c>
      <c r="O318">
        <f t="shared" si="41"/>
        <v>763.23599999999999</v>
      </c>
      <c r="P318">
        <f t="shared" si="42"/>
        <v>190.809</v>
      </c>
      <c r="Q318">
        <f t="shared" si="43"/>
        <v>194.7015036</v>
      </c>
      <c r="R318">
        <f t="shared" si="44"/>
        <v>350.41500000000002</v>
      </c>
      <c r="S318">
        <f t="shared" si="37"/>
        <v>1434.8999999999999</v>
      </c>
    </row>
    <row r="319" spans="1:19" x14ac:dyDescent="0.25">
      <c r="A319">
        <v>449</v>
      </c>
      <c r="B319">
        <v>1282</v>
      </c>
      <c r="C319" t="s">
        <v>35</v>
      </c>
      <c r="D319" t="s">
        <v>172</v>
      </c>
      <c r="E319">
        <v>11</v>
      </c>
      <c r="F319">
        <v>18.690000000000001</v>
      </c>
      <c r="G319">
        <v>11.78</v>
      </c>
      <c r="H319">
        <v>33.06</v>
      </c>
      <c r="I319">
        <v>1.04</v>
      </c>
      <c r="J319">
        <v>368.42</v>
      </c>
      <c r="K319">
        <f t="shared" si="38"/>
        <v>4052.6200000000003</v>
      </c>
      <c r="L319">
        <f t="shared" si="39"/>
        <v>0</v>
      </c>
      <c r="M319">
        <f t="shared" si="36"/>
        <v>0</v>
      </c>
      <c r="N319">
        <f t="shared" si="40"/>
        <v>0</v>
      </c>
      <c r="O319">
        <f t="shared" si="41"/>
        <v>2421.8501999999999</v>
      </c>
      <c r="P319">
        <f t="shared" si="42"/>
        <v>605.46254999999996</v>
      </c>
      <c r="Q319">
        <f t="shared" si="43"/>
        <v>617.8139860199999</v>
      </c>
      <c r="R319">
        <f t="shared" si="44"/>
        <v>378.20640000000009</v>
      </c>
      <c r="S319">
        <f t="shared" si="37"/>
        <v>4052.6200000000003</v>
      </c>
    </row>
    <row r="320" spans="1:19" x14ac:dyDescent="0.25">
      <c r="A320">
        <v>450</v>
      </c>
      <c r="B320">
        <v>1282</v>
      </c>
      <c r="C320" t="s">
        <v>35</v>
      </c>
      <c r="D320" t="s">
        <v>172</v>
      </c>
      <c r="E320">
        <v>22</v>
      </c>
      <c r="F320">
        <v>19.53</v>
      </c>
      <c r="G320">
        <v>9.57</v>
      </c>
      <c r="H320">
        <v>32.94</v>
      </c>
      <c r="I320">
        <v>0.97</v>
      </c>
      <c r="J320">
        <v>316.04000000000002</v>
      </c>
      <c r="K320">
        <f t="shared" si="38"/>
        <v>6952.88</v>
      </c>
      <c r="L320">
        <f t="shared" si="39"/>
        <v>0</v>
      </c>
      <c r="M320">
        <f t="shared" si="36"/>
        <v>0</v>
      </c>
      <c r="N320">
        <f t="shared" si="40"/>
        <v>0</v>
      </c>
      <c r="O320">
        <f t="shared" si="41"/>
        <v>4111.8462000000009</v>
      </c>
      <c r="P320">
        <f t="shared" si="42"/>
        <v>1027.9615500000002</v>
      </c>
      <c r="Q320">
        <f t="shared" si="43"/>
        <v>1048.9319656200003</v>
      </c>
      <c r="R320">
        <f t="shared" si="44"/>
        <v>702.93959999999993</v>
      </c>
      <c r="S320">
        <f t="shared" si="37"/>
        <v>6952.88</v>
      </c>
    </row>
    <row r="321" spans="1:19" x14ac:dyDescent="0.25">
      <c r="A321">
        <v>451</v>
      </c>
      <c r="B321">
        <v>1282</v>
      </c>
      <c r="C321" t="s">
        <v>35</v>
      </c>
      <c r="D321" t="s">
        <v>172</v>
      </c>
      <c r="E321">
        <v>13</v>
      </c>
      <c r="F321">
        <v>20.38</v>
      </c>
      <c r="G321">
        <v>11.6</v>
      </c>
      <c r="H321">
        <v>26.72</v>
      </c>
      <c r="I321">
        <v>1.03</v>
      </c>
      <c r="J321">
        <v>310.76</v>
      </c>
      <c r="K321">
        <f t="shared" si="38"/>
        <v>4039.88</v>
      </c>
      <c r="L321">
        <f t="shared" si="39"/>
        <v>0</v>
      </c>
      <c r="M321">
        <f t="shared" si="36"/>
        <v>0</v>
      </c>
      <c r="N321">
        <f t="shared" si="40"/>
        <v>0</v>
      </c>
      <c r="O321">
        <f t="shared" si="41"/>
        <v>3073.3039999999996</v>
      </c>
      <c r="P321">
        <f t="shared" si="42"/>
        <v>768.32599999999991</v>
      </c>
      <c r="Q321">
        <f t="shared" si="43"/>
        <v>783.9998503999999</v>
      </c>
      <c r="R321">
        <f t="shared" si="44"/>
        <v>357.7808</v>
      </c>
      <c r="S321">
        <f t="shared" si="37"/>
        <v>4039.88</v>
      </c>
    </row>
    <row r="322" spans="1:19" x14ac:dyDescent="0.25">
      <c r="A322">
        <v>452</v>
      </c>
      <c r="B322">
        <v>1282</v>
      </c>
      <c r="C322" t="s">
        <v>35</v>
      </c>
      <c r="D322" t="s">
        <v>172</v>
      </c>
      <c r="E322">
        <v>17</v>
      </c>
      <c r="F322">
        <v>20.56</v>
      </c>
      <c r="G322">
        <v>12.03</v>
      </c>
      <c r="H322">
        <v>37.590000000000003</v>
      </c>
      <c r="I322">
        <v>0.98</v>
      </c>
      <c r="J322">
        <v>411.75</v>
      </c>
      <c r="K322">
        <f t="shared" si="38"/>
        <v>6999.75</v>
      </c>
      <c r="L322">
        <f t="shared" si="39"/>
        <v>0</v>
      </c>
      <c r="M322">
        <f t="shared" ref="M322:M385" si="45">IF(D322="SHOES",O322,0)</f>
        <v>0</v>
      </c>
      <c r="N322">
        <f t="shared" si="40"/>
        <v>0</v>
      </c>
      <c r="O322">
        <f t="shared" si="41"/>
        <v>4204.7255999999998</v>
      </c>
      <c r="P322">
        <f t="shared" si="42"/>
        <v>1051.1813999999999</v>
      </c>
      <c r="Q322">
        <f t="shared" si="43"/>
        <v>1072.6255005599999</v>
      </c>
      <c r="R322">
        <f t="shared" si="44"/>
        <v>626.24940000000004</v>
      </c>
      <c r="S322">
        <f t="shared" ref="S322:S385" si="46">PRODUCT(J322,E322)</f>
        <v>6999.75</v>
      </c>
    </row>
    <row r="323" spans="1:19" x14ac:dyDescent="0.25">
      <c r="A323">
        <v>453</v>
      </c>
      <c r="B323">
        <v>1283</v>
      </c>
      <c r="C323" t="s">
        <v>32</v>
      </c>
      <c r="D323" t="s">
        <v>172</v>
      </c>
      <c r="E323">
        <v>17</v>
      </c>
      <c r="F323">
        <v>20.010000000000002</v>
      </c>
      <c r="G323">
        <v>11.55</v>
      </c>
      <c r="H323">
        <v>26.23</v>
      </c>
      <c r="I323">
        <v>1.04</v>
      </c>
      <c r="J323">
        <v>376.25</v>
      </c>
      <c r="K323">
        <f t="shared" ref="K323:K386" si="47">E323*J323</f>
        <v>6396.25</v>
      </c>
      <c r="L323">
        <f t="shared" ref="L323:L386" si="48">IF(D323="SHOES",E323*J323,0)</f>
        <v>0</v>
      </c>
      <c r="M323">
        <f t="shared" si="45"/>
        <v>0</v>
      </c>
      <c r="N323">
        <f t="shared" ref="N323:N386" si="49">IF(D323="SHOES",P323,0)</f>
        <v>0</v>
      </c>
      <c r="O323">
        <f t="shared" ref="O323:O386" si="50">PRODUCT(E323,G323,F323)</f>
        <v>3928.9635000000007</v>
      </c>
      <c r="P323">
        <f t="shared" ref="P323:P386" si="51">PRODUCT(O323,0.25)</f>
        <v>982.24087500000019</v>
      </c>
      <c r="Q323">
        <f t="shared" ref="Q323:Q386" si="52">PRODUCT(O323,0.2551)</f>
        <v>1002.2785888500001</v>
      </c>
      <c r="R323">
        <f t="shared" ref="R323:R386" si="53">PRODUCT(E323,I323,H323)</f>
        <v>463.74639999999999</v>
      </c>
      <c r="S323">
        <f t="shared" si="46"/>
        <v>6396.25</v>
      </c>
    </row>
    <row r="324" spans="1:19" x14ac:dyDescent="0.25">
      <c r="A324">
        <v>454</v>
      </c>
      <c r="B324">
        <v>1283</v>
      </c>
      <c r="C324" t="s">
        <v>32</v>
      </c>
      <c r="D324" t="s">
        <v>172</v>
      </c>
      <c r="E324">
        <v>35</v>
      </c>
      <c r="F324">
        <v>22.1</v>
      </c>
      <c r="G324">
        <v>10.58</v>
      </c>
      <c r="H324">
        <v>30.58</v>
      </c>
      <c r="I324">
        <v>0.93</v>
      </c>
      <c r="J324">
        <v>314.62</v>
      </c>
      <c r="K324">
        <f t="shared" si="47"/>
        <v>11011.7</v>
      </c>
      <c r="L324">
        <f t="shared" si="48"/>
        <v>0</v>
      </c>
      <c r="M324">
        <f t="shared" si="45"/>
        <v>0</v>
      </c>
      <c r="N324">
        <f t="shared" si="49"/>
        <v>0</v>
      </c>
      <c r="O324">
        <f t="shared" si="50"/>
        <v>8183.630000000001</v>
      </c>
      <c r="P324">
        <f t="shared" si="51"/>
        <v>2045.9075000000003</v>
      </c>
      <c r="Q324">
        <f t="shared" si="52"/>
        <v>2087.6440130000001</v>
      </c>
      <c r="R324">
        <f t="shared" si="53"/>
        <v>995.37900000000002</v>
      </c>
      <c r="S324">
        <f t="shared" si="46"/>
        <v>11011.7</v>
      </c>
    </row>
    <row r="325" spans="1:19" x14ac:dyDescent="0.25">
      <c r="A325">
        <v>455</v>
      </c>
      <c r="B325">
        <v>1283</v>
      </c>
      <c r="C325" t="s">
        <v>32</v>
      </c>
      <c r="D325" t="s">
        <v>172</v>
      </c>
      <c r="E325">
        <v>14</v>
      </c>
      <c r="F325">
        <v>19.420000000000002</v>
      </c>
      <c r="G325">
        <v>11.22</v>
      </c>
      <c r="H325">
        <v>35.4</v>
      </c>
      <c r="I325">
        <v>1</v>
      </c>
      <c r="J325">
        <v>366.24</v>
      </c>
      <c r="K325">
        <f t="shared" si="47"/>
        <v>5127.3600000000006</v>
      </c>
      <c r="L325">
        <f t="shared" si="48"/>
        <v>0</v>
      </c>
      <c r="M325">
        <f t="shared" si="45"/>
        <v>0</v>
      </c>
      <c r="N325">
        <f t="shared" si="49"/>
        <v>0</v>
      </c>
      <c r="O325">
        <f t="shared" si="50"/>
        <v>3050.4936000000007</v>
      </c>
      <c r="P325">
        <f t="shared" si="51"/>
        <v>762.62340000000017</v>
      </c>
      <c r="Q325">
        <f t="shared" si="52"/>
        <v>778.18091736000019</v>
      </c>
      <c r="R325">
        <f t="shared" si="53"/>
        <v>495.59999999999997</v>
      </c>
      <c r="S325">
        <f t="shared" si="46"/>
        <v>5127.3600000000006</v>
      </c>
    </row>
    <row r="326" spans="1:19" x14ac:dyDescent="0.25">
      <c r="A326">
        <v>456</v>
      </c>
      <c r="B326">
        <v>1283</v>
      </c>
      <c r="C326" t="s">
        <v>32</v>
      </c>
      <c r="D326" t="s">
        <v>173</v>
      </c>
      <c r="E326">
        <v>13</v>
      </c>
      <c r="F326">
        <v>14.61</v>
      </c>
      <c r="G326">
        <v>3.09</v>
      </c>
      <c r="H326">
        <v>32.770000000000003</v>
      </c>
      <c r="I326">
        <v>0.8</v>
      </c>
      <c r="J326">
        <v>90.91</v>
      </c>
      <c r="K326">
        <f t="shared" si="47"/>
        <v>1181.83</v>
      </c>
      <c r="L326">
        <f t="shared" si="48"/>
        <v>1181.83</v>
      </c>
      <c r="M326">
        <f t="shared" si="45"/>
        <v>586.88369999999998</v>
      </c>
      <c r="N326">
        <f t="shared" si="49"/>
        <v>146.72092499999999</v>
      </c>
      <c r="O326">
        <f t="shared" si="50"/>
        <v>586.88369999999998</v>
      </c>
      <c r="P326">
        <f t="shared" si="51"/>
        <v>146.72092499999999</v>
      </c>
      <c r="Q326">
        <f t="shared" si="52"/>
        <v>149.71403186999999</v>
      </c>
      <c r="R326">
        <f t="shared" si="53"/>
        <v>340.80800000000005</v>
      </c>
      <c r="S326">
        <f t="shared" si="46"/>
        <v>1181.83</v>
      </c>
    </row>
    <row r="327" spans="1:19" x14ac:dyDescent="0.25">
      <c r="A327">
        <v>457</v>
      </c>
      <c r="B327">
        <v>1283</v>
      </c>
      <c r="C327" t="s">
        <v>32</v>
      </c>
      <c r="D327" t="s">
        <v>172</v>
      </c>
      <c r="E327">
        <v>18</v>
      </c>
      <c r="F327">
        <v>19.809999999999999</v>
      </c>
      <c r="G327">
        <v>11.5</v>
      </c>
      <c r="H327">
        <v>36.619999999999997</v>
      </c>
      <c r="I327">
        <v>1.05</v>
      </c>
      <c r="J327">
        <v>317.08</v>
      </c>
      <c r="K327">
        <f t="shared" si="47"/>
        <v>5707.44</v>
      </c>
      <c r="L327">
        <f t="shared" si="48"/>
        <v>0</v>
      </c>
      <c r="M327">
        <f t="shared" si="45"/>
        <v>0</v>
      </c>
      <c r="N327">
        <f t="shared" si="49"/>
        <v>0</v>
      </c>
      <c r="O327">
        <f t="shared" si="50"/>
        <v>4100.67</v>
      </c>
      <c r="P327">
        <f t="shared" si="51"/>
        <v>1025.1675</v>
      </c>
      <c r="Q327">
        <f t="shared" si="52"/>
        <v>1046.080917</v>
      </c>
      <c r="R327">
        <f t="shared" si="53"/>
        <v>692.11800000000005</v>
      </c>
      <c r="S327">
        <f t="shared" si="46"/>
        <v>5707.44</v>
      </c>
    </row>
    <row r="328" spans="1:19" x14ac:dyDescent="0.25">
      <c r="A328">
        <v>458</v>
      </c>
      <c r="B328">
        <v>1283</v>
      </c>
      <c r="C328" t="s">
        <v>32</v>
      </c>
      <c r="D328" t="s">
        <v>173</v>
      </c>
      <c r="E328">
        <v>12</v>
      </c>
      <c r="F328">
        <v>15.55</v>
      </c>
      <c r="G328">
        <v>3.02</v>
      </c>
      <c r="H328">
        <v>34.72</v>
      </c>
      <c r="I328">
        <v>0.79</v>
      </c>
      <c r="J328">
        <v>94.74</v>
      </c>
      <c r="K328">
        <f t="shared" si="47"/>
        <v>1136.8799999999999</v>
      </c>
      <c r="L328">
        <f t="shared" si="48"/>
        <v>1136.8799999999999</v>
      </c>
      <c r="M328">
        <f t="shared" si="45"/>
        <v>563.53200000000004</v>
      </c>
      <c r="N328">
        <f t="shared" si="49"/>
        <v>140.88300000000001</v>
      </c>
      <c r="O328">
        <f t="shared" si="50"/>
        <v>563.53200000000004</v>
      </c>
      <c r="P328">
        <f t="shared" si="51"/>
        <v>140.88300000000001</v>
      </c>
      <c r="Q328">
        <f t="shared" si="52"/>
        <v>143.75701320000002</v>
      </c>
      <c r="R328">
        <f t="shared" si="53"/>
        <v>329.1456</v>
      </c>
      <c r="S328">
        <f t="shared" si="46"/>
        <v>1136.8799999999999</v>
      </c>
    </row>
    <row r="329" spans="1:19" x14ac:dyDescent="0.25">
      <c r="A329">
        <v>459</v>
      </c>
      <c r="B329">
        <v>1283</v>
      </c>
      <c r="C329" t="s">
        <v>32</v>
      </c>
      <c r="D329" t="s">
        <v>173</v>
      </c>
      <c r="E329">
        <v>17</v>
      </c>
      <c r="F329">
        <v>13.86</v>
      </c>
      <c r="G329">
        <v>2.87</v>
      </c>
      <c r="H329">
        <v>29.75</v>
      </c>
      <c r="I329">
        <v>0.76</v>
      </c>
      <c r="J329">
        <v>71.61</v>
      </c>
      <c r="K329">
        <f t="shared" si="47"/>
        <v>1217.3699999999999</v>
      </c>
      <c r="L329">
        <f t="shared" si="48"/>
        <v>1217.3699999999999</v>
      </c>
      <c r="M329">
        <f t="shared" si="45"/>
        <v>676.22939999999994</v>
      </c>
      <c r="N329">
        <f t="shared" si="49"/>
        <v>169.05734999999999</v>
      </c>
      <c r="O329">
        <f t="shared" si="50"/>
        <v>676.22939999999994</v>
      </c>
      <c r="P329">
        <f t="shared" si="51"/>
        <v>169.05734999999999</v>
      </c>
      <c r="Q329">
        <f t="shared" si="52"/>
        <v>172.50611993999999</v>
      </c>
      <c r="R329">
        <f t="shared" si="53"/>
        <v>384.37</v>
      </c>
      <c r="S329">
        <f t="shared" si="46"/>
        <v>1217.3699999999999</v>
      </c>
    </row>
    <row r="330" spans="1:19" x14ac:dyDescent="0.25">
      <c r="A330">
        <v>460</v>
      </c>
      <c r="B330">
        <v>1283</v>
      </c>
      <c r="C330" t="s">
        <v>32</v>
      </c>
      <c r="D330" t="s">
        <v>173</v>
      </c>
      <c r="E330">
        <v>14</v>
      </c>
      <c r="F330">
        <v>14.54</v>
      </c>
      <c r="G330">
        <v>2.67</v>
      </c>
      <c r="H330">
        <v>28.6</v>
      </c>
      <c r="I330">
        <v>0.81</v>
      </c>
      <c r="J330">
        <v>78.86</v>
      </c>
      <c r="K330">
        <f t="shared" si="47"/>
        <v>1104.04</v>
      </c>
      <c r="L330">
        <f t="shared" si="48"/>
        <v>1104.04</v>
      </c>
      <c r="M330">
        <f t="shared" si="45"/>
        <v>543.50519999999995</v>
      </c>
      <c r="N330">
        <f t="shared" si="49"/>
        <v>135.87629999999999</v>
      </c>
      <c r="O330">
        <f t="shared" si="50"/>
        <v>543.50519999999995</v>
      </c>
      <c r="P330">
        <f t="shared" si="51"/>
        <v>135.87629999999999</v>
      </c>
      <c r="Q330">
        <f t="shared" si="52"/>
        <v>138.64817651999999</v>
      </c>
      <c r="R330">
        <f t="shared" si="53"/>
        <v>324.32400000000001</v>
      </c>
      <c r="S330">
        <f t="shared" si="46"/>
        <v>1104.04</v>
      </c>
    </row>
    <row r="331" spans="1:19" x14ac:dyDescent="0.25">
      <c r="A331">
        <v>461</v>
      </c>
      <c r="B331">
        <v>1284</v>
      </c>
      <c r="C331" t="s">
        <v>32</v>
      </c>
      <c r="D331" t="s">
        <v>173</v>
      </c>
      <c r="E331">
        <v>9</v>
      </c>
      <c r="F331">
        <v>15.07</v>
      </c>
      <c r="G331">
        <v>2.54</v>
      </c>
      <c r="H331">
        <v>33.08</v>
      </c>
      <c r="I331">
        <v>0.81</v>
      </c>
      <c r="J331">
        <v>82.11</v>
      </c>
      <c r="K331">
        <f t="shared" si="47"/>
        <v>738.99</v>
      </c>
      <c r="L331">
        <f t="shared" si="48"/>
        <v>738.99</v>
      </c>
      <c r="M331">
        <f t="shared" si="45"/>
        <v>344.50020000000001</v>
      </c>
      <c r="N331">
        <f t="shared" si="49"/>
        <v>86.125050000000002</v>
      </c>
      <c r="O331">
        <f t="shared" si="50"/>
        <v>344.50020000000001</v>
      </c>
      <c r="P331">
        <f t="shared" si="51"/>
        <v>86.125050000000002</v>
      </c>
      <c r="Q331">
        <f t="shared" si="52"/>
        <v>87.882001020000004</v>
      </c>
      <c r="R331">
        <f t="shared" si="53"/>
        <v>241.15320000000003</v>
      </c>
      <c r="S331">
        <f t="shared" si="46"/>
        <v>738.99</v>
      </c>
    </row>
    <row r="332" spans="1:19" x14ac:dyDescent="0.25">
      <c r="A332">
        <v>462</v>
      </c>
      <c r="B332">
        <v>1284</v>
      </c>
      <c r="C332" t="s">
        <v>32</v>
      </c>
      <c r="D332" t="s">
        <v>172</v>
      </c>
      <c r="E332">
        <v>19</v>
      </c>
      <c r="F332">
        <v>17.84</v>
      </c>
      <c r="G332">
        <v>9.85</v>
      </c>
      <c r="H332">
        <v>29.51</v>
      </c>
      <c r="I332">
        <v>1.01</v>
      </c>
      <c r="J332">
        <v>296.86</v>
      </c>
      <c r="K332">
        <f t="shared" si="47"/>
        <v>5640.34</v>
      </c>
      <c r="L332">
        <f t="shared" si="48"/>
        <v>0</v>
      </c>
      <c r="M332">
        <f t="shared" si="45"/>
        <v>0</v>
      </c>
      <c r="N332">
        <f t="shared" si="49"/>
        <v>0</v>
      </c>
      <c r="O332">
        <f t="shared" si="50"/>
        <v>3338.7559999999999</v>
      </c>
      <c r="P332">
        <f t="shared" si="51"/>
        <v>834.68899999999996</v>
      </c>
      <c r="Q332">
        <f t="shared" si="52"/>
        <v>851.71665559999997</v>
      </c>
      <c r="R332">
        <f t="shared" si="53"/>
        <v>566.29690000000005</v>
      </c>
      <c r="S332">
        <f t="shared" si="46"/>
        <v>5640.34</v>
      </c>
    </row>
    <row r="333" spans="1:19" x14ac:dyDescent="0.25">
      <c r="A333">
        <v>463</v>
      </c>
      <c r="B333">
        <v>1284</v>
      </c>
      <c r="C333" t="s">
        <v>32</v>
      </c>
      <c r="D333" t="s">
        <v>173</v>
      </c>
      <c r="E333">
        <v>15</v>
      </c>
      <c r="F333">
        <v>14.88</v>
      </c>
      <c r="G333">
        <v>3.08</v>
      </c>
      <c r="H333">
        <v>28.89</v>
      </c>
      <c r="I333">
        <v>0.83</v>
      </c>
      <c r="J333">
        <v>89.39</v>
      </c>
      <c r="K333">
        <f t="shared" si="47"/>
        <v>1340.85</v>
      </c>
      <c r="L333">
        <f t="shared" si="48"/>
        <v>1340.85</v>
      </c>
      <c r="M333">
        <f t="shared" si="45"/>
        <v>687.45600000000013</v>
      </c>
      <c r="N333">
        <f t="shared" si="49"/>
        <v>171.86400000000003</v>
      </c>
      <c r="O333">
        <f t="shared" si="50"/>
        <v>687.45600000000013</v>
      </c>
      <c r="P333">
        <f t="shared" si="51"/>
        <v>171.86400000000003</v>
      </c>
      <c r="Q333">
        <f t="shared" si="52"/>
        <v>175.37002560000002</v>
      </c>
      <c r="R333">
        <f t="shared" si="53"/>
        <v>359.68049999999999</v>
      </c>
      <c r="S333">
        <f t="shared" si="46"/>
        <v>1340.85</v>
      </c>
    </row>
    <row r="334" spans="1:19" x14ac:dyDescent="0.25">
      <c r="A334">
        <v>464</v>
      </c>
      <c r="B334">
        <v>1284</v>
      </c>
      <c r="C334" t="s">
        <v>32</v>
      </c>
      <c r="D334" t="s">
        <v>173</v>
      </c>
      <c r="E334">
        <v>27</v>
      </c>
      <c r="F334">
        <v>15.61</v>
      </c>
      <c r="G334">
        <v>2.81</v>
      </c>
      <c r="H334">
        <v>34.409999999999997</v>
      </c>
      <c r="I334">
        <v>0.76</v>
      </c>
      <c r="J334">
        <v>89.08</v>
      </c>
      <c r="K334">
        <f t="shared" si="47"/>
        <v>2405.16</v>
      </c>
      <c r="L334">
        <f t="shared" si="48"/>
        <v>2405.16</v>
      </c>
      <c r="M334">
        <f t="shared" si="45"/>
        <v>1184.3307</v>
      </c>
      <c r="N334">
        <f t="shared" si="49"/>
        <v>296.08267499999999</v>
      </c>
      <c r="O334">
        <f t="shared" si="50"/>
        <v>1184.3307</v>
      </c>
      <c r="P334">
        <f t="shared" si="51"/>
        <v>296.08267499999999</v>
      </c>
      <c r="Q334">
        <f t="shared" si="52"/>
        <v>302.12276156999997</v>
      </c>
      <c r="R334">
        <f t="shared" si="53"/>
        <v>706.09319999999991</v>
      </c>
      <c r="S334">
        <f t="shared" si="46"/>
        <v>2405.16</v>
      </c>
    </row>
    <row r="335" spans="1:19" x14ac:dyDescent="0.25">
      <c r="A335">
        <v>465</v>
      </c>
      <c r="B335">
        <v>1284</v>
      </c>
      <c r="C335" t="s">
        <v>32</v>
      </c>
      <c r="D335" t="s">
        <v>173</v>
      </c>
      <c r="E335">
        <v>8</v>
      </c>
      <c r="F335">
        <v>14.69</v>
      </c>
      <c r="G335">
        <v>3.08</v>
      </c>
      <c r="H335">
        <v>31.95</v>
      </c>
      <c r="I335">
        <v>0.84</v>
      </c>
      <c r="J335">
        <v>91.73</v>
      </c>
      <c r="K335">
        <f t="shared" si="47"/>
        <v>733.84</v>
      </c>
      <c r="L335">
        <f t="shared" si="48"/>
        <v>733.84</v>
      </c>
      <c r="M335">
        <f t="shared" si="45"/>
        <v>361.96159999999998</v>
      </c>
      <c r="N335">
        <f t="shared" si="49"/>
        <v>90.490399999999994</v>
      </c>
      <c r="O335">
        <f t="shared" si="50"/>
        <v>361.96159999999998</v>
      </c>
      <c r="P335">
        <f t="shared" si="51"/>
        <v>90.490399999999994</v>
      </c>
      <c r="Q335">
        <f t="shared" si="52"/>
        <v>92.336404159999987</v>
      </c>
      <c r="R335">
        <f t="shared" si="53"/>
        <v>214.70399999999998</v>
      </c>
      <c r="S335">
        <f t="shared" si="46"/>
        <v>733.84</v>
      </c>
    </row>
    <row r="336" spans="1:19" x14ac:dyDescent="0.25">
      <c r="A336">
        <v>466</v>
      </c>
      <c r="B336">
        <v>1284</v>
      </c>
      <c r="C336" t="s">
        <v>32</v>
      </c>
      <c r="D336" t="s">
        <v>172</v>
      </c>
      <c r="E336">
        <v>22</v>
      </c>
      <c r="F336">
        <v>19.89</v>
      </c>
      <c r="G336">
        <v>11.54</v>
      </c>
      <c r="H336">
        <v>32.6</v>
      </c>
      <c r="I336">
        <v>0.95</v>
      </c>
      <c r="J336">
        <v>378.28</v>
      </c>
      <c r="K336">
        <f t="shared" si="47"/>
        <v>8322.16</v>
      </c>
      <c r="L336">
        <f t="shared" si="48"/>
        <v>0</v>
      </c>
      <c r="M336">
        <f t="shared" si="45"/>
        <v>0</v>
      </c>
      <c r="N336">
        <f t="shared" si="49"/>
        <v>0</v>
      </c>
      <c r="O336">
        <f t="shared" si="50"/>
        <v>5049.6732000000002</v>
      </c>
      <c r="P336">
        <f t="shared" si="51"/>
        <v>1262.4183</v>
      </c>
      <c r="Q336">
        <f t="shared" si="52"/>
        <v>1288.17163332</v>
      </c>
      <c r="R336">
        <f t="shared" si="53"/>
        <v>681.34</v>
      </c>
      <c r="S336">
        <f t="shared" si="46"/>
        <v>8322.16</v>
      </c>
    </row>
    <row r="337" spans="1:19" x14ac:dyDescent="0.25">
      <c r="A337">
        <v>467</v>
      </c>
      <c r="B337">
        <v>1284</v>
      </c>
      <c r="C337" t="s">
        <v>32</v>
      </c>
      <c r="D337" t="s">
        <v>173</v>
      </c>
      <c r="E337">
        <v>11</v>
      </c>
      <c r="F337">
        <v>14.53</v>
      </c>
      <c r="G337">
        <v>2.87</v>
      </c>
      <c r="H337">
        <v>31.59</v>
      </c>
      <c r="I337">
        <v>0.8</v>
      </c>
      <c r="J337">
        <v>85.14</v>
      </c>
      <c r="K337">
        <f t="shared" si="47"/>
        <v>936.54</v>
      </c>
      <c r="L337">
        <f t="shared" si="48"/>
        <v>936.54</v>
      </c>
      <c r="M337">
        <f t="shared" si="45"/>
        <v>458.71209999999996</v>
      </c>
      <c r="N337">
        <f t="shared" si="49"/>
        <v>114.67802499999999</v>
      </c>
      <c r="O337">
        <f t="shared" si="50"/>
        <v>458.71209999999996</v>
      </c>
      <c r="P337">
        <f t="shared" si="51"/>
        <v>114.67802499999999</v>
      </c>
      <c r="Q337">
        <f t="shared" si="52"/>
        <v>117.01745670999999</v>
      </c>
      <c r="R337">
        <f t="shared" si="53"/>
        <v>277.99200000000002</v>
      </c>
      <c r="S337">
        <f t="shared" si="46"/>
        <v>936.54</v>
      </c>
    </row>
    <row r="338" spans="1:19" x14ac:dyDescent="0.25">
      <c r="A338">
        <v>468</v>
      </c>
      <c r="B338">
        <v>1284</v>
      </c>
      <c r="C338" t="s">
        <v>32</v>
      </c>
      <c r="D338" t="s">
        <v>172</v>
      </c>
      <c r="E338">
        <v>19</v>
      </c>
      <c r="F338">
        <v>20.04</v>
      </c>
      <c r="G338">
        <v>10.97</v>
      </c>
      <c r="H338">
        <v>28.99</v>
      </c>
      <c r="I338">
        <v>1.1000000000000001</v>
      </c>
      <c r="J338">
        <v>364.96</v>
      </c>
      <c r="K338">
        <f t="shared" si="47"/>
        <v>6934.24</v>
      </c>
      <c r="L338">
        <f t="shared" si="48"/>
        <v>0</v>
      </c>
      <c r="M338">
        <f t="shared" si="45"/>
        <v>0</v>
      </c>
      <c r="N338">
        <f t="shared" si="49"/>
        <v>0</v>
      </c>
      <c r="O338">
        <f t="shared" si="50"/>
        <v>4176.9372000000003</v>
      </c>
      <c r="P338">
        <f t="shared" si="51"/>
        <v>1044.2343000000001</v>
      </c>
      <c r="Q338">
        <f t="shared" si="52"/>
        <v>1065.5366797199999</v>
      </c>
      <c r="R338">
        <f t="shared" si="53"/>
        <v>605.89100000000008</v>
      </c>
      <c r="S338">
        <f t="shared" si="46"/>
        <v>6934.24</v>
      </c>
    </row>
    <row r="339" spans="1:19" x14ac:dyDescent="0.25">
      <c r="A339">
        <v>469</v>
      </c>
      <c r="B339">
        <v>1284</v>
      </c>
      <c r="C339" t="s">
        <v>32</v>
      </c>
      <c r="D339" t="s">
        <v>172</v>
      </c>
      <c r="E339">
        <v>36</v>
      </c>
      <c r="F339">
        <v>20.100000000000001</v>
      </c>
      <c r="G339">
        <v>10.11</v>
      </c>
      <c r="H339">
        <v>31.75</v>
      </c>
      <c r="I339">
        <v>1.1200000000000001</v>
      </c>
      <c r="J339">
        <v>344.59</v>
      </c>
      <c r="K339">
        <f t="shared" si="47"/>
        <v>12405.24</v>
      </c>
      <c r="L339">
        <f t="shared" si="48"/>
        <v>0</v>
      </c>
      <c r="M339">
        <f t="shared" si="45"/>
        <v>0</v>
      </c>
      <c r="N339">
        <f t="shared" si="49"/>
        <v>0</v>
      </c>
      <c r="O339">
        <f t="shared" si="50"/>
        <v>7315.5960000000005</v>
      </c>
      <c r="P339">
        <f t="shared" si="51"/>
        <v>1828.8990000000001</v>
      </c>
      <c r="Q339">
        <f t="shared" si="52"/>
        <v>1866.2085396</v>
      </c>
      <c r="R339">
        <f t="shared" si="53"/>
        <v>1280.1600000000003</v>
      </c>
      <c r="S339">
        <f t="shared" si="46"/>
        <v>12405.24</v>
      </c>
    </row>
    <row r="340" spans="1:19" x14ac:dyDescent="0.25">
      <c r="A340">
        <v>470</v>
      </c>
      <c r="B340">
        <v>1284</v>
      </c>
      <c r="C340" t="s">
        <v>32</v>
      </c>
      <c r="D340" t="s">
        <v>173</v>
      </c>
      <c r="E340">
        <v>14</v>
      </c>
      <c r="F340">
        <v>16.399999999999999</v>
      </c>
      <c r="G340">
        <v>2.82</v>
      </c>
      <c r="H340">
        <v>29.89</v>
      </c>
      <c r="I340">
        <v>0.77</v>
      </c>
      <c r="J340">
        <v>88.91</v>
      </c>
      <c r="K340">
        <f t="shared" si="47"/>
        <v>1244.74</v>
      </c>
      <c r="L340">
        <f t="shared" si="48"/>
        <v>1244.74</v>
      </c>
      <c r="M340">
        <f t="shared" si="45"/>
        <v>647.47199999999987</v>
      </c>
      <c r="N340">
        <f t="shared" si="49"/>
        <v>161.86799999999997</v>
      </c>
      <c r="O340">
        <f t="shared" si="50"/>
        <v>647.47199999999987</v>
      </c>
      <c r="P340">
        <f t="shared" si="51"/>
        <v>161.86799999999997</v>
      </c>
      <c r="Q340">
        <f t="shared" si="52"/>
        <v>165.17010719999996</v>
      </c>
      <c r="R340">
        <f t="shared" si="53"/>
        <v>322.21420000000006</v>
      </c>
      <c r="S340">
        <f t="shared" si="46"/>
        <v>1244.74</v>
      </c>
    </row>
    <row r="341" spans="1:19" x14ac:dyDescent="0.25">
      <c r="A341">
        <v>471</v>
      </c>
      <c r="B341">
        <v>1284</v>
      </c>
      <c r="C341" t="s">
        <v>32</v>
      </c>
      <c r="D341" t="s">
        <v>172</v>
      </c>
      <c r="E341">
        <v>451</v>
      </c>
      <c r="F341">
        <v>19.68</v>
      </c>
      <c r="G341">
        <v>11.61</v>
      </c>
      <c r="H341">
        <v>35.51</v>
      </c>
      <c r="I341">
        <v>1.05</v>
      </c>
      <c r="J341">
        <v>384.24</v>
      </c>
      <c r="K341">
        <f t="shared" si="47"/>
        <v>173292.24</v>
      </c>
      <c r="L341">
        <f t="shared" si="48"/>
        <v>0</v>
      </c>
      <c r="M341">
        <f t="shared" si="45"/>
        <v>0</v>
      </c>
      <c r="N341">
        <f t="shared" si="49"/>
        <v>0</v>
      </c>
      <c r="O341">
        <f t="shared" si="50"/>
        <v>103046.64479999999</v>
      </c>
      <c r="P341">
        <f t="shared" si="51"/>
        <v>25761.661199999999</v>
      </c>
      <c r="Q341">
        <f t="shared" si="52"/>
        <v>26287.199088479996</v>
      </c>
      <c r="R341">
        <f t="shared" si="53"/>
        <v>16815.7605</v>
      </c>
      <c r="S341">
        <f t="shared" si="46"/>
        <v>173292.24</v>
      </c>
    </row>
    <row r="342" spans="1:19" x14ac:dyDescent="0.25">
      <c r="A342">
        <v>472</v>
      </c>
      <c r="B342">
        <v>1284</v>
      </c>
      <c r="C342" t="s">
        <v>32</v>
      </c>
      <c r="D342" t="s">
        <v>172</v>
      </c>
      <c r="E342">
        <v>21</v>
      </c>
      <c r="F342">
        <v>19.84</v>
      </c>
      <c r="G342">
        <v>11.89</v>
      </c>
      <c r="H342">
        <v>30.98</v>
      </c>
      <c r="I342">
        <v>0.99</v>
      </c>
      <c r="J342">
        <v>387.39</v>
      </c>
      <c r="K342">
        <f t="shared" si="47"/>
        <v>8135.19</v>
      </c>
      <c r="L342">
        <f t="shared" si="48"/>
        <v>0</v>
      </c>
      <c r="M342">
        <f t="shared" si="45"/>
        <v>0</v>
      </c>
      <c r="N342">
        <f t="shared" si="49"/>
        <v>0</v>
      </c>
      <c r="O342">
        <f t="shared" si="50"/>
        <v>4953.8495999999996</v>
      </c>
      <c r="P342">
        <f t="shared" si="51"/>
        <v>1238.4623999999999</v>
      </c>
      <c r="Q342">
        <f t="shared" si="52"/>
        <v>1263.7270329599999</v>
      </c>
      <c r="R342">
        <f t="shared" si="53"/>
        <v>644.07420000000002</v>
      </c>
      <c r="S342">
        <f t="shared" si="46"/>
        <v>8135.19</v>
      </c>
    </row>
    <row r="343" spans="1:19" x14ac:dyDescent="0.25">
      <c r="A343">
        <v>473</v>
      </c>
      <c r="B343">
        <v>1284</v>
      </c>
      <c r="C343" t="s">
        <v>32</v>
      </c>
      <c r="D343" t="s">
        <v>172</v>
      </c>
      <c r="E343">
        <v>17</v>
      </c>
      <c r="F343">
        <v>19.41</v>
      </c>
      <c r="G343">
        <v>10.28</v>
      </c>
      <c r="H343">
        <v>29.6</v>
      </c>
      <c r="I343">
        <v>1.1200000000000001</v>
      </c>
      <c r="J343">
        <v>336.26</v>
      </c>
      <c r="K343">
        <f t="shared" si="47"/>
        <v>5716.42</v>
      </c>
      <c r="L343">
        <f t="shared" si="48"/>
        <v>0</v>
      </c>
      <c r="M343">
        <f t="shared" si="45"/>
        <v>0</v>
      </c>
      <c r="N343">
        <f t="shared" si="49"/>
        <v>0</v>
      </c>
      <c r="O343">
        <f t="shared" si="50"/>
        <v>3392.0915999999997</v>
      </c>
      <c r="P343">
        <f t="shared" si="51"/>
        <v>848.02289999999994</v>
      </c>
      <c r="Q343">
        <f t="shared" si="52"/>
        <v>865.32256715999995</v>
      </c>
      <c r="R343">
        <f t="shared" si="53"/>
        <v>563.58400000000006</v>
      </c>
      <c r="S343">
        <f t="shared" si="46"/>
        <v>5716.42</v>
      </c>
    </row>
    <row r="344" spans="1:19" x14ac:dyDescent="0.25">
      <c r="A344">
        <v>474</v>
      </c>
      <c r="B344">
        <v>1284</v>
      </c>
      <c r="C344" t="s">
        <v>32</v>
      </c>
      <c r="D344" t="s">
        <v>173</v>
      </c>
      <c r="E344">
        <v>19</v>
      </c>
      <c r="F344">
        <v>14.17</v>
      </c>
      <c r="G344">
        <v>3.04</v>
      </c>
      <c r="H344">
        <v>26.36</v>
      </c>
      <c r="I344">
        <v>0.82</v>
      </c>
      <c r="J344">
        <v>74.709999999999994</v>
      </c>
      <c r="K344">
        <f t="shared" si="47"/>
        <v>1419.4899999999998</v>
      </c>
      <c r="L344">
        <f t="shared" si="48"/>
        <v>1419.4899999999998</v>
      </c>
      <c r="M344">
        <f t="shared" si="45"/>
        <v>818.45920000000001</v>
      </c>
      <c r="N344">
        <f t="shared" si="49"/>
        <v>204.6148</v>
      </c>
      <c r="O344">
        <f t="shared" si="50"/>
        <v>818.45920000000001</v>
      </c>
      <c r="P344">
        <f t="shared" si="51"/>
        <v>204.6148</v>
      </c>
      <c r="Q344">
        <f t="shared" si="52"/>
        <v>208.78894191999998</v>
      </c>
      <c r="R344">
        <f t="shared" si="53"/>
        <v>410.68879999999996</v>
      </c>
      <c r="S344">
        <f t="shared" si="46"/>
        <v>1419.4899999999998</v>
      </c>
    </row>
    <row r="345" spans="1:19" x14ac:dyDescent="0.25">
      <c r="A345">
        <v>475</v>
      </c>
      <c r="B345">
        <v>1284</v>
      </c>
      <c r="C345" t="s">
        <v>32</v>
      </c>
      <c r="D345" t="s">
        <v>173</v>
      </c>
      <c r="E345">
        <v>15</v>
      </c>
      <c r="F345">
        <v>14.1</v>
      </c>
      <c r="G345">
        <v>2.83</v>
      </c>
      <c r="H345">
        <v>31.66</v>
      </c>
      <c r="I345">
        <v>0.8</v>
      </c>
      <c r="J345">
        <v>82.73</v>
      </c>
      <c r="K345">
        <f t="shared" si="47"/>
        <v>1240.95</v>
      </c>
      <c r="L345">
        <f t="shared" si="48"/>
        <v>1240.95</v>
      </c>
      <c r="M345">
        <f t="shared" si="45"/>
        <v>598.54500000000007</v>
      </c>
      <c r="N345">
        <f t="shared" si="49"/>
        <v>149.63625000000002</v>
      </c>
      <c r="O345">
        <f t="shared" si="50"/>
        <v>598.54500000000007</v>
      </c>
      <c r="P345">
        <f t="shared" si="51"/>
        <v>149.63625000000002</v>
      </c>
      <c r="Q345">
        <f t="shared" si="52"/>
        <v>152.68882950000003</v>
      </c>
      <c r="R345">
        <f t="shared" si="53"/>
        <v>379.92</v>
      </c>
      <c r="S345">
        <f t="shared" si="46"/>
        <v>1240.95</v>
      </c>
    </row>
    <row r="346" spans="1:19" x14ac:dyDescent="0.25">
      <c r="A346">
        <v>476</v>
      </c>
      <c r="B346">
        <v>1284</v>
      </c>
      <c r="C346" t="s">
        <v>32</v>
      </c>
      <c r="D346" t="s">
        <v>173</v>
      </c>
      <c r="E346">
        <v>13</v>
      </c>
      <c r="F346">
        <v>13.14</v>
      </c>
      <c r="G346">
        <v>2.73</v>
      </c>
      <c r="H346">
        <v>36.83</v>
      </c>
      <c r="I346">
        <v>0.79</v>
      </c>
      <c r="J346">
        <v>81.33</v>
      </c>
      <c r="K346">
        <f t="shared" si="47"/>
        <v>1057.29</v>
      </c>
      <c r="L346">
        <f t="shared" si="48"/>
        <v>1057.29</v>
      </c>
      <c r="M346">
        <f t="shared" si="45"/>
        <v>466.33860000000004</v>
      </c>
      <c r="N346">
        <f t="shared" si="49"/>
        <v>116.58465000000001</v>
      </c>
      <c r="O346">
        <f t="shared" si="50"/>
        <v>466.33860000000004</v>
      </c>
      <c r="P346">
        <f t="shared" si="51"/>
        <v>116.58465000000001</v>
      </c>
      <c r="Q346">
        <f t="shared" si="52"/>
        <v>118.96297686000001</v>
      </c>
      <c r="R346">
        <f t="shared" si="53"/>
        <v>378.24409999999995</v>
      </c>
      <c r="S346">
        <f t="shared" si="46"/>
        <v>1057.29</v>
      </c>
    </row>
    <row r="347" spans="1:19" x14ac:dyDescent="0.25">
      <c r="A347">
        <v>477</v>
      </c>
      <c r="B347">
        <v>1284</v>
      </c>
      <c r="C347" t="s">
        <v>32</v>
      </c>
      <c r="D347" t="s">
        <v>173</v>
      </c>
      <c r="E347">
        <v>12</v>
      </c>
      <c r="F347">
        <v>15.83</v>
      </c>
      <c r="G347">
        <v>2.59</v>
      </c>
      <c r="H347">
        <v>26.32</v>
      </c>
      <c r="I347">
        <v>0.79</v>
      </c>
      <c r="J347">
        <v>79.25</v>
      </c>
      <c r="K347">
        <f t="shared" si="47"/>
        <v>951</v>
      </c>
      <c r="L347">
        <f t="shared" si="48"/>
        <v>951</v>
      </c>
      <c r="M347">
        <f t="shared" si="45"/>
        <v>491.99639999999999</v>
      </c>
      <c r="N347">
        <f t="shared" si="49"/>
        <v>122.9991</v>
      </c>
      <c r="O347">
        <f t="shared" si="50"/>
        <v>491.99639999999999</v>
      </c>
      <c r="P347">
        <f t="shared" si="51"/>
        <v>122.9991</v>
      </c>
      <c r="Q347">
        <f t="shared" si="52"/>
        <v>125.50828163999999</v>
      </c>
      <c r="R347">
        <f t="shared" si="53"/>
        <v>249.51360000000003</v>
      </c>
      <c r="S347">
        <f t="shared" si="46"/>
        <v>951</v>
      </c>
    </row>
    <row r="348" spans="1:19" x14ac:dyDescent="0.25">
      <c r="A348">
        <v>478</v>
      </c>
      <c r="B348">
        <v>1284</v>
      </c>
      <c r="C348" t="s">
        <v>32</v>
      </c>
      <c r="D348" t="s">
        <v>172</v>
      </c>
      <c r="E348">
        <v>16</v>
      </c>
      <c r="F348">
        <v>20.88</v>
      </c>
      <c r="G348">
        <v>11.14</v>
      </c>
      <c r="H348">
        <v>34.36</v>
      </c>
      <c r="I348">
        <v>1.03</v>
      </c>
      <c r="J348">
        <v>388.11</v>
      </c>
      <c r="K348">
        <f t="shared" si="47"/>
        <v>6209.76</v>
      </c>
      <c r="L348">
        <f t="shared" si="48"/>
        <v>0</v>
      </c>
      <c r="M348">
        <f t="shared" si="45"/>
        <v>0</v>
      </c>
      <c r="N348">
        <f t="shared" si="49"/>
        <v>0</v>
      </c>
      <c r="O348">
        <f t="shared" si="50"/>
        <v>3721.6511999999998</v>
      </c>
      <c r="P348">
        <f t="shared" si="51"/>
        <v>930.41279999999995</v>
      </c>
      <c r="Q348">
        <f t="shared" si="52"/>
        <v>949.39322111999991</v>
      </c>
      <c r="R348">
        <f t="shared" si="53"/>
        <v>566.25279999999998</v>
      </c>
      <c r="S348">
        <f t="shared" si="46"/>
        <v>6209.76</v>
      </c>
    </row>
    <row r="349" spans="1:19" x14ac:dyDescent="0.25">
      <c r="A349">
        <v>479</v>
      </c>
      <c r="B349">
        <v>1284</v>
      </c>
      <c r="C349" t="s">
        <v>32</v>
      </c>
      <c r="D349" t="s">
        <v>172</v>
      </c>
      <c r="E349">
        <v>44</v>
      </c>
      <c r="F349">
        <v>19.02</v>
      </c>
      <c r="G349">
        <v>10.58</v>
      </c>
      <c r="H349">
        <v>29.33</v>
      </c>
      <c r="I349">
        <v>1</v>
      </c>
      <c r="J349">
        <v>334.23</v>
      </c>
      <c r="K349">
        <f t="shared" si="47"/>
        <v>14706.12</v>
      </c>
      <c r="L349">
        <f t="shared" si="48"/>
        <v>0</v>
      </c>
      <c r="M349">
        <f t="shared" si="45"/>
        <v>0</v>
      </c>
      <c r="N349">
        <f t="shared" si="49"/>
        <v>0</v>
      </c>
      <c r="O349">
        <f t="shared" si="50"/>
        <v>8854.1903999999995</v>
      </c>
      <c r="P349">
        <f t="shared" si="51"/>
        <v>2213.5475999999999</v>
      </c>
      <c r="Q349">
        <f t="shared" si="52"/>
        <v>2258.7039710399999</v>
      </c>
      <c r="R349">
        <f t="shared" si="53"/>
        <v>1290.52</v>
      </c>
      <c r="S349">
        <f t="shared" si="46"/>
        <v>14706.12</v>
      </c>
    </row>
    <row r="350" spans="1:19" x14ac:dyDescent="0.25">
      <c r="A350">
        <v>480</v>
      </c>
      <c r="B350">
        <v>1284</v>
      </c>
      <c r="C350" t="s">
        <v>32</v>
      </c>
      <c r="D350" t="s">
        <v>172</v>
      </c>
      <c r="E350">
        <v>18</v>
      </c>
      <c r="F350">
        <v>19.66</v>
      </c>
      <c r="G350">
        <v>10.97</v>
      </c>
      <c r="H350">
        <v>35.909999999999997</v>
      </c>
      <c r="I350">
        <v>1.1000000000000001</v>
      </c>
      <c r="J350">
        <v>367.82</v>
      </c>
      <c r="K350">
        <f t="shared" si="47"/>
        <v>6620.76</v>
      </c>
      <c r="L350">
        <f t="shared" si="48"/>
        <v>0</v>
      </c>
      <c r="M350">
        <f t="shared" si="45"/>
        <v>0</v>
      </c>
      <c r="N350">
        <f t="shared" si="49"/>
        <v>0</v>
      </c>
      <c r="O350">
        <f t="shared" si="50"/>
        <v>3882.0636000000004</v>
      </c>
      <c r="P350">
        <f t="shared" si="51"/>
        <v>970.5159000000001</v>
      </c>
      <c r="Q350">
        <f t="shared" si="52"/>
        <v>990.31442436000009</v>
      </c>
      <c r="R350">
        <f t="shared" si="53"/>
        <v>711.01799999999992</v>
      </c>
      <c r="S350">
        <f t="shared" si="46"/>
        <v>6620.76</v>
      </c>
    </row>
    <row r="351" spans="1:19" x14ac:dyDescent="0.25">
      <c r="A351">
        <v>481</v>
      </c>
      <c r="B351">
        <v>1284</v>
      </c>
      <c r="C351" t="s">
        <v>32</v>
      </c>
      <c r="D351" t="s">
        <v>172</v>
      </c>
      <c r="E351">
        <v>16</v>
      </c>
      <c r="F351">
        <v>17.899999999999999</v>
      </c>
      <c r="G351">
        <v>11.11</v>
      </c>
      <c r="H351">
        <v>35.36</v>
      </c>
      <c r="I351">
        <v>1.08</v>
      </c>
      <c r="J351">
        <v>341.26</v>
      </c>
      <c r="K351">
        <f t="shared" si="47"/>
        <v>5460.16</v>
      </c>
      <c r="L351">
        <f t="shared" si="48"/>
        <v>0</v>
      </c>
      <c r="M351">
        <f t="shared" si="45"/>
        <v>0</v>
      </c>
      <c r="N351">
        <f t="shared" si="49"/>
        <v>0</v>
      </c>
      <c r="O351">
        <f t="shared" si="50"/>
        <v>3181.9039999999995</v>
      </c>
      <c r="P351">
        <f t="shared" si="51"/>
        <v>795.47599999999989</v>
      </c>
      <c r="Q351">
        <f t="shared" si="52"/>
        <v>811.70371039999986</v>
      </c>
      <c r="R351">
        <f t="shared" si="53"/>
        <v>611.02080000000001</v>
      </c>
      <c r="S351">
        <f t="shared" si="46"/>
        <v>5460.16</v>
      </c>
    </row>
    <row r="352" spans="1:19" x14ac:dyDescent="0.25">
      <c r="A352">
        <v>482</v>
      </c>
      <c r="B352">
        <v>1284</v>
      </c>
      <c r="C352" t="s">
        <v>32</v>
      </c>
      <c r="D352" t="s">
        <v>172</v>
      </c>
      <c r="E352">
        <v>23</v>
      </c>
      <c r="F352">
        <v>19.04</v>
      </c>
      <c r="G352">
        <v>11.39</v>
      </c>
      <c r="H352">
        <v>29.04</v>
      </c>
      <c r="I352">
        <v>0.94</v>
      </c>
      <c r="J352">
        <v>355.07</v>
      </c>
      <c r="K352">
        <f t="shared" si="47"/>
        <v>8166.61</v>
      </c>
      <c r="L352">
        <f t="shared" si="48"/>
        <v>0</v>
      </c>
      <c r="M352">
        <f t="shared" si="45"/>
        <v>0</v>
      </c>
      <c r="N352">
        <f t="shared" si="49"/>
        <v>0</v>
      </c>
      <c r="O352">
        <f t="shared" si="50"/>
        <v>4987.9088000000002</v>
      </c>
      <c r="P352">
        <f t="shared" si="51"/>
        <v>1246.9772</v>
      </c>
      <c r="Q352">
        <f t="shared" si="52"/>
        <v>1272.41553488</v>
      </c>
      <c r="R352">
        <f t="shared" si="53"/>
        <v>627.84479999999996</v>
      </c>
      <c r="S352">
        <f t="shared" si="46"/>
        <v>8166.61</v>
      </c>
    </row>
    <row r="353" spans="1:19" x14ac:dyDescent="0.25">
      <c r="A353">
        <v>483</v>
      </c>
      <c r="B353">
        <v>1284</v>
      </c>
      <c r="C353" t="s">
        <v>32</v>
      </c>
      <c r="D353" t="s">
        <v>173</v>
      </c>
      <c r="E353">
        <v>22</v>
      </c>
      <c r="F353">
        <v>14.59</v>
      </c>
      <c r="G353">
        <v>2.65</v>
      </c>
      <c r="H353">
        <v>34.21</v>
      </c>
      <c r="I353">
        <v>0.78</v>
      </c>
      <c r="J353">
        <v>82.51</v>
      </c>
      <c r="K353">
        <f t="shared" si="47"/>
        <v>1815.22</v>
      </c>
      <c r="L353">
        <f t="shared" si="48"/>
        <v>1815.22</v>
      </c>
      <c r="M353">
        <f t="shared" si="45"/>
        <v>850.59699999999998</v>
      </c>
      <c r="N353">
        <f t="shared" si="49"/>
        <v>212.64924999999999</v>
      </c>
      <c r="O353">
        <f t="shared" si="50"/>
        <v>850.59699999999998</v>
      </c>
      <c r="P353">
        <f t="shared" si="51"/>
        <v>212.64924999999999</v>
      </c>
      <c r="Q353">
        <f t="shared" si="52"/>
        <v>216.98729469999998</v>
      </c>
      <c r="R353">
        <f t="shared" si="53"/>
        <v>587.04359999999997</v>
      </c>
      <c r="S353">
        <f t="shared" si="46"/>
        <v>1815.22</v>
      </c>
    </row>
    <row r="354" spans="1:19" x14ac:dyDescent="0.25">
      <c r="A354">
        <v>484</v>
      </c>
      <c r="B354">
        <v>1284</v>
      </c>
      <c r="C354" t="s">
        <v>32</v>
      </c>
      <c r="D354" t="s">
        <v>173</v>
      </c>
      <c r="E354">
        <v>19</v>
      </c>
      <c r="F354">
        <v>14.45</v>
      </c>
      <c r="G354">
        <v>3.09</v>
      </c>
      <c r="H354">
        <v>24.77</v>
      </c>
      <c r="I354">
        <v>0.8</v>
      </c>
      <c r="J354">
        <v>74.87</v>
      </c>
      <c r="K354">
        <f t="shared" si="47"/>
        <v>1422.5300000000002</v>
      </c>
      <c r="L354">
        <f t="shared" si="48"/>
        <v>1422.5300000000002</v>
      </c>
      <c r="M354">
        <f t="shared" si="45"/>
        <v>848.35949999999991</v>
      </c>
      <c r="N354">
        <f t="shared" si="49"/>
        <v>212.08987499999998</v>
      </c>
      <c r="O354">
        <f t="shared" si="50"/>
        <v>848.35949999999991</v>
      </c>
      <c r="P354">
        <f t="shared" si="51"/>
        <v>212.08987499999998</v>
      </c>
      <c r="Q354">
        <f t="shared" si="52"/>
        <v>216.41650844999998</v>
      </c>
      <c r="R354">
        <f t="shared" si="53"/>
        <v>376.50400000000002</v>
      </c>
      <c r="S354">
        <f t="shared" si="46"/>
        <v>1422.5300000000002</v>
      </c>
    </row>
    <row r="355" spans="1:19" x14ac:dyDescent="0.25">
      <c r="A355">
        <v>485</v>
      </c>
      <c r="B355">
        <v>1284</v>
      </c>
      <c r="C355" t="s">
        <v>32</v>
      </c>
      <c r="D355" t="s">
        <v>172</v>
      </c>
      <c r="E355">
        <v>13</v>
      </c>
      <c r="F355">
        <v>19.86</v>
      </c>
      <c r="G355">
        <v>11.84</v>
      </c>
      <c r="H355">
        <v>33.1</v>
      </c>
      <c r="I355">
        <v>0.99</v>
      </c>
      <c r="J355">
        <v>388.77</v>
      </c>
      <c r="K355">
        <f t="shared" si="47"/>
        <v>5054.01</v>
      </c>
      <c r="L355">
        <f t="shared" si="48"/>
        <v>0</v>
      </c>
      <c r="M355">
        <f t="shared" si="45"/>
        <v>0</v>
      </c>
      <c r="N355">
        <f t="shared" si="49"/>
        <v>0</v>
      </c>
      <c r="O355">
        <f t="shared" si="50"/>
        <v>3056.8511999999996</v>
      </c>
      <c r="P355">
        <f t="shared" si="51"/>
        <v>764.2127999999999</v>
      </c>
      <c r="Q355">
        <f t="shared" si="52"/>
        <v>779.80274111999984</v>
      </c>
      <c r="R355">
        <f t="shared" si="53"/>
        <v>425.99700000000001</v>
      </c>
      <c r="S355">
        <f t="shared" si="46"/>
        <v>5054.01</v>
      </c>
    </row>
    <row r="356" spans="1:19" x14ac:dyDescent="0.25">
      <c r="A356">
        <v>486</v>
      </c>
      <c r="B356">
        <v>1284</v>
      </c>
      <c r="C356" t="s">
        <v>32</v>
      </c>
      <c r="D356" t="s">
        <v>173</v>
      </c>
      <c r="E356">
        <v>12</v>
      </c>
      <c r="F356">
        <v>14.81</v>
      </c>
      <c r="G356">
        <v>2.68</v>
      </c>
      <c r="H356">
        <v>28.9</v>
      </c>
      <c r="I356">
        <v>0.75</v>
      </c>
      <c r="J356">
        <v>78.42</v>
      </c>
      <c r="K356">
        <f t="shared" si="47"/>
        <v>941.04</v>
      </c>
      <c r="L356">
        <f t="shared" si="48"/>
        <v>941.04</v>
      </c>
      <c r="M356">
        <f t="shared" si="45"/>
        <v>476.28960000000006</v>
      </c>
      <c r="N356">
        <f t="shared" si="49"/>
        <v>119.07240000000002</v>
      </c>
      <c r="O356">
        <f t="shared" si="50"/>
        <v>476.28960000000006</v>
      </c>
      <c r="P356">
        <f t="shared" si="51"/>
        <v>119.07240000000002</v>
      </c>
      <c r="Q356">
        <f t="shared" si="52"/>
        <v>121.50147696000002</v>
      </c>
      <c r="R356">
        <f t="shared" si="53"/>
        <v>260.09999999999997</v>
      </c>
      <c r="S356">
        <f t="shared" si="46"/>
        <v>941.04</v>
      </c>
    </row>
    <row r="357" spans="1:19" x14ac:dyDescent="0.25">
      <c r="A357">
        <v>487</v>
      </c>
      <c r="B357">
        <v>1284</v>
      </c>
      <c r="C357" t="s">
        <v>32</v>
      </c>
      <c r="D357" t="s">
        <v>172</v>
      </c>
      <c r="E357">
        <v>12</v>
      </c>
      <c r="F357">
        <v>18.899999999999999</v>
      </c>
      <c r="G357">
        <v>10.44</v>
      </c>
      <c r="H357">
        <v>33.18</v>
      </c>
      <c r="I357">
        <v>1.05</v>
      </c>
      <c r="J357">
        <v>270.79000000000002</v>
      </c>
      <c r="K357">
        <f t="shared" si="47"/>
        <v>3249.4800000000005</v>
      </c>
      <c r="L357">
        <f t="shared" si="48"/>
        <v>0</v>
      </c>
      <c r="M357">
        <f t="shared" si="45"/>
        <v>0</v>
      </c>
      <c r="N357">
        <f t="shared" si="49"/>
        <v>0</v>
      </c>
      <c r="O357">
        <f t="shared" si="50"/>
        <v>2367.7919999999999</v>
      </c>
      <c r="P357">
        <f t="shared" si="51"/>
        <v>591.94799999999998</v>
      </c>
      <c r="Q357">
        <f t="shared" si="52"/>
        <v>604.02373919999991</v>
      </c>
      <c r="R357">
        <f t="shared" si="53"/>
        <v>418.06800000000004</v>
      </c>
      <c r="S357">
        <f t="shared" si="46"/>
        <v>3249.4800000000005</v>
      </c>
    </row>
    <row r="358" spans="1:19" x14ac:dyDescent="0.25">
      <c r="A358">
        <v>488</v>
      </c>
      <c r="B358">
        <v>1284</v>
      </c>
      <c r="C358" t="s">
        <v>32</v>
      </c>
      <c r="D358" t="s">
        <v>172</v>
      </c>
      <c r="E358">
        <v>21</v>
      </c>
      <c r="F358">
        <v>18.89</v>
      </c>
      <c r="G358">
        <v>12.17</v>
      </c>
      <c r="H358">
        <v>33.33</v>
      </c>
      <c r="I358">
        <v>1.05</v>
      </c>
      <c r="J358">
        <v>383.61</v>
      </c>
      <c r="K358">
        <f t="shared" si="47"/>
        <v>8055.81</v>
      </c>
      <c r="L358">
        <f t="shared" si="48"/>
        <v>0</v>
      </c>
      <c r="M358">
        <f t="shared" si="45"/>
        <v>0</v>
      </c>
      <c r="N358">
        <f t="shared" si="49"/>
        <v>0</v>
      </c>
      <c r="O358">
        <f t="shared" si="50"/>
        <v>4827.7173000000003</v>
      </c>
      <c r="P358">
        <f t="shared" si="51"/>
        <v>1206.9293250000001</v>
      </c>
      <c r="Q358">
        <f t="shared" si="52"/>
        <v>1231.55068323</v>
      </c>
      <c r="R358">
        <f t="shared" si="53"/>
        <v>734.92650000000003</v>
      </c>
      <c r="S358">
        <f t="shared" si="46"/>
        <v>8055.81</v>
      </c>
    </row>
    <row r="359" spans="1:19" x14ac:dyDescent="0.25">
      <c r="A359">
        <v>489</v>
      </c>
      <c r="B359">
        <v>1284</v>
      </c>
      <c r="C359" t="s">
        <v>32</v>
      </c>
      <c r="D359" t="s">
        <v>173</v>
      </c>
      <c r="E359">
        <v>19</v>
      </c>
      <c r="F359">
        <v>14.76</v>
      </c>
      <c r="G359">
        <v>3</v>
      </c>
      <c r="H359">
        <v>30.3</v>
      </c>
      <c r="I359">
        <v>0.8</v>
      </c>
      <c r="J359">
        <v>87.55</v>
      </c>
      <c r="K359">
        <f t="shared" si="47"/>
        <v>1663.45</v>
      </c>
      <c r="L359">
        <f t="shared" si="48"/>
        <v>1663.45</v>
      </c>
      <c r="M359">
        <f t="shared" si="45"/>
        <v>841.31999999999994</v>
      </c>
      <c r="N359">
        <f t="shared" si="49"/>
        <v>210.32999999999998</v>
      </c>
      <c r="O359">
        <f t="shared" si="50"/>
        <v>841.31999999999994</v>
      </c>
      <c r="P359">
        <f t="shared" si="51"/>
        <v>210.32999999999998</v>
      </c>
      <c r="Q359">
        <f t="shared" si="52"/>
        <v>214.62073199999998</v>
      </c>
      <c r="R359">
        <f t="shared" si="53"/>
        <v>460.56000000000006</v>
      </c>
      <c r="S359">
        <f t="shared" si="46"/>
        <v>1663.45</v>
      </c>
    </row>
    <row r="360" spans="1:19" x14ac:dyDescent="0.25">
      <c r="A360">
        <v>490</v>
      </c>
      <c r="B360">
        <v>1284</v>
      </c>
      <c r="C360" t="s">
        <v>32</v>
      </c>
      <c r="D360" t="s">
        <v>173</v>
      </c>
      <c r="E360">
        <v>14</v>
      </c>
      <c r="F360">
        <v>13.5</v>
      </c>
      <c r="G360">
        <v>2.93</v>
      </c>
      <c r="H360">
        <v>33.28</v>
      </c>
      <c r="I360">
        <v>0.81</v>
      </c>
      <c r="J360">
        <v>84.04</v>
      </c>
      <c r="K360">
        <f t="shared" si="47"/>
        <v>1176.5600000000002</v>
      </c>
      <c r="L360">
        <f t="shared" si="48"/>
        <v>1176.5600000000002</v>
      </c>
      <c r="M360">
        <f t="shared" si="45"/>
        <v>553.7700000000001</v>
      </c>
      <c r="N360">
        <f t="shared" si="49"/>
        <v>138.44250000000002</v>
      </c>
      <c r="O360">
        <f t="shared" si="50"/>
        <v>553.7700000000001</v>
      </c>
      <c r="P360">
        <f t="shared" si="51"/>
        <v>138.44250000000002</v>
      </c>
      <c r="Q360">
        <f t="shared" si="52"/>
        <v>141.26672700000003</v>
      </c>
      <c r="R360">
        <f t="shared" si="53"/>
        <v>377.39519999999999</v>
      </c>
      <c r="S360">
        <f t="shared" si="46"/>
        <v>1176.5600000000002</v>
      </c>
    </row>
    <row r="361" spans="1:19" x14ac:dyDescent="0.25">
      <c r="A361">
        <v>491</v>
      </c>
      <c r="B361">
        <v>1284</v>
      </c>
      <c r="C361" t="s">
        <v>32</v>
      </c>
      <c r="D361" t="s">
        <v>172</v>
      </c>
      <c r="E361">
        <v>24</v>
      </c>
      <c r="F361">
        <v>21.75</v>
      </c>
      <c r="G361">
        <v>10.3</v>
      </c>
      <c r="H361">
        <v>31.05</v>
      </c>
      <c r="I361">
        <v>0.91</v>
      </c>
      <c r="J361">
        <v>366.86</v>
      </c>
      <c r="K361">
        <f t="shared" si="47"/>
        <v>8804.64</v>
      </c>
      <c r="L361">
        <f t="shared" si="48"/>
        <v>0</v>
      </c>
      <c r="M361">
        <f t="shared" si="45"/>
        <v>0</v>
      </c>
      <c r="N361">
        <f t="shared" si="49"/>
        <v>0</v>
      </c>
      <c r="O361">
        <f t="shared" si="50"/>
        <v>5376.6</v>
      </c>
      <c r="P361">
        <f t="shared" si="51"/>
        <v>1344.15</v>
      </c>
      <c r="Q361">
        <f t="shared" si="52"/>
        <v>1371.5706600000001</v>
      </c>
      <c r="R361">
        <f t="shared" si="53"/>
        <v>678.13200000000006</v>
      </c>
      <c r="S361">
        <f t="shared" si="46"/>
        <v>8804.64</v>
      </c>
    </row>
    <row r="362" spans="1:19" x14ac:dyDescent="0.25">
      <c r="A362">
        <v>492</v>
      </c>
      <c r="B362">
        <v>1284</v>
      </c>
      <c r="C362" t="s">
        <v>32</v>
      </c>
      <c r="D362" t="s">
        <v>173</v>
      </c>
      <c r="E362">
        <v>7</v>
      </c>
      <c r="F362">
        <v>14.72</v>
      </c>
      <c r="G362">
        <v>2.58</v>
      </c>
      <c r="H362">
        <v>29.42</v>
      </c>
      <c r="I362">
        <v>0.79</v>
      </c>
      <c r="J362">
        <v>77.78</v>
      </c>
      <c r="K362">
        <f t="shared" si="47"/>
        <v>544.46</v>
      </c>
      <c r="L362">
        <f t="shared" si="48"/>
        <v>544.46</v>
      </c>
      <c r="M362">
        <f t="shared" si="45"/>
        <v>265.84320000000002</v>
      </c>
      <c r="N362">
        <f t="shared" si="49"/>
        <v>66.460800000000006</v>
      </c>
      <c r="O362">
        <f t="shared" si="50"/>
        <v>265.84320000000002</v>
      </c>
      <c r="P362">
        <f t="shared" si="51"/>
        <v>66.460800000000006</v>
      </c>
      <c r="Q362">
        <f t="shared" si="52"/>
        <v>67.816600320000006</v>
      </c>
      <c r="R362">
        <f t="shared" si="53"/>
        <v>162.69260000000003</v>
      </c>
      <c r="S362">
        <f t="shared" si="46"/>
        <v>544.46</v>
      </c>
    </row>
    <row r="363" spans="1:19" x14ac:dyDescent="0.25">
      <c r="A363">
        <v>493</v>
      </c>
      <c r="B363">
        <v>1284</v>
      </c>
      <c r="C363" t="s">
        <v>32</v>
      </c>
      <c r="D363" t="s">
        <v>173</v>
      </c>
      <c r="E363">
        <v>8</v>
      </c>
      <c r="F363">
        <v>14.37</v>
      </c>
      <c r="G363">
        <v>3.01</v>
      </c>
      <c r="H363">
        <v>33.83</v>
      </c>
      <c r="I363">
        <v>0.83</v>
      </c>
      <c r="J363">
        <v>81.319999999999993</v>
      </c>
      <c r="K363">
        <f t="shared" si="47"/>
        <v>650.55999999999995</v>
      </c>
      <c r="L363">
        <f t="shared" si="48"/>
        <v>650.55999999999995</v>
      </c>
      <c r="M363">
        <f t="shared" si="45"/>
        <v>346.02959999999996</v>
      </c>
      <c r="N363">
        <f t="shared" si="49"/>
        <v>86.50739999999999</v>
      </c>
      <c r="O363">
        <f t="shared" si="50"/>
        <v>346.02959999999996</v>
      </c>
      <c r="P363">
        <f t="shared" si="51"/>
        <v>86.50739999999999</v>
      </c>
      <c r="Q363">
        <f t="shared" si="52"/>
        <v>88.272150959999991</v>
      </c>
      <c r="R363">
        <f t="shared" si="53"/>
        <v>224.63119999999998</v>
      </c>
      <c r="S363">
        <f t="shared" si="46"/>
        <v>650.55999999999995</v>
      </c>
    </row>
    <row r="364" spans="1:19" x14ac:dyDescent="0.25">
      <c r="A364">
        <v>494</v>
      </c>
      <c r="B364">
        <v>1285</v>
      </c>
      <c r="C364" t="s">
        <v>32</v>
      </c>
      <c r="D364" t="s">
        <v>172</v>
      </c>
      <c r="E364">
        <v>25</v>
      </c>
      <c r="F364">
        <v>18.98</v>
      </c>
      <c r="G364">
        <v>10.14</v>
      </c>
      <c r="H364">
        <v>31.73</v>
      </c>
      <c r="I364">
        <v>0.88</v>
      </c>
      <c r="J364">
        <v>319.51</v>
      </c>
      <c r="K364">
        <f t="shared" si="47"/>
        <v>7987.75</v>
      </c>
      <c r="L364">
        <f t="shared" si="48"/>
        <v>0</v>
      </c>
      <c r="M364">
        <f t="shared" si="45"/>
        <v>0</v>
      </c>
      <c r="N364">
        <f t="shared" si="49"/>
        <v>0</v>
      </c>
      <c r="O364">
        <f t="shared" si="50"/>
        <v>4811.43</v>
      </c>
      <c r="P364">
        <f t="shared" si="51"/>
        <v>1202.8575000000001</v>
      </c>
      <c r="Q364">
        <f t="shared" si="52"/>
        <v>1227.3957930000001</v>
      </c>
      <c r="R364">
        <f t="shared" si="53"/>
        <v>698.06000000000006</v>
      </c>
      <c r="S364">
        <f t="shared" si="46"/>
        <v>7987.75</v>
      </c>
    </row>
    <row r="365" spans="1:19" x14ac:dyDescent="0.25">
      <c r="A365">
        <v>495</v>
      </c>
      <c r="B365">
        <v>1285</v>
      </c>
      <c r="C365" t="s">
        <v>32</v>
      </c>
      <c r="D365" t="s">
        <v>173</v>
      </c>
      <c r="E365">
        <v>39</v>
      </c>
      <c r="F365">
        <v>13.89</v>
      </c>
      <c r="G365">
        <v>3.03</v>
      </c>
      <c r="H365">
        <v>27.59</v>
      </c>
      <c r="I365">
        <v>0.8</v>
      </c>
      <c r="J365">
        <v>82.15</v>
      </c>
      <c r="K365">
        <f t="shared" si="47"/>
        <v>3203.8500000000004</v>
      </c>
      <c r="L365">
        <f t="shared" si="48"/>
        <v>3203.8500000000004</v>
      </c>
      <c r="M365">
        <f t="shared" si="45"/>
        <v>1641.3812999999998</v>
      </c>
      <c r="N365">
        <f t="shared" si="49"/>
        <v>410.34532499999995</v>
      </c>
      <c r="O365">
        <f t="shared" si="50"/>
        <v>1641.3812999999998</v>
      </c>
      <c r="P365">
        <f t="shared" si="51"/>
        <v>410.34532499999995</v>
      </c>
      <c r="Q365">
        <f t="shared" si="52"/>
        <v>418.71636962999992</v>
      </c>
      <c r="R365">
        <f t="shared" si="53"/>
        <v>860.80800000000011</v>
      </c>
      <c r="S365">
        <f t="shared" si="46"/>
        <v>3203.8500000000004</v>
      </c>
    </row>
    <row r="366" spans="1:19" x14ac:dyDescent="0.25">
      <c r="A366">
        <v>496</v>
      </c>
      <c r="B366">
        <v>1285</v>
      </c>
      <c r="C366" t="s">
        <v>32</v>
      </c>
      <c r="D366" t="s">
        <v>173</v>
      </c>
      <c r="E366">
        <v>16</v>
      </c>
      <c r="F366">
        <v>14.87</v>
      </c>
      <c r="G366">
        <v>2.65</v>
      </c>
      <c r="H366">
        <v>31.42</v>
      </c>
      <c r="I366">
        <v>0.8</v>
      </c>
      <c r="J366">
        <v>73.650000000000006</v>
      </c>
      <c r="K366">
        <f t="shared" si="47"/>
        <v>1178.4000000000001</v>
      </c>
      <c r="L366">
        <f t="shared" si="48"/>
        <v>1178.4000000000001</v>
      </c>
      <c r="M366">
        <f t="shared" si="45"/>
        <v>630.48799999999994</v>
      </c>
      <c r="N366">
        <f t="shared" si="49"/>
        <v>157.62199999999999</v>
      </c>
      <c r="O366">
        <f t="shared" si="50"/>
        <v>630.48799999999994</v>
      </c>
      <c r="P366">
        <f t="shared" si="51"/>
        <v>157.62199999999999</v>
      </c>
      <c r="Q366">
        <f t="shared" si="52"/>
        <v>160.83748879999999</v>
      </c>
      <c r="R366">
        <f t="shared" si="53"/>
        <v>402.17600000000004</v>
      </c>
      <c r="S366">
        <f t="shared" si="46"/>
        <v>1178.4000000000001</v>
      </c>
    </row>
    <row r="367" spans="1:19" x14ac:dyDescent="0.25">
      <c r="A367">
        <v>497</v>
      </c>
      <c r="B367">
        <v>1285</v>
      </c>
      <c r="C367" t="s">
        <v>32</v>
      </c>
      <c r="D367" t="s">
        <v>173</v>
      </c>
      <c r="E367">
        <v>29</v>
      </c>
      <c r="F367">
        <v>14.59</v>
      </c>
      <c r="G367">
        <v>2.83</v>
      </c>
      <c r="H367">
        <v>32.97</v>
      </c>
      <c r="I367">
        <v>0.8</v>
      </c>
      <c r="J367">
        <v>85.79</v>
      </c>
      <c r="K367">
        <f t="shared" si="47"/>
        <v>2487.9100000000003</v>
      </c>
      <c r="L367">
        <f t="shared" si="48"/>
        <v>2487.9100000000003</v>
      </c>
      <c r="M367">
        <f t="shared" si="45"/>
        <v>1197.4013</v>
      </c>
      <c r="N367">
        <f t="shared" si="49"/>
        <v>299.350325</v>
      </c>
      <c r="O367">
        <f t="shared" si="50"/>
        <v>1197.4013</v>
      </c>
      <c r="P367">
        <f t="shared" si="51"/>
        <v>299.350325</v>
      </c>
      <c r="Q367">
        <f t="shared" si="52"/>
        <v>305.45707162999997</v>
      </c>
      <c r="R367">
        <f t="shared" si="53"/>
        <v>764.90400000000011</v>
      </c>
      <c r="S367">
        <f t="shared" si="46"/>
        <v>2487.9100000000003</v>
      </c>
    </row>
    <row r="368" spans="1:19" x14ac:dyDescent="0.25">
      <c r="A368">
        <v>498</v>
      </c>
      <c r="B368">
        <v>1285</v>
      </c>
      <c r="C368" t="s">
        <v>32</v>
      </c>
      <c r="D368" t="s">
        <v>173</v>
      </c>
      <c r="E368">
        <v>13</v>
      </c>
      <c r="F368">
        <v>15.51</v>
      </c>
      <c r="G368">
        <v>2.86</v>
      </c>
      <c r="H368">
        <v>33.33</v>
      </c>
      <c r="I368">
        <v>0.8</v>
      </c>
      <c r="J368">
        <v>90.32</v>
      </c>
      <c r="K368">
        <f t="shared" si="47"/>
        <v>1174.1599999999999</v>
      </c>
      <c r="L368">
        <f t="shared" si="48"/>
        <v>1174.1599999999999</v>
      </c>
      <c r="M368">
        <f t="shared" si="45"/>
        <v>576.66179999999997</v>
      </c>
      <c r="N368">
        <f t="shared" si="49"/>
        <v>144.16544999999999</v>
      </c>
      <c r="O368">
        <f t="shared" si="50"/>
        <v>576.66179999999997</v>
      </c>
      <c r="P368">
        <f t="shared" si="51"/>
        <v>144.16544999999999</v>
      </c>
      <c r="Q368">
        <f t="shared" si="52"/>
        <v>147.10642518</v>
      </c>
      <c r="R368">
        <f t="shared" si="53"/>
        <v>346.63200000000001</v>
      </c>
      <c r="S368">
        <f t="shared" si="46"/>
        <v>1174.1599999999999</v>
      </c>
    </row>
    <row r="369" spans="1:19" x14ac:dyDescent="0.25">
      <c r="A369">
        <v>499</v>
      </c>
      <c r="B369">
        <v>1285</v>
      </c>
      <c r="C369" t="s">
        <v>32</v>
      </c>
      <c r="D369" t="s">
        <v>172</v>
      </c>
      <c r="E369">
        <v>30</v>
      </c>
      <c r="F369">
        <v>20.16</v>
      </c>
      <c r="G369">
        <v>11.33</v>
      </c>
      <c r="H369">
        <v>32.78</v>
      </c>
      <c r="I369">
        <v>1.03</v>
      </c>
      <c r="J369">
        <v>379.94</v>
      </c>
      <c r="K369">
        <f t="shared" si="47"/>
        <v>11398.2</v>
      </c>
      <c r="L369">
        <f t="shared" si="48"/>
        <v>0</v>
      </c>
      <c r="M369">
        <f t="shared" si="45"/>
        <v>0</v>
      </c>
      <c r="N369">
        <f t="shared" si="49"/>
        <v>0</v>
      </c>
      <c r="O369">
        <f t="shared" si="50"/>
        <v>6852.384</v>
      </c>
      <c r="P369">
        <f t="shared" si="51"/>
        <v>1713.096</v>
      </c>
      <c r="Q369">
        <f t="shared" si="52"/>
        <v>1748.0431584</v>
      </c>
      <c r="R369">
        <f t="shared" si="53"/>
        <v>1012.9020000000002</v>
      </c>
      <c r="S369">
        <f t="shared" si="46"/>
        <v>11398.2</v>
      </c>
    </row>
    <row r="370" spans="1:19" x14ac:dyDescent="0.25">
      <c r="A370">
        <v>500</v>
      </c>
      <c r="B370">
        <v>1285</v>
      </c>
      <c r="C370" t="s">
        <v>32</v>
      </c>
      <c r="D370" t="s">
        <v>172</v>
      </c>
      <c r="E370">
        <v>11</v>
      </c>
      <c r="F370">
        <v>20.09</v>
      </c>
      <c r="G370">
        <v>9.17</v>
      </c>
      <c r="H370">
        <v>29.49</v>
      </c>
      <c r="I370">
        <v>1.03</v>
      </c>
      <c r="J370">
        <v>310.18</v>
      </c>
      <c r="K370">
        <f t="shared" si="47"/>
        <v>3411.98</v>
      </c>
      <c r="L370">
        <f t="shared" si="48"/>
        <v>0</v>
      </c>
      <c r="M370">
        <f t="shared" si="45"/>
        <v>0</v>
      </c>
      <c r="N370">
        <f t="shared" si="49"/>
        <v>0</v>
      </c>
      <c r="O370">
        <f t="shared" si="50"/>
        <v>2026.4783</v>
      </c>
      <c r="P370">
        <f t="shared" si="51"/>
        <v>506.619575</v>
      </c>
      <c r="Q370">
        <f t="shared" si="52"/>
        <v>516.95461433000003</v>
      </c>
      <c r="R370">
        <f t="shared" si="53"/>
        <v>334.12169999999998</v>
      </c>
      <c r="S370">
        <f t="shared" si="46"/>
        <v>3411.98</v>
      </c>
    </row>
    <row r="371" spans="1:19" x14ac:dyDescent="0.25">
      <c r="A371">
        <v>501</v>
      </c>
      <c r="B371">
        <v>1285</v>
      </c>
      <c r="C371" t="s">
        <v>32</v>
      </c>
      <c r="D371" t="s">
        <v>173</v>
      </c>
      <c r="E371">
        <v>84</v>
      </c>
      <c r="F371">
        <v>15.66</v>
      </c>
      <c r="G371">
        <v>2.8</v>
      </c>
      <c r="H371">
        <v>28.04</v>
      </c>
      <c r="I371">
        <v>0.82</v>
      </c>
      <c r="J371">
        <v>85.58</v>
      </c>
      <c r="K371">
        <f t="shared" si="47"/>
        <v>7188.72</v>
      </c>
      <c r="L371">
        <f t="shared" si="48"/>
        <v>7188.72</v>
      </c>
      <c r="M371">
        <f t="shared" si="45"/>
        <v>3683.232</v>
      </c>
      <c r="N371">
        <f t="shared" si="49"/>
        <v>920.80799999999999</v>
      </c>
      <c r="O371">
        <f t="shared" si="50"/>
        <v>3683.232</v>
      </c>
      <c r="P371">
        <f t="shared" si="51"/>
        <v>920.80799999999999</v>
      </c>
      <c r="Q371">
        <f t="shared" si="52"/>
        <v>939.59248319999995</v>
      </c>
      <c r="R371">
        <f t="shared" si="53"/>
        <v>1931.3951999999997</v>
      </c>
      <c r="S371">
        <f t="shared" si="46"/>
        <v>7188.72</v>
      </c>
    </row>
    <row r="372" spans="1:19" x14ac:dyDescent="0.25">
      <c r="A372">
        <v>502</v>
      </c>
      <c r="B372">
        <v>1286</v>
      </c>
      <c r="C372" t="s">
        <v>32</v>
      </c>
      <c r="D372" t="s">
        <v>172</v>
      </c>
      <c r="E372">
        <v>8</v>
      </c>
      <c r="F372">
        <v>19.059999999999999</v>
      </c>
      <c r="G372">
        <v>11.32</v>
      </c>
      <c r="H372">
        <v>28.37</v>
      </c>
      <c r="I372">
        <v>1.05</v>
      </c>
      <c r="J372">
        <v>356.39</v>
      </c>
      <c r="K372">
        <f t="shared" si="47"/>
        <v>2851.12</v>
      </c>
      <c r="L372">
        <f t="shared" si="48"/>
        <v>0</v>
      </c>
      <c r="M372">
        <f t="shared" si="45"/>
        <v>0</v>
      </c>
      <c r="N372">
        <f t="shared" si="49"/>
        <v>0</v>
      </c>
      <c r="O372">
        <f t="shared" si="50"/>
        <v>1726.0735999999999</v>
      </c>
      <c r="P372">
        <f t="shared" si="51"/>
        <v>431.51839999999999</v>
      </c>
      <c r="Q372">
        <f t="shared" si="52"/>
        <v>440.32137535999999</v>
      </c>
      <c r="R372">
        <f t="shared" si="53"/>
        <v>238.30800000000002</v>
      </c>
      <c r="S372">
        <f t="shared" si="46"/>
        <v>2851.12</v>
      </c>
    </row>
    <row r="373" spans="1:19" x14ac:dyDescent="0.25">
      <c r="A373">
        <v>503</v>
      </c>
      <c r="B373">
        <v>1286</v>
      </c>
      <c r="C373" t="s">
        <v>32</v>
      </c>
      <c r="D373" t="s">
        <v>173</v>
      </c>
      <c r="E373">
        <v>17</v>
      </c>
      <c r="F373">
        <v>14.45</v>
      </c>
      <c r="G373">
        <v>2.94</v>
      </c>
      <c r="H373">
        <v>34.57</v>
      </c>
      <c r="I373">
        <v>0.81</v>
      </c>
      <c r="J373">
        <v>89.22</v>
      </c>
      <c r="K373">
        <f t="shared" si="47"/>
        <v>1516.74</v>
      </c>
      <c r="L373">
        <f t="shared" si="48"/>
        <v>1516.74</v>
      </c>
      <c r="M373">
        <f t="shared" si="45"/>
        <v>722.2109999999999</v>
      </c>
      <c r="N373">
        <f t="shared" si="49"/>
        <v>180.55274999999997</v>
      </c>
      <c r="O373">
        <f t="shared" si="50"/>
        <v>722.2109999999999</v>
      </c>
      <c r="P373">
        <f t="shared" si="51"/>
        <v>180.55274999999997</v>
      </c>
      <c r="Q373">
        <f t="shared" si="52"/>
        <v>184.23602609999998</v>
      </c>
      <c r="R373">
        <f t="shared" si="53"/>
        <v>476.02890000000008</v>
      </c>
      <c r="S373">
        <f t="shared" si="46"/>
        <v>1516.74</v>
      </c>
    </row>
    <row r="374" spans="1:19" x14ac:dyDescent="0.25">
      <c r="A374">
        <v>504</v>
      </c>
      <c r="B374">
        <v>1286</v>
      </c>
      <c r="C374" t="s">
        <v>32</v>
      </c>
      <c r="D374" t="s">
        <v>172</v>
      </c>
      <c r="E374">
        <v>14</v>
      </c>
      <c r="F374">
        <v>19.38</v>
      </c>
      <c r="G374">
        <v>11.96</v>
      </c>
      <c r="H374">
        <v>28.23</v>
      </c>
      <c r="I374">
        <v>1.08</v>
      </c>
      <c r="J374">
        <v>381.06</v>
      </c>
      <c r="K374">
        <f t="shared" si="47"/>
        <v>5334.84</v>
      </c>
      <c r="L374">
        <f t="shared" si="48"/>
        <v>0</v>
      </c>
      <c r="M374">
        <f t="shared" si="45"/>
        <v>0</v>
      </c>
      <c r="N374">
        <f t="shared" si="49"/>
        <v>0</v>
      </c>
      <c r="O374">
        <f t="shared" si="50"/>
        <v>3244.9871999999996</v>
      </c>
      <c r="P374">
        <f t="shared" si="51"/>
        <v>811.24679999999989</v>
      </c>
      <c r="Q374">
        <f t="shared" si="52"/>
        <v>827.79623471999992</v>
      </c>
      <c r="R374">
        <f t="shared" si="53"/>
        <v>426.83760000000001</v>
      </c>
      <c r="S374">
        <f t="shared" si="46"/>
        <v>5334.84</v>
      </c>
    </row>
    <row r="375" spans="1:19" x14ac:dyDescent="0.25">
      <c r="A375">
        <v>505</v>
      </c>
      <c r="B375">
        <v>1286</v>
      </c>
      <c r="C375" t="s">
        <v>32</v>
      </c>
      <c r="D375" t="s">
        <v>173</v>
      </c>
      <c r="E375">
        <v>15</v>
      </c>
      <c r="F375">
        <v>15.59</v>
      </c>
      <c r="G375">
        <v>2.99</v>
      </c>
      <c r="H375">
        <v>26.4</v>
      </c>
      <c r="I375">
        <v>0.78</v>
      </c>
      <c r="J375">
        <v>86.75</v>
      </c>
      <c r="K375">
        <f t="shared" si="47"/>
        <v>1301.25</v>
      </c>
      <c r="L375">
        <f t="shared" si="48"/>
        <v>1301.25</v>
      </c>
      <c r="M375">
        <f t="shared" si="45"/>
        <v>699.2115</v>
      </c>
      <c r="N375">
        <f t="shared" si="49"/>
        <v>174.802875</v>
      </c>
      <c r="O375">
        <f t="shared" si="50"/>
        <v>699.2115</v>
      </c>
      <c r="P375">
        <f t="shared" si="51"/>
        <v>174.802875</v>
      </c>
      <c r="Q375">
        <f t="shared" si="52"/>
        <v>178.36885365000001</v>
      </c>
      <c r="R375">
        <f t="shared" si="53"/>
        <v>308.88</v>
      </c>
      <c r="S375">
        <f t="shared" si="46"/>
        <v>1301.25</v>
      </c>
    </row>
    <row r="376" spans="1:19" x14ac:dyDescent="0.25">
      <c r="A376">
        <v>506</v>
      </c>
      <c r="B376">
        <v>1286</v>
      </c>
      <c r="C376" t="s">
        <v>32</v>
      </c>
      <c r="D376" t="s">
        <v>173</v>
      </c>
      <c r="E376">
        <v>16</v>
      </c>
      <c r="F376">
        <v>15.35</v>
      </c>
      <c r="G376">
        <v>3.09</v>
      </c>
      <c r="H376">
        <v>30.04</v>
      </c>
      <c r="I376">
        <v>0.77</v>
      </c>
      <c r="J376">
        <v>90.66</v>
      </c>
      <c r="K376">
        <f t="shared" si="47"/>
        <v>1450.56</v>
      </c>
      <c r="L376">
        <f t="shared" si="48"/>
        <v>1450.56</v>
      </c>
      <c r="M376">
        <f t="shared" si="45"/>
        <v>758.904</v>
      </c>
      <c r="N376">
        <f t="shared" si="49"/>
        <v>189.726</v>
      </c>
      <c r="O376">
        <f t="shared" si="50"/>
        <v>758.904</v>
      </c>
      <c r="P376">
        <f t="shared" si="51"/>
        <v>189.726</v>
      </c>
      <c r="Q376">
        <f t="shared" si="52"/>
        <v>193.5964104</v>
      </c>
      <c r="R376">
        <f t="shared" si="53"/>
        <v>370.09280000000001</v>
      </c>
      <c r="S376">
        <f t="shared" si="46"/>
        <v>1450.56</v>
      </c>
    </row>
    <row r="377" spans="1:19" x14ac:dyDescent="0.25">
      <c r="A377">
        <v>507</v>
      </c>
      <c r="B377">
        <v>1286</v>
      </c>
      <c r="C377" t="s">
        <v>32</v>
      </c>
      <c r="D377" t="s">
        <v>173</v>
      </c>
      <c r="E377">
        <v>7</v>
      </c>
      <c r="F377">
        <v>14.72</v>
      </c>
      <c r="G377">
        <v>2.8</v>
      </c>
      <c r="H377">
        <v>29.24</v>
      </c>
      <c r="I377">
        <v>0.82</v>
      </c>
      <c r="J377">
        <v>83.05</v>
      </c>
      <c r="K377">
        <f t="shared" si="47"/>
        <v>581.35</v>
      </c>
      <c r="L377">
        <f t="shared" si="48"/>
        <v>581.35</v>
      </c>
      <c r="M377">
        <f t="shared" si="45"/>
        <v>288.512</v>
      </c>
      <c r="N377">
        <f t="shared" si="49"/>
        <v>72.128</v>
      </c>
      <c r="O377">
        <f t="shared" si="50"/>
        <v>288.512</v>
      </c>
      <c r="P377">
        <f t="shared" si="51"/>
        <v>72.128</v>
      </c>
      <c r="Q377">
        <f t="shared" si="52"/>
        <v>73.599411199999992</v>
      </c>
      <c r="R377">
        <f t="shared" si="53"/>
        <v>167.83759999999998</v>
      </c>
      <c r="S377">
        <f t="shared" si="46"/>
        <v>581.35</v>
      </c>
    </row>
    <row r="378" spans="1:19" x14ac:dyDescent="0.25">
      <c r="A378">
        <v>508</v>
      </c>
      <c r="B378">
        <v>1286</v>
      </c>
      <c r="C378" t="s">
        <v>32</v>
      </c>
      <c r="D378" t="s">
        <v>173</v>
      </c>
      <c r="E378">
        <v>8</v>
      </c>
      <c r="F378">
        <v>15.21</v>
      </c>
      <c r="G378">
        <v>2.95</v>
      </c>
      <c r="H378">
        <v>32.18</v>
      </c>
      <c r="I378">
        <v>0.8</v>
      </c>
      <c r="J378">
        <v>90.02</v>
      </c>
      <c r="K378">
        <f t="shared" si="47"/>
        <v>720.16</v>
      </c>
      <c r="L378">
        <f t="shared" si="48"/>
        <v>720.16</v>
      </c>
      <c r="M378">
        <f t="shared" si="45"/>
        <v>358.95600000000002</v>
      </c>
      <c r="N378">
        <f t="shared" si="49"/>
        <v>89.739000000000004</v>
      </c>
      <c r="O378">
        <f t="shared" si="50"/>
        <v>358.95600000000002</v>
      </c>
      <c r="P378">
        <f t="shared" si="51"/>
        <v>89.739000000000004</v>
      </c>
      <c r="Q378">
        <f t="shared" si="52"/>
        <v>91.569675599999997</v>
      </c>
      <c r="R378">
        <f t="shared" si="53"/>
        <v>205.952</v>
      </c>
      <c r="S378">
        <f t="shared" si="46"/>
        <v>720.16</v>
      </c>
    </row>
    <row r="379" spans="1:19" x14ac:dyDescent="0.25">
      <c r="A379">
        <v>509</v>
      </c>
      <c r="B379">
        <v>1286</v>
      </c>
      <c r="C379" t="s">
        <v>32</v>
      </c>
      <c r="D379" t="s">
        <v>173</v>
      </c>
      <c r="E379">
        <v>12</v>
      </c>
      <c r="F379">
        <v>15.11</v>
      </c>
      <c r="G379">
        <v>2.89</v>
      </c>
      <c r="H379">
        <v>30.61</v>
      </c>
      <c r="I379">
        <v>0.82</v>
      </c>
      <c r="J379">
        <v>87.65</v>
      </c>
      <c r="K379">
        <f t="shared" si="47"/>
        <v>1051.8000000000002</v>
      </c>
      <c r="L379">
        <f t="shared" si="48"/>
        <v>1051.8000000000002</v>
      </c>
      <c r="M379">
        <f t="shared" si="45"/>
        <v>524.01479999999992</v>
      </c>
      <c r="N379">
        <f t="shared" si="49"/>
        <v>131.00369999999998</v>
      </c>
      <c r="O379">
        <f t="shared" si="50"/>
        <v>524.01479999999992</v>
      </c>
      <c r="P379">
        <f t="shared" si="51"/>
        <v>131.00369999999998</v>
      </c>
      <c r="Q379">
        <f t="shared" si="52"/>
        <v>133.67617547999998</v>
      </c>
      <c r="R379">
        <f t="shared" si="53"/>
        <v>301.20240000000001</v>
      </c>
      <c r="S379">
        <f t="shared" si="46"/>
        <v>1051.8000000000002</v>
      </c>
    </row>
    <row r="380" spans="1:19" x14ac:dyDescent="0.25">
      <c r="A380">
        <v>510</v>
      </c>
      <c r="B380">
        <v>1286</v>
      </c>
      <c r="C380" t="s">
        <v>32</v>
      </c>
      <c r="D380" t="s">
        <v>172</v>
      </c>
      <c r="E380">
        <v>22</v>
      </c>
      <c r="F380">
        <v>18.690000000000001</v>
      </c>
      <c r="G380">
        <v>11.39</v>
      </c>
      <c r="H380">
        <v>35.56</v>
      </c>
      <c r="I380">
        <v>1.01</v>
      </c>
      <c r="J380">
        <v>359.4</v>
      </c>
      <c r="K380">
        <f t="shared" si="47"/>
        <v>7906.7999999999993</v>
      </c>
      <c r="L380">
        <f t="shared" si="48"/>
        <v>0</v>
      </c>
      <c r="M380">
        <f t="shared" si="45"/>
        <v>0</v>
      </c>
      <c r="N380">
        <f t="shared" si="49"/>
        <v>0</v>
      </c>
      <c r="O380">
        <f t="shared" si="50"/>
        <v>4683.3402000000006</v>
      </c>
      <c r="P380">
        <f t="shared" si="51"/>
        <v>1170.8350500000001</v>
      </c>
      <c r="Q380">
        <f t="shared" si="52"/>
        <v>1194.7200850200002</v>
      </c>
      <c r="R380">
        <f t="shared" si="53"/>
        <v>790.14319999999998</v>
      </c>
      <c r="S380">
        <f t="shared" si="46"/>
        <v>7906.7999999999993</v>
      </c>
    </row>
    <row r="381" spans="1:19" x14ac:dyDescent="0.25">
      <c r="A381">
        <v>511</v>
      </c>
      <c r="B381">
        <v>1286</v>
      </c>
      <c r="C381" t="s">
        <v>32</v>
      </c>
      <c r="D381" t="s">
        <v>173</v>
      </c>
      <c r="E381">
        <v>29</v>
      </c>
      <c r="F381">
        <v>13.39</v>
      </c>
      <c r="G381">
        <v>2.5099999999999998</v>
      </c>
      <c r="H381">
        <v>31.57</v>
      </c>
      <c r="I381">
        <v>0.81</v>
      </c>
      <c r="J381">
        <v>74.34</v>
      </c>
      <c r="K381">
        <f t="shared" si="47"/>
        <v>2155.86</v>
      </c>
      <c r="L381">
        <f t="shared" si="48"/>
        <v>2155.86</v>
      </c>
      <c r="M381">
        <f t="shared" si="45"/>
        <v>974.65809999999999</v>
      </c>
      <c r="N381">
        <f t="shared" si="49"/>
        <v>243.664525</v>
      </c>
      <c r="O381">
        <f t="shared" si="50"/>
        <v>974.65809999999999</v>
      </c>
      <c r="P381">
        <f t="shared" si="51"/>
        <v>243.664525</v>
      </c>
      <c r="Q381">
        <f t="shared" si="52"/>
        <v>248.63528130999998</v>
      </c>
      <c r="R381">
        <f t="shared" si="53"/>
        <v>741.5793000000001</v>
      </c>
      <c r="S381">
        <f t="shared" si="46"/>
        <v>2155.86</v>
      </c>
    </row>
    <row r="382" spans="1:19" x14ac:dyDescent="0.25">
      <c r="A382">
        <v>512</v>
      </c>
      <c r="B382">
        <v>1286</v>
      </c>
      <c r="C382" t="s">
        <v>32</v>
      </c>
      <c r="D382" t="s">
        <v>172</v>
      </c>
      <c r="E382">
        <v>12</v>
      </c>
      <c r="F382">
        <v>19.73</v>
      </c>
      <c r="G382">
        <v>12.33</v>
      </c>
      <c r="H382">
        <v>29.44</v>
      </c>
      <c r="I382">
        <v>1.02</v>
      </c>
      <c r="J382">
        <v>397.6</v>
      </c>
      <c r="K382">
        <f t="shared" si="47"/>
        <v>4771.2000000000007</v>
      </c>
      <c r="L382">
        <f t="shared" si="48"/>
        <v>0</v>
      </c>
      <c r="M382">
        <f t="shared" si="45"/>
        <v>0</v>
      </c>
      <c r="N382">
        <f t="shared" si="49"/>
        <v>0</v>
      </c>
      <c r="O382">
        <f t="shared" si="50"/>
        <v>2919.2508000000003</v>
      </c>
      <c r="P382">
        <f t="shared" si="51"/>
        <v>729.81270000000006</v>
      </c>
      <c r="Q382">
        <f t="shared" si="52"/>
        <v>744.70087908000005</v>
      </c>
      <c r="R382">
        <f t="shared" si="53"/>
        <v>360.34560000000005</v>
      </c>
      <c r="S382">
        <f t="shared" si="46"/>
        <v>4771.2000000000007</v>
      </c>
    </row>
    <row r="383" spans="1:19" x14ac:dyDescent="0.25">
      <c r="A383">
        <v>513</v>
      </c>
      <c r="B383">
        <v>1286</v>
      </c>
      <c r="C383" t="s">
        <v>32</v>
      </c>
      <c r="D383" t="s">
        <v>172</v>
      </c>
      <c r="E383">
        <v>49</v>
      </c>
      <c r="F383">
        <v>20.82</v>
      </c>
      <c r="G383">
        <v>11.81</v>
      </c>
      <c r="H383">
        <v>36.729999999999997</v>
      </c>
      <c r="I383">
        <v>0.98</v>
      </c>
      <c r="J383">
        <v>408.59</v>
      </c>
      <c r="K383">
        <f t="shared" si="47"/>
        <v>20020.91</v>
      </c>
      <c r="L383">
        <f t="shared" si="48"/>
        <v>0</v>
      </c>
      <c r="M383">
        <f t="shared" si="45"/>
        <v>0</v>
      </c>
      <c r="N383">
        <f t="shared" si="49"/>
        <v>0</v>
      </c>
      <c r="O383">
        <f t="shared" si="50"/>
        <v>12048.325800000001</v>
      </c>
      <c r="P383">
        <f t="shared" si="51"/>
        <v>3012.0814500000001</v>
      </c>
      <c r="Q383">
        <f t="shared" si="52"/>
        <v>3073.5279115799999</v>
      </c>
      <c r="R383">
        <f t="shared" si="53"/>
        <v>1763.7745999999997</v>
      </c>
      <c r="S383">
        <f t="shared" si="46"/>
        <v>20020.91</v>
      </c>
    </row>
    <row r="384" spans="1:19" x14ac:dyDescent="0.25">
      <c r="A384">
        <v>514</v>
      </c>
      <c r="B384">
        <v>1286</v>
      </c>
      <c r="C384" t="s">
        <v>32</v>
      </c>
      <c r="D384" t="s">
        <v>173</v>
      </c>
      <c r="E384">
        <v>12</v>
      </c>
      <c r="F384">
        <v>13.59</v>
      </c>
      <c r="G384">
        <v>3.14</v>
      </c>
      <c r="H384">
        <v>32.08</v>
      </c>
      <c r="I384">
        <v>0.8</v>
      </c>
      <c r="J384">
        <v>86.91</v>
      </c>
      <c r="K384">
        <f t="shared" si="47"/>
        <v>1042.92</v>
      </c>
      <c r="L384">
        <f t="shared" si="48"/>
        <v>1042.92</v>
      </c>
      <c r="M384">
        <f t="shared" si="45"/>
        <v>512.07119999999998</v>
      </c>
      <c r="N384">
        <f t="shared" si="49"/>
        <v>128.01779999999999</v>
      </c>
      <c r="O384">
        <f t="shared" si="50"/>
        <v>512.07119999999998</v>
      </c>
      <c r="P384">
        <f t="shared" si="51"/>
        <v>128.01779999999999</v>
      </c>
      <c r="Q384">
        <f t="shared" si="52"/>
        <v>130.62936311999999</v>
      </c>
      <c r="R384">
        <f t="shared" si="53"/>
        <v>307.96800000000002</v>
      </c>
      <c r="S384">
        <f t="shared" si="46"/>
        <v>1042.92</v>
      </c>
    </row>
    <row r="385" spans="1:19" x14ac:dyDescent="0.25">
      <c r="A385">
        <v>515</v>
      </c>
      <c r="B385">
        <v>1287</v>
      </c>
      <c r="C385" t="s">
        <v>32</v>
      </c>
      <c r="D385" t="s">
        <v>172</v>
      </c>
      <c r="E385">
        <v>25</v>
      </c>
      <c r="F385">
        <v>18.63</v>
      </c>
      <c r="G385">
        <v>11.68</v>
      </c>
      <c r="H385">
        <v>32.340000000000003</v>
      </c>
      <c r="I385">
        <v>1.05</v>
      </c>
      <c r="J385">
        <v>364.09</v>
      </c>
      <c r="K385">
        <f t="shared" si="47"/>
        <v>9102.25</v>
      </c>
      <c r="L385">
        <f t="shared" si="48"/>
        <v>0</v>
      </c>
      <c r="M385">
        <f t="shared" si="45"/>
        <v>0</v>
      </c>
      <c r="N385">
        <f t="shared" si="49"/>
        <v>0</v>
      </c>
      <c r="O385">
        <f t="shared" si="50"/>
        <v>5439.96</v>
      </c>
      <c r="P385">
        <f t="shared" si="51"/>
        <v>1359.99</v>
      </c>
      <c r="Q385">
        <f t="shared" si="52"/>
        <v>1387.733796</v>
      </c>
      <c r="R385">
        <f t="shared" si="53"/>
        <v>848.92500000000007</v>
      </c>
      <c r="S385">
        <f t="shared" si="46"/>
        <v>9102.25</v>
      </c>
    </row>
    <row r="386" spans="1:19" x14ac:dyDescent="0.25">
      <c r="A386">
        <v>516</v>
      </c>
      <c r="B386">
        <v>1287</v>
      </c>
      <c r="C386" t="s">
        <v>32</v>
      </c>
      <c r="D386" t="s">
        <v>172</v>
      </c>
      <c r="E386">
        <v>9</v>
      </c>
      <c r="F386">
        <v>19.72</v>
      </c>
      <c r="G386">
        <v>10.41</v>
      </c>
      <c r="H386">
        <v>29.83</v>
      </c>
      <c r="I386">
        <v>1.01</v>
      </c>
      <c r="J386">
        <v>341.21</v>
      </c>
      <c r="K386">
        <f t="shared" si="47"/>
        <v>3070.89</v>
      </c>
      <c r="L386">
        <f t="shared" si="48"/>
        <v>0</v>
      </c>
      <c r="M386">
        <f t="shared" ref="M386:M449" si="54">IF(D386="SHOES",O386,0)</f>
        <v>0</v>
      </c>
      <c r="N386">
        <f t="shared" si="49"/>
        <v>0</v>
      </c>
      <c r="O386">
        <f t="shared" si="50"/>
        <v>1847.5667999999998</v>
      </c>
      <c r="P386">
        <f t="shared" si="51"/>
        <v>461.89169999999996</v>
      </c>
      <c r="Q386">
        <f t="shared" si="52"/>
        <v>471.31429067999994</v>
      </c>
      <c r="R386">
        <f t="shared" si="53"/>
        <v>271.15469999999999</v>
      </c>
      <c r="S386">
        <f t="shared" ref="S386:S449" si="55">PRODUCT(J386,E386)</f>
        <v>3070.89</v>
      </c>
    </row>
    <row r="387" spans="1:19" x14ac:dyDescent="0.25">
      <c r="A387">
        <v>517</v>
      </c>
      <c r="B387">
        <v>1287</v>
      </c>
      <c r="C387" t="s">
        <v>32</v>
      </c>
      <c r="D387" t="s">
        <v>173</v>
      </c>
      <c r="E387">
        <v>15</v>
      </c>
      <c r="F387">
        <v>14.9</v>
      </c>
      <c r="G387">
        <v>2.77</v>
      </c>
      <c r="H387">
        <v>31.78</v>
      </c>
      <c r="I387">
        <v>0.84</v>
      </c>
      <c r="J387">
        <v>86.12</v>
      </c>
      <c r="K387">
        <f t="shared" ref="K387:K450" si="56">E387*J387</f>
        <v>1291.8000000000002</v>
      </c>
      <c r="L387">
        <f t="shared" ref="L387:L450" si="57">IF(D387="SHOES",E387*J387,0)</f>
        <v>1291.8000000000002</v>
      </c>
      <c r="M387">
        <f t="shared" si="54"/>
        <v>619.09500000000003</v>
      </c>
      <c r="N387">
        <f t="shared" ref="N387:N450" si="58">IF(D387="SHOES",P387,0)</f>
        <v>154.77375000000001</v>
      </c>
      <c r="O387">
        <f t="shared" ref="O387:O450" si="59">PRODUCT(E387,G387,F387)</f>
        <v>619.09500000000003</v>
      </c>
      <c r="P387">
        <f t="shared" ref="P387:P450" si="60">PRODUCT(O387,0.25)</f>
        <v>154.77375000000001</v>
      </c>
      <c r="Q387">
        <f t="shared" ref="Q387:Q450" si="61">PRODUCT(O387,0.2551)</f>
        <v>157.93113450000001</v>
      </c>
      <c r="R387">
        <f t="shared" ref="R387:R451" si="62">PRODUCT(E387,I387,H387)</f>
        <v>400.428</v>
      </c>
      <c r="S387">
        <f t="shared" si="55"/>
        <v>1291.8000000000002</v>
      </c>
    </row>
    <row r="388" spans="1:19" x14ac:dyDescent="0.25">
      <c r="A388">
        <v>518</v>
      </c>
      <c r="B388">
        <v>1287</v>
      </c>
      <c r="C388" t="s">
        <v>32</v>
      </c>
      <c r="D388" t="s">
        <v>173</v>
      </c>
      <c r="E388">
        <v>13</v>
      </c>
      <c r="F388">
        <v>15.03</v>
      </c>
      <c r="G388">
        <v>2.71</v>
      </c>
      <c r="H388">
        <v>34.21</v>
      </c>
      <c r="I388">
        <v>0.8</v>
      </c>
      <c r="J388">
        <v>86.11</v>
      </c>
      <c r="K388">
        <f t="shared" si="56"/>
        <v>1119.43</v>
      </c>
      <c r="L388">
        <f t="shared" si="57"/>
        <v>1119.43</v>
      </c>
      <c r="M388">
        <f t="shared" si="54"/>
        <v>529.50689999999997</v>
      </c>
      <c r="N388">
        <f t="shared" si="58"/>
        <v>132.37672499999999</v>
      </c>
      <c r="O388">
        <f t="shared" si="59"/>
        <v>529.50689999999997</v>
      </c>
      <c r="P388">
        <f t="shared" si="60"/>
        <v>132.37672499999999</v>
      </c>
      <c r="Q388">
        <f t="shared" si="61"/>
        <v>135.07721018999999</v>
      </c>
      <c r="R388">
        <f t="shared" si="62"/>
        <v>355.78400000000005</v>
      </c>
      <c r="S388">
        <f t="shared" si="55"/>
        <v>1119.43</v>
      </c>
    </row>
    <row r="389" spans="1:19" x14ac:dyDescent="0.25">
      <c r="A389">
        <v>519</v>
      </c>
      <c r="B389">
        <v>1287</v>
      </c>
      <c r="C389" t="s">
        <v>32</v>
      </c>
      <c r="D389" t="s">
        <v>173</v>
      </c>
      <c r="E389">
        <v>11</v>
      </c>
      <c r="F389">
        <v>13.42</v>
      </c>
      <c r="G389">
        <v>3.1</v>
      </c>
      <c r="H389">
        <v>35.4</v>
      </c>
      <c r="I389">
        <v>0.8</v>
      </c>
      <c r="J389">
        <v>88.35</v>
      </c>
      <c r="K389">
        <f t="shared" si="56"/>
        <v>971.84999999999991</v>
      </c>
      <c r="L389">
        <f t="shared" si="57"/>
        <v>971.84999999999991</v>
      </c>
      <c r="M389">
        <f t="shared" si="54"/>
        <v>457.62200000000001</v>
      </c>
      <c r="N389">
        <f t="shared" si="58"/>
        <v>114.4055</v>
      </c>
      <c r="O389">
        <f t="shared" si="59"/>
        <v>457.62200000000001</v>
      </c>
      <c r="P389">
        <f t="shared" si="60"/>
        <v>114.4055</v>
      </c>
      <c r="Q389">
        <f t="shared" si="61"/>
        <v>116.73937220000001</v>
      </c>
      <c r="R389">
        <f t="shared" si="62"/>
        <v>311.52000000000004</v>
      </c>
      <c r="S389">
        <f t="shared" si="55"/>
        <v>971.84999999999991</v>
      </c>
    </row>
    <row r="390" spans="1:19" x14ac:dyDescent="0.25">
      <c r="A390">
        <v>520</v>
      </c>
      <c r="B390">
        <v>1287</v>
      </c>
      <c r="C390" t="s">
        <v>32</v>
      </c>
      <c r="D390" t="s">
        <v>173</v>
      </c>
      <c r="E390">
        <v>16</v>
      </c>
      <c r="F390">
        <v>15.27</v>
      </c>
      <c r="G390">
        <v>2.88</v>
      </c>
      <c r="H390">
        <v>33.68</v>
      </c>
      <c r="I390">
        <v>0.81</v>
      </c>
      <c r="J390">
        <v>80.61</v>
      </c>
      <c r="K390">
        <f t="shared" si="56"/>
        <v>1289.76</v>
      </c>
      <c r="L390">
        <f t="shared" si="57"/>
        <v>1289.76</v>
      </c>
      <c r="M390">
        <f t="shared" si="54"/>
        <v>703.64159999999993</v>
      </c>
      <c r="N390">
        <f t="shared" si="58"/>
        <v>175.91039999999998</v>
      </c>
      <c r="O390">
        <f t="shared" si="59"/>
        <v>703.64159999999993</v>
      </c>
      <c r="P390">
        <f t="shared" si="60"/>
        <v>175.91039999999998</v>
      </c>
      <c r="Q390">
        <f t="shared" si="61"/>
        <v>179.49897215999997</v>
      </c>
      <c r="R390">
        <f t="shared" si="62"/>
        <v>436.49280000000005</v>
      </c>
      <c r="S390">
        <f t="shared" si="55"/>
        <v>1289.76</v>
      </c>
    </row>
    <row r="391" spans="1:19" x14ac:dyDescent="0.25">
      <c r="A391">
        <v>521</v>
      </c>
      <c r="B391">
        <v>1287</v>
      </c>
      <c r="C391" t="s">
        <v>32</v>
      </c>
      <c r="D391" t="s">
        <v>173</v>
      </c>
      <c r="E391">
        <v>15</v>
      </c>
      <c r="F391">
        <v>16.510000000000002</v>
      </c>
      <c r="G391">
        <v>2.92</v>
      </c>
      <c r="H391">
        <v>35.5</v>
      </c>
      <c r="I391">
        <v>0.76</v>
      </c>
      <c r="J391">
        <v>95.97</v>
      </c>
      <c r="K391">
        <f t="shared" si="56"/>
        <v>1439.55</v>
      </c>
      <c r="L391">
        <f t="shared" si="57"/>
        <v>1439.55</v>
      </c>
      <c r="M391">
        <f t="shared" si="54"/>
        <v>723.13800000000003</v>
      </c>
      <c r="N391">
        <f t="shared" si="58"/>
        <v>180.78450000000001</v>
      </c>
      <c r="O391">
        <f t="shared" si="59"/>
        <v>723.13800000000003</v>
      </c>
      <c r="P391">
        <f t="shared" si="60"/>
        <v>180.78450000000001</v>
      </c>
      <c r="Q391">
        <f t="shared" si="61"/>
        <v>184.4725038</v>
      </c>
      <c r="R391">
        <f t="shared" si="62"/>
        <v>404.7</v>
      </c>
      <c r="S391">
        <f t="shared" si="55"/>
        <v>1439.55</v>
      </c>
    </row>
    <row r="392" spans="1:19" x14ac:dyDescent="0.25">
      <c r="A392">
        <v>522</v>
      </c>
      <c r="B392">
        <v>1288</v>
      </c>
      <c r="C392" t="s">
        <v>35</v>
      </c>
      <c r="D392" t="s">
        <v>173</v>
      </c>
      <c r="E392">
        <v>11</v>
      </c>
      <c r="F392">
        <v>14.02</v>
      </c>
      <c r="G392">
        <v>2.74</v>
      </c>
      <c r="H392">
        <v>35.49</v>
      </c>
      <c r="I392">
        <v>0.82</v>
      </c>
      <c r="J392">
        <v>84.83</v>
      </c>
      <c r="K392">
        <f t="shared" si="56"/>
        <v>933.13</v>
      </c>
      <c r="L392">
        <f t="shared" si="57"/>
        <v>933.13</v>
      </c>
      <c r="M392">
        <f t="shared" si="54"/>
        <v>422.56279999999998</v>
      </c>
      <c r="N392">
        <f t="shared" si="58"/>
        <v>105.6407</v>
      </c>
      <c r="O392">
        <f t="shared" si="59"/>
        <v>422.56279999999998</v>
      </c>
      <c r="P392">
        <f t="shared" si="60"/>
        <v>105.6407</v>
      </c>
      <c r="Q392">
        <f t="shared" si="61"/>
        <v>107.79577028</v>
      </c>
      <c r="R392">
        <f t="shared" si="62"/>
        <v>320.1198</v>
      </c>
      <c r="S392">
        <f t="shared" si="55"/>
        <v>933.13</v>
      </c>
    </row>
    <row r="393" spans="1:19" x14ac:dyDescent="0.25">
      <c r="A393">
        <v>523</v>
      </c>
      <c r="B393">
        <v>1288</v>
      </c>
      <c r="C393" t="s">
        <v>35</v>
      </c>
      <c r="D393" t="s">
        <v>172</v>
      </c>
      <c r="E393">
        <v>13</v>
      </c>
      <c r="F393">
        <v>19.73</v>
      </c>
      <c r="G393">
        <v>10.79</v>
      </c>
      <c r="H393">
        <v>31.11</v>
      </c>
      <c r="I393">
        <v>0.93</v>
      </c>
      <c r="J393">
        <v>351.1</v>
      </c>
      <c r="K393">
        <f t="shared" si="56"/>
        <v>4564.3</v>
      </c>
      <c r="L393">
        <f t="shared" si="57"/>
        <v>0</v>
      </c>
      <c r="M393">
        <f t="shared" si="54"/>
        <v>0</v>
      </c>
      <c r="N393">
        <f t="shared" si="58"/>
        <v>0</v>
      </c>
      <c r="O393">
        <f t="shared" si="59"/>
        <v>2767.5270999999998</v>
      </c>
      <c r="P393">
        <f t="shared" si="60"/>
        <v>691.88177499999995</v>
      </c>
      <c r="Q393">
        <f t="shared" si="61"/>
        <v>705.99616320999996</v>
      </c>
      <c r="R393">
        <f t="shared" si="62"/>
        <v>376.11989999999997</v>
      </c>
      <c r="S393">
        <f t="shared" si="55"/>
        <v>4564.3</v>
      </c>
    </row>
    <row r="394" spans="1:19" x14ac:dyDescent="0.25">
      <c r="A394">
        <v>524</v>
      </c>
      <c r="B394">
        <v>1288</v>
      </c>
      <c r="C394" t="s">
        <v>35</v>
      </c>
      <c r="D394" t="s">
        <v>173</v>
      </c>
      <c r="E394">
        <v>7</v>
      </c>
      <c r="F394">
        <v>14.67</v>
      </c>
      <c r="G394">
        <v>2.96</v>
      </c>
      <c r="H394">
        <v>37.06</v>
      </c>
      <c r="I394">
        <v>0.82</v>
      </c>
      <c r="J394">
        <v>93.13</v>
      </c>
      <c r="K394">
        <f t="shared" si="56"/>
        <v>651.91</v>
      </c>
      <c r="L394">
        <f t="shared" si="57"/>
        <v>651.91</v>
      </c>
      <c r="M394">
        <f t="shared" si="54"/>
        <v>303.9624</v>
      </c>
      <c r="N394">
        <f t="shared" si="58"/>
        <v>75.990600000000001</v>
      </c>
      <c r="O394">
        <f t="shared" si="59"/>
        <v>303.9624</v>
      </c>
      <c r="P394">
        <f t="shared" si="60"/>
        <v>75.990600000000001</v>
      </c>
      <c r="Q394">
        <f t="shared" si="61"/>
        <v>77.540808240000004</v>
      </c>
      <c r="R394">
        <f t="shared" si="62"/>
        <v>212.72439999999997</v>
      </c>
      <c r="S394">
        <f t="shared" si="55"/>
        <v>651.91</v>
      </c>
    </row>
    <row r="395" spans="1:19" x14ac:dyDescent="0.25">
      <c r="A395">
        <v>525</v>
      </c>
      <c r="B395">
        <v>1288</v>
      </c>
      <c r="C395" t="s">
        <v>35</v>
      </c>
      <c r="D395" t="s">
        <v>172</v>
      </c>
      <c r="E395">
        <v>31</v>
      </c>
      <c r="F395">
        <v>19.22</v>
      </c>
      <c r="G395">
        <v>10.38</v>
      </c>
      <c r="H395">
        <v>35.049999999999997</v>
      </c>
      <c r="I395">
        <v>0.92</v>
      </c>
      <c r="J395">
        <v>335.13</v>
      </c>
      <c r="K395">
        <f t="shared" si="56"/>
        <v>10389.030000000001</v>
      </c>
      <c r="L395">
        <f t="shared" si="57"/>
        <v>0</v>
      </c>
      <c r="M395">
        <f t="shared" si="54"/>
        <v>0</v>
      </c>
      <c r="N395">
        <f t="shared" si="58"/>
        <v>0</v>
      </c>
      <c r="O395">
        <f t="shared" si="59"/>
        <v>6184.6116000000002</v>
      </c>
      <c r="P395">
        <f t="shared" si="60"/>
        <v>1546.1529</v>
      </c>
      <c r="Q395">
        <f t="shared" si="61"/>
        <v>1577.6944191600001</v>
      </c>
      <c r="R395">
        <f t="shared" si="62"/>
        <v>999.62599999999986</v>
      </c>
      <c r="S395">
        <f t="shared" si="55"/>
        <v>10389.030000000001</v>
      </c>
    </row>
    <row r="396" spans="1:19" x14ac:dyDescent="0.25">
      <c r="A396">
        <v>526</v>
      </c>
      <c r="B396">
        <v>1288</v>
      </c>
      <c r="C396" t="s">
        <v>35</v>
      </c>
      <c r="D396" t="s">
        <v>172</v>
      </c>
      <c r="E396">
        <v>13</v>
      </c>
      <c r="F396">
        <v>18.93</v>
      </c>
      <c r="G396">
        <v>10.58</v>
      </c>
      <c r="H396">
        <v>30.25</v>
      </c>
      <c r="I396">
        <v>1.21</v>
      </c>
      <c r="J396">
        <v>281.5</v>
      </c>
      <c r="K396">
        <f t="shared" si="56"/>
        <v>3659.5</v>
      </c>
      <c r="L396">
        <f t="shared" si="57"/>
        <v>0</v>
      </c>
      <c r="M396">
        <f t="shared" si="54"/>
        <v>0</v>
      </c>
      <c r="N396">
        <f t="shared" si="58"/>
        <v>0</v>
      </c>
      <c r="O396">
        <f t="shared" si="59"/>
        <v>2603.6322</v>
      </c>
      <c r="P396">
        <f t="shared" si="60"/>
        <v>650.90805</v>
      </c>
      <c r="Q396">
        <f t="shared" si="61"/>
        <v>664.18657422000001</v>
      </c>
      <c r="R396">
        <f t="shared" si="62"/>
        <v>475.83250000000004</v>
      </c>
      <c r="S396">
        <f t="shared" si="55"/>
        <v>3659.5</v>
      </c>
    </row>
    <row r="397" spans="1:19" x14ac:dyDescent="0.25">
      <c r="A397">
        <v>527</v>
      </c>
      <c r="B397">
        <v>1288</v>
      </c>
      <c r="C397" t="s">
        <v>35</v>
      </c>
      <c r="D397" t="s">
        <v>173</v>
      </c>
      <c r="E397">
        <v>18</v>
      </c>
      <c r="F397">
        <v>15.56</v>
      </c>
      <c r="G397">
        <v>2.75</v>
      </c>
      <c r="H397">
        <v>32.659999999999997</v>
      </c>
      <c r="I397">
        <v>0.78</v>
      </c>
      <c r="J397">
        <v>86.86</v>
      </c>
      <c r="K397">
        <f t="shared" si="56"/>
        <v>1563.48</v>
      </c>
      <c r="L397">
        <f t="shared" si="57"/>
        <v>1563.48</v>
      </c>
      <c r="M397">
        <f t="shared" si="54"/>
        <v>770.22</v>
      </c>
      <c r="N397">
        <f t="shared" si="58"/>
        <v>192.55500000000001</v>
      </c>
      <c r="O397">
        <f t="shared" si="59"/>
        <v>770.22</v>
      </c>
      <c r="P397">
        <f t="shared" si="60"/>
        <v>192.55500000000001</v>
      </c>
      <c r="Q397">
        <f t="shared" si="61"/>
        <v>196.48312200000001</v>
      </c>
      <c r="R397">
        <f t="shared" si="62"/>
        <v>458.54640000000001</v>
      </c>
      <c r="S397">
        <f t="shared" si="55"/>
        <v>1563.48</v>
      </c>
    </row>
    <row r="398" spans="1:19" x14ac:dyDescent="0.25">
      <c r="A398">
        <v>528</v>
      </c>
      <c r="B398">
        <v>1288</v>
      </c>
      <c r="C398" t="s">
        <v>35</v>
      </c>
      <c r="D398" t="s">
        <v>173</v>
      </c>
      <c r="E398">
        <v>12</v>
      </c>
      <c r="F398">
        <v>14.92</v>
      </c>
      <c r="G398">
        <v>2.69</v>
      </c>
      <c r="H398">
        <v>32.67</v>
      </c>
      <c r="I398">
        <v>0.81</v>
      </c>
      <c r="J398">
        <v>84.29</v>
      </c>
      <c r="K398">
        <f t="shared" si="56"/>
        <v>1011.48</v>
      </c>
      <c r="L398">
        <f t="shared" si="57"/>
        <v>1011.48</v>
      </c>
      <c r="M398">
        <f t="shared" si="54"/>
        <v>481.61760000000004</v>
      </c>
      <c r="N398">
        <f t="shared" si="58"/>
        <v>120.40440000000001</v>
      </c>
      <c r="O398">
        <f t="shared" si="59"/>
        <v>481.61760000000004</v>
      </c>
      <c r="P398">
        <f t="shared" si="60"/>
        <v>120.40440000000001</v>
      </c>
      <c r="Q398">
        <f t="shared" si="61"/>
        <v>122.86064976</v>
      </c>
      <c r="R398">
        <f t="shared" si="62"/>
        <v>317.55240000000003</v>
      </c>
      <c r="S398">
        <f t="shared" si="55"/>
        <v>1011.48</v>
      </c>
    </row>
    <row r="399" spans="1:19" x14ac:dyDescent="0.25">
      <c r="A399">
        <v>529</v>
      </c>
      <c r="B399">
        <v>1288</v>
      </c>
      <c r="C399" t="s">
        <v>35</v>
      </c>
      <c r="D399" t="s">
        <v>173</v>
      </c>
      <c r="E399">
        <v>24</v>
      </c>
      <c r="F399">
        <v>14.04</v>
      </c>
      <c r="G399">
        <v>3.2</v>
      </c>
      <c r="H399">
        <v>33.58</v>
      </c>
      <c r="I399">
        <v>0.8</v>
      </c>
      <c r="J399">
        <v>91.33</v>
      </c>
      <c r="K399">
        <f t="shared" si="56"/>
        <v>2191.92</v>
      </c>
      <c r="L399">
        <f t="shared" si="57"/>
        <v>2191.92</v>
      </c>
      <c r="M399">
        <f t="shared" si="54"/>
        <v>1078.2720000000002</v>
      </c>
      <c r="N399">
        <f t="shared" si="58"/>
        <v>269.56800000000004</v>
      </c>
      <c r="O399">
        <f t="shared" si="59"/>
        <v>1078.2720000000002</v>
      </c>
      <c r="P399">
        <f t="shared" si="60"/>
        <v>269.56800000000004</v>
      </c>
      <c r="Q399">
        <f t="shared" si="61"/>
        <v>275.06718720000003</v>
      </c>
      <c r="R399">
        <f t="shared" si="62"/>
        <v>644.7360000000001</v>
      </c>
      <c r="S399">
        <f t="shared" si="55"/>
        <v>2191.92</v>
      </c>
    </row>
    <row r="400" spans="1:19" x14ac:dyDescent="0.25">
      <c r="A400">
        <v>530</v>
      </c>
      <c r="B400">
        <v>1288</v>
      </c>
      <c r="C400" t="s">
        <v>35</v>
      </c>
      <c r="D400" t="s">
        <v>173</v>
      </c>
      <c r="E400">
        <v>12</v>
      </c>
      <c r="F400">
        <v>13.81</v>
      </c>
      <c r="G400">
        <v>2.97</v>
      </c>
      <c r="H400">
        <v>33.03</v>
      </c>
      <c r="I400">
        <v>0.79</v>
      </c>
      <c r="J400">
        <v>85.1</v>
      </c>
      <c r="K400">
        <f t="shared" si="56"/>
        <v>1021.1999999999999</v>
      </c>
      <c r="L400">
        <f t="shared" si="57"/>
        <v>1021.1999999999999</v>
      </c>
      <c r="M400">
        <f t="shared" si="54"/>
        <v>492.1884</v>
      </c>
      <c r="N400">
        <f t="shared" si="58"/>
        <v>123.0471</v>
      </c>
      <c r="O400">
        <f t="shared" si="59"/>
        <v>492.1884</v>
      </c>
      <c r="P400">
        <f t="shared" si="60"/>
        <v>123.0471</v>
      </c>
      <c r="Q400">
        <f t="shared" si="61"/>
        <v>125.55726084</v>
      </c>
      <c r="R400">
        <f t="shared" si="62"/>
        <v>313.12440000000004</v>
      </c>
      <c r="S400">
        <f t="shared" si="55"/>
        <v>1021.1999999999999</v>
      </c>
    </row>
    <row r="401" spans="1:19" x14ac:dyDescent="0.25">
      <c r="A401">
        <v>531</v>
      </c>
      <c r="B401">
        <v>1288</v>
      </c>
      <c r="C401" t="s">
        <v>35</v>
      </c>
      <c r="D401" t="s">
        <v>173</v>
      </c>
      <c r="E401">
        <v>10</v>
      </c>
      <c r="F401">
        <v>15.21</v>
      </c>
      <c r="G401">
        <v>2.84</v>
      </c>
      <c r="H401">
        <v>27.11</v>
      </c>
      <c r="I401">
        <v>0.79</v>
      </c>
      <c r="J401">
        <v>82.95</v>
      </c>
      <c r="K401">
        <f t="shared" si="56"/>
        <v>829.5</v>
      </c>
      <c r="L401">
        <f t="shared" si="57"/>
        <v>829.5</v>
      </c>
      <c r="M401">
        <f t="shared" si="54"/>
        <v>431.964</v>
      </c>
      <c r="N401">
        <f t="shared" si="58"/>
        <v>107.991</v>
      </c>
      <c r="O401">
        <f t="shared" si="59"/>
        <v>431.964</v>
      </c>
      <c r="P401">
        <f t="shared" si="60"/>
        <v>107.991</v>
      </c>
      <c r="Q401">
        <f t="shared" si="61"/>
        <v>110.1940164</v>
      </c>
      <c r="R401">
        <f t="shared" si="62"/>
        <v>214.16900000000001</v>
      </c>
      <c r="S401">
        <f t="shared" si="55"/>
        <v>829.5</v>
      </c>
    </row>
    <row r="402" spans="1:19" x14ac:dyDescent="0.25">
      <c r="A402">
        <v>532</v>
      </c>
      <c r="B402">
        <v>1288</v>
      </c>
      <c r="C402" t="s">
        <v>35</v>
      </c>
      <c r="D402" t="s">
        <v>173</v>
      </c>
      <c r="E402">
        <v>36</v>
      </c>
      <c r="F402">
        <v>15.16</v>
      </c>
      <c r="G402">
        <v>2.97</v>
      </c>
      <c r="H402">
        <v>24.05</v>
      </c>
      <c r="I402">
        <v>0.82</v>
      </c>
      <c r="J402">
        <v>83.6</v>
      </c>
      <c r="K402">
        <f t="shared" si="56"/>
        <v>3009.6</v>
      </c>
      <c r="L402">
        <f t="shared" si="57"/>
        <v>3009.6</v>
      </c>
      <c r="M402">
        <f t="shared" si="54"/>
        <v>1620.9072000000001</v>
      </c>
      <c r="N402">
        <f t="shared" si="58"/>
        <v>405.22680000000003</v>
      </c>
      <c r="O402">
        <f t="shared" si="59"/>
        <v>1620.9072000000001</v>
      </c>
      <c r="P402">
        <f t="shared" si="60"/>
        <v>405.22680000000003</v>
      </c>
      <c r="Q402">
        <f t="shared" si="61"/>
        <v>413.49342672</v>
      </c>
      <c r="R402">
        <f t="shared" si="62"/>
        <v>709.95600000000002</v>
      </c>
      <c r="S402">
        <f t="shared" si="55"/>
        <v>3009.6</v>
      </c>
    </row>
    <row r="403" spans="1:19" x14ac:dyDescent="0.25">
      <c r="A403">
        <v>533</v>
      </c>
      <c r="B403">
        <v>1289</v>
      </c>
      <c r="C403" t="s">
        <v>33</v>
      </c>
      <c r="D403" t="s">
        <v>173</v>
      </c>
      <c r="E403">
        <v>14</v>
      </c>
      <c r="F403">
        <v>15.71</v>
      </c>
      <c r="G403">
        <v>2.61</v>
      </c>
      <c r="H403">
        <v>33.53</v>
      </c>
      <c r="I403">
        <v>0.74</v>
      </c>
      <c r="J403">
        <v>83.67</v>
      </c>
      <c r="K403">
        <f t="shared" si="56"/>
        <v>1171.3800000000001</v>
      </c>
      <c r="L403">
        <f t="shared" si="57"/>
        <v>1171.3800000000001</v>
      </c>
      <c r="M403">
        <f t="shared" si="54"/>
        <v>574.04340000000002</v>
      </c>
      <c r="N403">
        <f t="shared" si="58"/>
        <v>143.51085</v>
      </c>
      <c r="O403">
        <f t="shared" si="59"/>
        <v>574.04340000000002</v>
      </c>
      <c r="P403">
        <f t="shared" si="60"/>
        <v>143.51085</v>
      </c>
      <c r="Q403">
        <f t="shared" si="61"/>
        <v>146.43847134000001</v>
      </c>
      <c r="R403">
        <f t="shared" si="62"/>
        <v>347.37079999999997</v>
      </c>
      <c r="S403">
        <f t="shared" si="55"/>
        <v>1171.3800000000001</v>
      </c>
    </row>
    <row r="404" spans="1:19" x14ac:dyDescent="0.25">
      <c r="A404">
        <v>534</v>
      </c>
      <c r="B404">
        <v>1289</v>
      </c>
      <c r="C404" t="s">
        <v>33</v>
      </c>
      <c r="D404" t="s">
        <v>173</v>
      </c>
      <c r="E404">
        <v>12</v>
      </c>
      <c r="F404">
        <v>14.58</v>
      </c>
      <c r="G404">
        <v>2.79</v>
      </c>
      <c r="H404">
        <v>27.57</v>
      </c>
      <c r="I404">
        <v>0.79</v>
      </c>
      <c r="J404">
        <v>79.89</v>
      </c>
      <c r="K404">
        <f t="shared" si="56"/>
        <v>958.68000000000006</v>
      </c>
      <c r="L404">
        <f t="shared" si="57"/>
        <v>958.68000000000006</v>
      </c>
      <c r="M404">
        <f t="shared" si="54"/>
        <v>488.13840000000005</v>
      </c>
      <c r="N404">
        <f t="shared" si="58"/>
        <v>122.03460000000001</v>
      </c>
      <c r="O404">
        <f t="shared" si="59"/>
        <v>488.13840000000005</v>
      </c>
      <c r="P404">
        <f t="shared" si="60"/>
        <v>122.03460000000001</v>
      </c>
      <c r="Q404">
        <f t="shared" si="61"/>
        <v>124.52410584</v>
      </c>
      <c r="R404">
        <f t="shared" si="62"/>
        <v>261.36360000000002</v>
      </c>
      <c r="S404">
        <f t="shared" si="55"/>
        <v>958.68000000000006</v>
      </c>
    </row>
    <row r="405" spans="1:19" x14ac:dyDescent="0.25">
      <c r="A405">
        <v>535</v>
      </c>
      <c r="B405">
        <v>1289</v>
      </c>
      <c r="C405" t="s">
        <v>33</v>
      </c>
      <c r="D405" t="s">
        <v>172</v>
      </c>
      <c r="E405">
        <v>14</v>
      </c>
      <c r="F405">
        <v>18.27</v>
      </c>
      <c r="G405">
        <v>10.41</v>
      </c>
      <c r="H405">
        <v>28.96</v>
      </c>
      <c r="I405">
        <v>1</v>
      </c>
      <c r="J405">
        <v>317.37</v>
      </c>
      <c r="K405">
        <f t="shared" si="56"/>
        <v>4443.18</v>
      </c>
      <c r="L405">
        <f t="shared" si="57"/>
        <v>0</v>
      </c>
      <c r="M405">
        <f t="shared" si="54"/>
        <v>0</v>
      </c>
      <c r="N405">
        <f t="shared" si="58"/>
        <v>0</v>
      </c>
      <c r="O405">
        <f t="shared" si="59"/>
        <v>2662.6698000000001</v>
      </c>
      <c r="P405">
        <f t="shared" si="60"/>
        <v>665.66745000000003</v>
      </c>
      <c r="Q405">
        <f t="shared" si="61"/>
        <v>679.24706598</v>
      </c>
      <c r="R405">
        <f t="shared" si="62"/>
        <v>405.44</v>
      </c>
      <c r="S405">
        <f t="shared" si="55"/>
        <v>4443.18</v>
      </c>
    </row>
    <row r="406" spans="1:19" x14ac:dyDescent="0.25">
      <c r="A406">
        <v>536</v>
      </c>
      <c r="B406">
        <v>1289</v>
      </c>
      <c r="C406" t="s">
        <v>33</v>
      </c>
      <c r="D406" t="s">
        <v>172</v>
      </c>
      <c r="E406">
        <v>14</v>
      </c>
      <c r="F406">
        <v>18.66</v>
      </c>
      <c r="G406">
        <v>11.34</v>
      </c>
      <c r="H406">
        <v>31.75</v>
      </c>
      <c r="I406">
        <v>1.03</v>
      </c>
      <c r="J406">
        <v>353.68</v>
      </c>
      <c r="K406">
        <f t="shared" si="56"/>
        <v>4951.5200000000004</v>
      </c>
      <c r="L406">
        <f t="shared" si="57"/>
        <v>0</v>
      </c>
      <c r="M406">
        <f t="shared" si="54"/>
        <v>0</v>
      </c>
      <c r="N406">
        <f t="shared" si="58"/>
        <v>0</v>
      </c>
      <c r="O406">
        <f t="shared" si="59"/>
        <v>2962.4615999999996</v>
      </c>
      <c r="P406">
        <f t="shared" si="60"/>
        <v>740.61539999999991</v>
      </c>
      <c r="Q406">
        <f t="shared" si="61"/>
        <v>755.72395415999983</v>
      </c>
      <c r="R406">
        <f t="shared" si="62"/>
        <v>457.83499999999998</v>
      </c>
      <c r="S406">
        <f t="shared" si="55"/>
        <v>4951.5200000000004</v>
      </c>
    </row>
    <row r="407" spans="1:19" x14ac:dyDescent="0.25">
      <c r="A407">
        <v>537</v>
      </c>
      <c r="B407">
        <v>1289</v>
      </c>
      <c r="C407" t="s">
        <v>33</v>
      </c>
      <c r="D407" t="s">
        <v>172</v>
      </c>
      <c r="E407">
        <v>20</v>
      </c>
      <c r="F407">
        <v>21.86</v>
      </c>
      <c r="G407">
        <v>11.35</v>
      </c>
      <c r="H407">
        <v>31.45</v>
      </c>
      <c r="I407">
        <v>0.97</v>
      </c>
      <c r="J407">
        <v>405.37</v>
      </c>
      <c r="K407">
        <f t="shared" si="56"/>
        <v>8107.4</v>
      </c>
      <c r="L407">
        <f t="shared" si="57"/>
        <v>0</v>
      </c>
      <c r="M407">
        <f t="shared" si="54"/>
        <v>0</v>
      </c>
      <c r="N407">
        <f t="shared" si="58"/>
        <v>0</v>
      </c>
      <c r="O407">
        <f t="shared" si="59"/>
        <v>4962.22</v>
      </c>
      <c r="P407">
        <f t="shared" si="60"/>
        <v>1240.5550000000001</v>
      </c>
      <c r="Q407">
        <f t="shared" si="61"/>
        <v>1265.8623219999999</v>
      </c>
      <c r="R407">
        <f t="shared" si="62"/>
        <v>610.13</v>
      </c>
      <c r="S407">
        <f t="shared" si="55"/>
        <v>8107.4</v>
      </c>
    </row>
    <row r="408" spans="1:19" x14ac:dyDescent="0.25">
      <c r="A408">
        <v>538</v>
      </c>
      <c r="B408">
        <v>1289</v>
      </c>
      <c r="C408" t="s">
        <v>33</v>
      </c>
      <c r="D408" t="s">
        <v>173</v>
      </c>
      <c r="E408">
        <v>17</v>
      </c>
      <c r="F408">
        <v>15.71</v>
      </c>
      <c r="G408">
        <v>2.73</v>
      </c>
      <c r="H408">
        <v>27.43</v>
      </c>
      <c r="I408">
        <v>0.77</v>
      </c>
      <c r="J408">
        <v>82.2</v>
      </c>
      <c r="K408">
        <f t="shared" si="56"/>
        <v>1397.4</v>
      </c>
      <c r="L408">
        <f t="shared" si="57"/>
        <v>1397.4</v>
      </c>
      <c r="M408">
        <f t="shared" si="54"/>
        <v>729.10109999999997</v>
      </c>
      <c r="N408">
        <f t="shared" si="58"/>
        <v>182.27527499999999</v>
      </c>
      <c r="O408">
        <f t="shared" si="59"/>
        <v>729.10109999999997</v>
      </c>
      <c r="P408">
        <f t="shared" si="60"/>
        <v>182.27527499999999</v>
      </c>
      <c r="Q408">
        <f t="shared" si="61"/>
        <v>185.99369060999999</v>
      </c>
      <c r="R408">
        <f t="shared" si="62"/>
        <v>359.05869999999999</v>
      </c>
      <c r="S408">
        <f t="shared" si="55"/>
        <v>1397.4</v>
      </c>
    </row>
    <row r="409" spans="1:19" x14ac:dyDescent="0.25">
      <c r="A409">
        <v>539</v>
      </c>
      <c r="B409">
        <v>1289</v>
      </c>
      <c r="C409" t="s">
        <v>33</v>
      </c>
      <c r="D409" t="s">
        <v>172</v>
      </c>
      <c r="E409">
        <v>11</v>
      </c>
      <c r="F409">
        <v>18.600000000000001</v>
      </c>
      <c r="G409">
        <v>11.22</v>
      </c>
      <c r="H409">
        <v>32.43</v>
      </c>
      <c r="I409">
        <v>0.88</v>
      </c>
      <c r="J409">
        <v>344.39</v>
      </c>
      <c r="K409">
        <f t="shared" si="56"/>
        <v>3788.29</v>
      </c>
      <c r="L409">
        <f t="shared" si="57"/>
        <v>0</v>
      </c>
      <c r="M409">
        <f t="shared" si="54"/>
        <v>0</v>
      </c>
      <c r="N409">
        <f t="shared" si="58"/>
        <v>0</v>
      </c>
      <c r="O409">
        <f t="shared" si="59"/>
        <v>2295.6120000000001</v>
      </c>
      <c r="P409">
        <f t="shared" si="60"/>
        <v>573.90300000000002</v>
      </c>
      <c r="Q409">
        <f t="shared" si="61"/>
        <v>585.61062119999997</v>
      </c>
      <c r="R409">
        <f t="shared" si="62"/>
        <v>313.92239999999998</v>
      </c>
      <c r="S409">
        <f t="shared" si="55"/>
        <v>3788.29</v>
      </c>
    </row>
    <row r="410" spans="1:19" x14ac:dyDescent="0.25">
      <c r="A410">
        <v>540</v>
      </c>
      <c r="B410">
        <v>1289</v>
      </c>
      <c r="C410" t="s">
        <v>33</v>
      </c>
      <c r="D410" t="s">
        <v>172</v>
      </c>
      <c r="E410">
        <v>16</v>
      </c>
      <c r="F410">
        <v>19.23</v>
      </c>
      <c r="G410">
        <v>11.33</v>
      </c>
      <c r="H410">
        <v>39.36</v>
      </c>
      <c r="I410">
        <v>1.18</v>
      </c>
      <c r="J410">
        <v>379.36</v>
      </c>
      <c r="K410">
        <f t="shared" si="56"/>
        <v>6069.76</v>
      </c>
      <c r="L410">
        <f t="shared" si="57"/>
        <v>0</v>
      </c>
      <c r="M410">
        <f t="shared" si="54"/>
        <v>0</v>
      </c>
      <c r="N410">
        <f t="shared" si="58"/>
        <v>0</v>
      </c>
      <c r="O410">
        <f t="shared" si="59"/>
        <v>3486.0144</v>
      </c>
      <c r="P410">
        <f t="shared" si="60"/>
        <v>871.50360000000001</v>
      </c>
      <c r="Q410">
        <f t="shared" si="61"/>
        <v>889.28227343999993</v>
      </c>
      <c r="R410">
        <f t="shared" si="62"/>
        <v>743.1167999999999</v>
      </c>
      <c r="S410">
        <f t="shared" si="55"/>
        <v>6069.76</v>
      </c>
    </row>
    <row r="411" spans="1:19" x14ac:dyDescent="0.25">
      <c r="A411">
        <v>541</v>
      </c>
      <c r="B411">
        <v>1290</v>
      </c>
      <c r="C411" t="s">
        <v>33</v>
      </c>
      <c r="D411" t="s">
        <v>172</v>
      </c>
      <c r="E411">
        <v>20</v>
      </c>
      <c r="F411">
        <v>20.079999999999998</v>
      </c>
      <c r="G411">
        <v>10.48</v>
      </c>
      <c r="H411">
        <v>29.3</v>
      </c>
      <c r="I411">
        <v>1.03</v>
      </c>
      <c r="J411">
        <v>348.94</v>
      </c>
      <c r="K411">
        <f t="shared" si="56"/>
        <v>6978.8</v>
      </c>
      <c r="L411">
        <f t="shared" si="57"/>
        <v>0</v>
      </c>
      <c r="M411">
        <f t="shared" si="54"/>
        <v>0</v>
      </c>
      <c r="N411">
        <f t="shared" si="58"/>
        <v>0</v>
      </c>
      <c r="O411">
        <f t="shared" si="59"/>
        <v>4208.768</v>
      </c>
      <c r="P411">
        <f t="shared" si="60"/>
        <v>1052.192</v>
      </c>
      <c r="Q411">
        <f t="shared" si="61"/>
        <v>1073.6567167999999</v>
      </c>
      <c r="R411">
        <f t="shared" si="62"/>
        <v>603.58000000000004</v>
      </c>
      <c r="S411">
        <f t="shared" si="55"/>
        <v>6978.8</v>
      </c>
    </row>
    <row r="412" spans="1:19" x14ac:dyDescent="0.25">
      <c r="A412">
        <v>542</v>
      </c>
      <c r="B412">
        <v>1290</v>
      </c>
      <c r="C412" t="s">
        <v>33</v>
      </c>
      <c r="D412" t="s">
        <v>172</v>
      </c>
      <c r="E412">
        <v>17</v>
      </c>
      <c r="F412">
        <v>19.64</v>
      </c>
      <c r="G412">
        <v>10.8</v>
      </c>
      <c r="H412">
        <v>36.74</v>
      </c>
      <c r="I412">
        <v>1.05</v>
      </c>
      <c r="J412">
        <v>361.42</v>
      </c>
      <c r="K412">
        <f t="shared" si="56"/>
        <v>6144.14</v>
      </c>
      <c r="L412">
        <f t="shared" si="57"/>
        <v>0</v>
      </c>
      <c r="M412">
        <f t="shared" si="54"/>
        <v>0</v>
      </c>
      <c r="N412">
        <f t="shared" si="58"/>
        <v>0</v>
      </c>
      <c r="O412">
        <f t="shared" si="59"/>
        <v>3605.9040000000005</v>
      </c>
      <c r="P412">
        <f t="shared" si="60"/>
        <v>901.47600000000011</v>
      </c>
      <c r="Q412">
        <f t="shared" si="61"/>
        <v>919.86611040000014</v>
      </c>
      <c r="R412">
        <f t="shared" si="62"/>
        <v>655.80900000000008</v>
      </c>
      <c r="S412">
        <f t="shared" si="55"/>
        <v>6144.14</v>
      </c>
    </row>
    <row r="413" spans="1:19" x14ac:dyDescent="0.25">
      <c r="A413">
        <v>543</v>
      </c>
      <c r="B413">
        <v>1290</v>
      </c>
      <c r="C413" t="s">
        <v>33</v>
      </c>
      <c r="D413" t="s">
        <v>173</v>
      </c>
      <c r="E413">
        <v>16</v>
      </c>
      <c r="F413">
        <v>14.73</v>
      </c>
      <c r="G413">
        <v>2.62</v>
      </c>
      <c r="H413">
        <v>31.24</v>
      </c>
      <c r="I413">
        <v>0.84</v>
      </c>
      <c r="J413">
        <v>81.93</v>
      </c>
      <c r="K413">
        <f t="shared" si="56"/>
        <v>1310.88</v>
      </c>
      <c r="L413">
        <f t="shared" si="57"/>
        <v>1310.88</v>
      </c>
      <c r="M413">
        <f t="shared" si="54"/>
        <v>617.48160000000007</v>
      </c>
      <c r="N413">
        <f t="shared" si="58"/>
        <v>154.37040000000002</v>
      </c>
      <c r="O413">
        <f t="shared" si="59"/>
        <v>617.48160000000007</v>
      </c>
      <c r="P413">
        <f t="shared" si="60"/>
        <v>154.37040000000002</v>
      </c>
      <c r="Q413">
        <f t="shared" si="61"/>
        <v>157.51955616000001</v>
      </c>
      <c r="R413">
        <f t="shared" si="62"/>
        <v>419.86559999999997</v>
      </c>
      <c r="S413">
        <f t="shared" si="55"/>
        <v>1310.88</v>
      </c>
    </row>
    <row r="414" spans="1:19" x14ac:dyDescent="0.25">
      <c r="A414">
        <v>544</v>
      </c>
      <c r="B414">
        <v>1290</v>
      </c>
      <c r="C414" t="s">
        <v>33</v>
      </c>
      <c r="D414" t="s">
        <v>172</v>
      </c>
      <c r="E414">
        <v>12</v>
      </c>
      <c r="F414">
        <v>20.89</v>
      </c>
      <c r="G414">
        <v>10.18</v>
      </c>
      <c r="H414">
        <v>32.58</v>
      </c>
      <c r="I414">
        <v>1.1200000000000001</v>
      </c>
      <c r="J414">
        <v>359.76</v>
      </c>
      <c r="K414">
        <f t="shared" si="56"/>
        <v>4317.12</v>
      </c>
      <c r="L414">
        <f t="shared" si="57"/>
        <v>0</v>
      </c>
      <c r="M414">
        <f t="shared" si="54"/>
        <v>0</v>
      </c>
      <c r="N414">
        <f t="shared" si="58"/>
        <v>0</v>
      </c>
      <c r="O414">
        <f t="shared" si="59"/>
        <v>2551.9223999999999</v>
      </c>
      <c r="P414">
        <f t="shared" si="60"/>
        <v>637.98059999999998</v>
      </c>
      <c r="Q414">
        <f t="shared" si="61"/>
        <v>650.99540423999997</v>
      </c>
      <c r="R414">
        <f t="shared" si="62"/>
        <v>437.87520000000001</v>
      </c>
      <c r="S414">
        <f t="shared" si="55"/>
        <v>4317.12</v>
      </c>
    </row>
    <row r="415" spans="1:19" x14ac:dyDescent="0.25">
      <c r="A415">
        <v>545</v>
      </c>
      <c r="B415">
        <v>1290</v>
      </c>
      <c r="C415" t="s">
        <v>33</v>
      </c>
      <c r="D415" t="s">
        <v>173</v>
      </c>
      <c r="E415">
        <v>13</v>
      </c>
      <c r="F415">
        <v>16.079999999999998</v>
      </c>
      <c r="G415">
        <v>2.61</v>
      </c>
      <c r="H415">
        <v>28.85</v>
      </c>
      <c r="I415">
        <v>0.81</v>
      </c>
      <c r="J415">
        <v>83.41</v>
      </c>
      <c r="K415">
        <f t="shared" si="56"/>
        <v>1084.33</v>
      </c>
      <c r="L415">
        <f t="shared" si="57"/>
        <v>1084.33</v>
      </c>
      <c r="M415">
        <f t="shared" si="54"/>
        <v>545.59439999999995</v>
      </c>
      <c r="N415">
        <f t="shared" si="58"/>
        <v>136.39859999999999</v>
      </c>
      <c r="O415">
        <f t="shared" si="59"/>
        <v>545.59439999999995</v>
      </c>
      <c r="P415">
        <f t="shared" si="60"/>
        <v>136.39859999999999</v>
      </c>
      <c r="Q415">
        <f t="shared" si="61"/>
        <v>139.18113143999997</v>
      </c>
      <c r="R415">
        <f t="shared" si="62"/>
        <v>303.79050000000007</v>
      </c>
      <c r="S415">
        <f t="shared" si="55"/>
        <v>1084.33</v>
      </c>
    </row>
    <row r="416" spans="1:19" x14ac:dyDescent="0.25">
      <c r="A416">
        <v>546</v>
      </c>
      <c r="B416">
        <v>1290</v>
      </c>
      <c r="C416" t="s">
        <v>33</v>
      </c>
      <c r="D416" t="s">
        <v>173</v>
      </c>
      <c r="E416">
        <v>11</v>
      </c>
      <c r="F416">
        <v>14.28</v>
      </c>
      <c r="G416">
        <v>2.99</v>
      </c>
      <c r="H416">
        <v>31.87</v>
      </c>
      <c r="I416">
        <v>0.82</v>
      </c>
      <c r="J416">
        <v>87.46</v>
      </c>
      <c r="K416">
        <f t="shared" si="56"/>
        <v>962.06</v>
      </c>
      <c r="L416">
        <f t="shared" si="57"/>
        <v>962.06</v>
      </c>
      <c r="M416">
        <f t="shared" si="54"/>
        <v>469.66919999999999</v>
      </c>
      <c r="N416">
        <f t="shared" si="58"/>
        <v>117.4173</v>
      </c>
      <c r="O416">
        <f t="shared" si="59"/>
        <v>469.66919999999999</v>
      </c>
      <c r="P416">
        <f t="shared" si="60"/>
        <v>117.4173</v>
      </c>
      <c r="Q416">
        <f t="shared" si="61"/>
        <v>119.81261291999999</v>
      </c>
      <c r="R416">
        <f t="shared" si="62"/>
        <v>287.4674</v>
      </c>
      <c r="S416">
        <f t="shared" si="55"/>
        <v>962.06</v>
      </c>
    </row>
    <row r="417" spans="1:19" x14ac:dyDescent="0.25">
      <c r="A417">
        <v>547</v>
      </c>
      <c r="B417">
        <v>1290</v>
      </c>
      <c r="C417" t="s">
        <v>33</v>
      </c>
      <c r="D417" t="s">
        <v>172</v>
      </c>
      <c r="E417">
        <v>10</v>
      </c>
      <c r="F417">
        <v>20.62</v>
      </c>
      <c r="G417">
        <v>11.09</v>
      </c>
      <c r="H417">
        <v>35.200000000000003</v>
      </c>
      <c r="I417">
        <v>0.87</v>
      </c>
      <c r="J417">
        <v>376.6</v>
      </c>
      <c r="K417">
        <f t="shared" si="56"/>
        <v>3766</v>
      </c>
      <c r="L417">
        <f t="shared" si="57"/>
        <v>0</v>
      </c>
      <c r="M417">
        <f t="shared" si="54"/>
        <v>0</v>
      </c>
      <c r="N417">
        <f t="shared" si="58"/>
        <v>0</v>
      </c>
      <c r="O417">
        <f t="shared" si="59"/>
        <v>2286.7580000000003</v>
      </c>
      <c r="P417">
        <f t="shared" si="60"/>
        <v>571.68950000000007</v>
      </c>
      <c r="Q417">
        <f t="shared" si="61"/>
        <v>583.35196580000002</v>
      </c>
      <c r="R417">
        <f t="shared" si="62"/>
        <v>306.24</v>
      </c>
      <c r="S417">
        <f t="shared" si="55"/>
        <v>3766</v>
      </c>
    </row>
    <row r="418" spans="1:19" x14ac:dyDescent="0.25">
      <c r="A418">
        <v>548</v>
      </c>
      <c r="B418">
        <v>1291</v>
      </c>
      <c r="C418" t="s">
        <v>32</v>
      </c>
      <c r="D418" t="s">
        <v>173</v>
      </c>
      <c r="E418">
        <v>17</v>
      </c>
      <c r="F418">
        <v>13.55</v>
      </c>
      <c r="G418">
        <v>2.77</v>
      </c>
      <c r="H418">
        <v>31.32</v>
      </c>
      <c r="I418">
        <v>0.78</v>
      </c>
      <c r="J418">
        <v>69.92</v>
      </c>
      <c r="K418">
        <f t="shared" si="56"/>
        <v>1188.6400000000001</v>
      </c>
      <c r="L418">
        <f t="shared" si="57"/>
        <v>1188.6400000000001</v>
      </c>
      <c r="M418">
        <f t="shared" si="54"/>
        <v>638.06950000000006</v>
      </c>
      <c r="N418">
        <f t="shared" si="58"/>
        <v>159.51737500000002</v>
      </c>
      <c r="O418">
        <f t="shared" si="59"/>
        <v>638.06950000000006</v>
      </c>
      <c r="P418">
        <f t="shared" si="60"/>
        <v>159.51737500000002</v>
      </c>
      <c r="Q418">
        <f t="shared" si="61"/>
        <v>162.77152945</v>
      </c>
      <c r="R418">
        <f t="shared" si="62"/>
        <v>415.3032</v>
      </c>
      <c r="S418">
        <f t="shared" si="55"/>
        <v>1188.6400000000001</v>
      </c>
    </row>
    <row r="419" spans="1:19" x14ac:dyDescent="0.25">
      <c r="A419">
        <v>549</v>
      </c>
      <c r="B419">
        <v>1291</v>
      </c>
      <c r="C419" t="s">
        <v>32</v>
      </c>
      <c r="D419" t="s">
        <v>173</v>
      </c>
      <c r="E419">
        <v>13</v>
      </c>
      <c r="F419">
        <v>14.31</v>
      </c>
      <c r="G419">
        <v>2.83</v>
      </c>
      <c r="H419">
        <v>28.44</v>
      </c>
      <c r="I419">
        <v>0.79</v>
      </c>
      <c r="J419">
        <v>80.400000000000006</v>
      </c>
      <c r="K419">
        <f t="shared" si="56"/>
        <v>1045.2</v>
      </c>
      <c r="L419">
        <f t="shared" si="57"/>
        <v>1045.2</v>
      </c>
      <c r="M419">
        <f t="shared" si="54"/>
        <v>526.46490000000006</v>
      </c>
      <c r="N419">
        <f t="shared" si="58"/>
        <v>131.61622500000001</v>
      </c>
      <c r="O419">
        <f t="shared" si="59"/>
        <v>526.46490000000006</v>
      </c>
      <c r="P419">
        <f t="shared" si="60"/>
        <v>131.61622500000001</v>
      </c>
      <c r="Q419">
        <f t="shared" si="61"/>
        <v>134.30119599000002</v>
      </c>
      <c r="R419">
        <f t="shared" si="62"/>
        <v>292.0788</v>
      </c>
      <c r="S419">
        <f t="shared" si="55"/>
        <v>1045.2</v>
      </c>
    </row>
    <row r="420" spans="1:19" x14ac:dyDescent="0.25">
      <c r="A420">
        <v>550</v>
      </c>
      <c r="B420">
        <v>1291</v>
      </c>
      <c r="C420" t="s">
        <v>32</v>
      </c>
      <c r="D420" t="s">
        <v>172</v>
      </c>
      <c r="E420">
        <v>8</v>
      </c>
      <c r="F420">
        <v>19.059999999999999</v>
      </c>
      <c r="G420">
        <v>10.72</v>
      </c>
      <c r="H420">
        <v>29.05</v>
      </c>
      <c r="I420">
        <v>0.97</v>
      </c>
      <c r="J420">
        <v>337.46</v>
      </c>
      <c r="K420">
        <f t="shared" si="56"/>
        <v>2699.68</v>
      </c>
      <c r="L420">
        <f t="shared" si="57"/>
        <v>0</v>
      </c>
      <c r="M420">
        <f t="shared" si="54"/>
        <v>0</v>
      </c>
      <c r="N420">
        <f t="shared" si="58"/>
        <v>0</v>
      </c>
      <c r="O420">
        <f t="shared" si="59"/>
        <v>1634.5855999999999</v>
      </c>
      <c r="P420">
        <f t="shared" si="60"/>
        <v>408.64639999999997</v>
      </c>
      <c r="Q420">
        <f t="shared" si="61"/>
        <v>416.98278655999997</v>
      </c>
      <c r="R420">
        <f t="shared" si="62"/>
        <v>225.428</v>
      </c>
      <c r="S420">
        <f t="shared" si="55"/>
        <v>2699.68</v>
      </c>
    </row>
    <row r="421" spans="1:19" x14ac:dyDescent="0.25">
      <c r="A421">
        <v>551</v>
      </c>
      <c r="B421">
        <v>1291</v>
      </c>
      <c r="C421" t="s">
        <v>32</v>
      </c>
      <c r="D421" t="s">
        <v>172</v>
      </c>
      <c r="E421">
        <v>18</v>
      </c>
      <c r="F421">
        <v>19.23</v>
      </c>
      <c r="G421">
        <v>11.02</v>
      </c>
      <c r="H421">
        <v>32.82</v>
      </c>
      <c r="I421">
        <v>1.04</v>
      </c>
      <c r="J421">
        <v>355.84</v>
      </c>
      <c r="K421">
        <f t="shared" si="56"/>
        <v>6405.12</v>
      </c>
      <c r="L421">
        <f t="shared" si="57"/>
        <v>0</v>
      </c>
      <c r="M421">
        <f t="shared" si="54"/>
        <v>0</v>
      </c>
      <c r="N421">
        <f t="shared" si="58"/>
        <v>0</v>
      </c>
      <c r="O421">
        <f t="shared" si="59"/>
        <v>3814.4627999999998</v>
      </c>
      <c r="P421">
        <f t="shared" si="60"/>
        <v>953.61569999999995</v>
      </c>
      <c r="Q421">
        <f t="shared" si="61"/>
        <v>973.06946027999993</v>
      </c>
      <c r="R421">
        <f t="shared" si="62"/>
        <v>614.3904</v>
      </c>
      <c r="S421">
        <f t="shared" si="55"/>
        <v>6405.12</v>
      </c>
    </row>
    <row r="422" spans="1:19" x14ac:dyDescent="0.25">
      <c r="A422">
        <v>552</v>
      </c>
      <c r="B422">
        <v>1291</v>
      </c>
      <c r="C422" t="s">
        <v>32</v>
      </c>
      <c r="D422" t="s">
        <v>172</v>
      </c>
      <c r="E422">
        <v>13</v>
      </c>
      <c r="F422">
        <v>18.37</v>
      </c>
      <c r="G422">
        <v>10.01</v>
      </c>
      <c r="H422">
        <v>31.27</v>
      </c>
      <c r="I422">
        <v>1.02</v>
      </c>
      <c r="J422">
        <v>311.48</v>
      </c>
      <c r="K422">
        <f t="shared" si="56"/>
        <v>4049.2400000000002</v>
      </c>
      <c r="L422">
        <f t="shared" si="57"/>
        <v>0</v>
      </c>
      <c r="M422">
        <f t="shared" si="54"/>
        <v>0</v>
      </c>
      <c r="N422">
        <f t="shared" si="58"/>
        <v>0</v>
      </c>
      <c r="O422">
        <f t="shared" si="59"/>
        <v>2390.4881</v>
      </c>
      <c r="P422">
        <f t="shared" si="60"/>
        <v>597.62202500000001</v>
      </c>
      <c r="Q422">
        <f t="shared" si="61"/>
        <v>609.81351430999996</v>
      </c>
      <c r="R422">
        <f t="shared" si="62"/>
        <v>414.64019999999999</v>
      </c>
      <c r="S422">
        <f t="shared" si="55"/>
        <v>4049.2400000000002</v>
      </c>
    </row>
    <row r="423" spans="1:19" x14ac:dyDescent="0.25">
      <c r="A423">
        <v>553</v>
      </c>
      <c r="B423">
        <v>1291</v>
      </c>
      <c r="C423" t="s">
        <v>32</v>
      </c>
      <c r="D423" t="s">
        <v>172</v>
      </c>
      <c r="E423">
        <v>14</v>
      </c>
      <c r="F423">
        <v>20.76</v>
      </c>
      <c r="G423">
        <v>12.35</v>
      </c>
      <c r="H423">
        <v>30.78</v>
      </c>
      <c r="I423">
        <v>1</v>
      </c>
      <c r="J423">
        <v>418</v>
      </c>
      <c r="K423">
        <f t="shared" si="56"/>
        <v>5852</v>
      </c>
      <c r="L423">
        <f t="shared" si="57"/>
        <v>0</v>
      </c>
      <c r="M423">
        <f t="shared" si="54"/>
        <v>0</v>
      </c>
      <c r="N423">
        <f t="shared" si="58"/>
        <v>0</v>
      </c>
      <c r="O423">
        <f t="shared" si="59"/>
        <v>3589.4040000000005</v>
      </c>
      <c r="P423">
        <f t="shared" si="60"/>
        <v>897.35100000000011</v>
      </c>
      <c r="Q423">
        <f t="shared" si="61"/>
        <v>915.65696040000012</v>
      </c>
      <c r="R423">
        <f t="shared" si="62"/>
        <v>430.92</v>
      </c>
      <c r="S423">
        <f t="shared" si="55"/>
        <v>5852</v>
      </c>
    </row>
    <row r="424" spans="1:19" x14ac:dyDescent="0.25">
      <c r="A424">
        <v>554</v>
      </c>
      <c r="B424">
        <v>1291</v>
      </c>
      <c r="C424" t="s">
        <v>32</v>
      </c>
      <c r="D424" t="s">
        <v>172</v>
      </c>
      <c r="E424">
        <v>10</v>
      </c>
      <c r="F424">
        <v>19.829999999999998</v>
      </c>
      <c r="G424">
        <v>11.31</v>
      </c>
      <c r="H424">
        <v>31.57</v>
      </c>
      <c r="I424">
        <v>1.03</v>
      </c>
      <c r="J424">
        <v>372.31</v>
      </c>
      <c r="K424">
        <f t="shared" si="56"/>
        <v>3723.1</v>
      </c>
      <c r="L424">
        <f t="shared" si="57"/>
        <v>0</v>
      </c>
      <c r="M424">
        <f t="shared" si="54"/>
        <v>0</v>
      </c>
      <c r="N424">
        <f t="shared" si="58"/>
        <v>0</v>
      </c>
      <c r="O424">
        <f t="shared" si="59"/>
        <v>2242.7730000000001</v>
      </c>
      <c r="P424">
        <f t="shared" si="60"/>
        <v>560.69325000000003</v>
      </c>
      <c r="Q424">
        <f t="shared" si="61"/>
        <v>572.13139230000002</v>
      </c>
      <c r="R424">
        <f t="shared" si="62"/>
        <v>325.17100000000005</v>
      </c>
      <c r="S424">
        <f t="shared" si="55"/>
        <v>3723.1</v>
      </c>
    </row>
    <row r="425" spans="1:19" x14ac:dyDescent="0.25">
      <c r="A425">
        <v>555</v>
      </c>
      <c r="B425">
        <v>1292</v>
      </c>
      <c r="C425" t="s">
        <v>35</v>
      </c>
      <c r="D425" t="s">
        <v>173</v>
      </c>
      <c r="E425">
        <v>80</v>
      </c>
      <c r="F425">
        <v>14.59</v>
      </c>
      <c r="G425">
        <v>3.31</v>
      </c>
      <c r="H425">
        <v>33.270000000000003</v>
      </c>
      <c r="I425">
        <v>0.82</v>
      </c>
      <c r="J425">
        <v>96.41</v>
      </c>
      <c r="K425">
        <f t="shared" si="56"/>
        <v>7712.7999999999993</v>
      </c>
      <c r="L425">
        <f t="shared" si="57"/>
        <v>7712.7999999999993</v>
      </c>
      <c r="M425">
        <f t="shared" si="54"/>
        <v>3863.4320000000002</v>
      </c>
      <c r="N425">
        <f t="shared" si="58"/>
        <v>965.85800000000006</v>
      </c>
      <c r="O425">
        <f t="shared" si="59"/>
        <v>3863.4320000000002</v>
      </c>
      <c r="P425">
        <f t="shared" si="60"/>
        <v>965.85800000000006</v>
      </c>
      <c r="Q425">
        <f t="shared" si="61"/>
        <v>985.56150320000006</v>
      </c>
      <c r="R425">
        <f t="shared" si="62"/>
        <v>2182.5120000000002</v>
      </c>
      <c r="S425">
        <f t="shared" si="55"/>
        <v>7712.7999999999993</v>
      </c>
    </row>
    <row r="426" spans="1:19" x14ac:dyDescent="0.25">
      <c r="A426">
        <v>556</v>
      </c>
      <c r="B426">
        <v>1292</v>
      </c>
      <c r="C426" t="s">
        <v>35</v>
      </c>
      <c r="D426" t="s">
        <v>172</v>
      </c>
      <c r="E426">
        <v>55</v>
      </c>
      <c r="F426">
        <v>18.079999999999998</v>
      </c>
      <c r="G426">
        <v>10.17</v>
      </c>
      <c r="H426">
        <v>31.3</v>
      </c>
      <c r="I426">
        <v>0.95</v>
      </c>
      <c r="J426">
        <v>308.89999999999998</v>
      </c>
      <c r="K426">
        <f t="shared" si="56"/>
        <v>16989.5</v>
      </c>
      <c r="L426">
        <f t="shared" si="57"/>
        <v>0</v>
      </c>
      <c r="M426">
        <f t="shared" si="54"/>
        <v>0</v>
      </c>
      <c r="N426">
        <f t="shared" si="58"/>
        <v>0</v>
      </c>
      <c r="O426">
        <f t="shared" si="59"/>
        <v>10113.047999999999</v>
      </c>
      <c r="P426">
        <f t="shared" si="60"/>
        <v>2528.2619999999997</v>
      </c>
      <c r="Q426">
        <f t="shared" si="61"/>
        <v>2579.8385447999995</v>
      </c>
      <c r="R426">
        <f t="shared" si="62"/>
        <v>1635.425</v>
      </c>
      <c r="S426">
        <f t="shared" si="55"/>
        <v>16989.5</v>
      </c>
    </row>
    <row r="427" spans="1:19" x14ac:dyDescent="0.25">
      <c r="A427">
        <v>557</v>
      </c>
      <c r="B427">
        <v>1292</v>
      </c>
      <c r="C427" t="s">
        <v>35</v>
      </c>
      <c r="D427" t="s">
        <v>173</v>
      </c>
      <c r="E427">
        <v>13</v>
      </c>
      <c r="F427">
        <v>14.77</v>
      </c>
      <c r="G427">
        <v>3.04</v>
      </c>
      <c r="H427">
        <v>30.83</v>
      </c>
      <c r="I427">
        <v>0.8</v>
      </c>
      <c r="J427">
        <v>88.87</v>
      </c>
      <c r="K427">
        <f t="shared" si="56"/>
        <v>1155.31</v>
      </c>
      <c r="L427">
        <f t="shared" si="57"/>
        <v>1155.31</v>
      </c>
      <c r="M427">
        <f t="shared" si="54"/>
        <v>583.71040000000005</v>
      </c>
      <c r="N427">
        <f t="shared" si="58"/>
        <v>145.92760000000001</v>
      </c>
      <c r="O427">
        <f t="shared" si="59"/>
        <v>583.71040000000005</v>
      </c>
      <c r="P427">
        <f t="shared" si="60"/>
        <v>145.92760000000001</v>
      </c>
      <c r="Q427">
        <f t="shared" si="61"/>
        <v>148.90452304000002</v>
      </c>
      <c r="R427">
        <f t="shared" si="62"/>
        <v>320.63200000000001</v>
      </c>
      <c r="S427">
        <f t="shared" si="55"/>
        <v>1155.31</v>
      </c>
    </row>
    <row r="428" spans="1:19" x14ac:dyDescent="0.25">
      <c r="A428">
        <v>558</v>
      </c>
      <c r="B428">
        <v>1292</v>
      </c>
      <c r="C428" t="s">
        <v>35</v>
      </c>
      <c r="D428" t="s">
        <v>172</v>
      </c>
      <c r="E428">
        <v>10</v>
      </c>
      <c r="F428">
        <v>18.41</v>
      </c>
      <c r="G428">
        <v>11.62</v>
      </c>
      <c r="H428">
        <v>33.58</v>
      </c>
      <c r="I428">
        <v>1.08</v>
      </c>
      <c r="J428">
        <v>361.37</v>
      </c>
      <c r="K428">
        <f t="shared" si="56"/>
        <v>3613.7</v>
      </c>
      <c r="L428">
        <f t="shared" si="57"/>
        <v>0</v>
      </c>
      <c r="M428">
        <f t="shared" si="54"/>
        <v>0</v>
      </c>
      <c r="N428">
        <f t="shared" si="58"/>
        <v>0</v>
      </c>
      <c r="O428">
        <f t="shared" si="59"/>
        <v>2139.2419999999997</v>
      </c>
      <c r="P428">
        <f t="shared" si="60"/>
        <v>534.81049999999993</v>
      </c>
      <c r="Q428">
        <f t="shared" si="61"/>
        <v>545.72063419999995</v>
      </c>
      <c r="R428">
        <f t="shared" si="62"/>
        <v>362.66399999999999</v>
      </c>
      <c r="S428">
        <f t="shared" si="55"/>
        <v>3613.7</v>
      </c>
    </row>
    <row r="429" spans="1:19" x14ac:dyDescent="0.25">
      <c r="A429">
        <v>559</v>
      </c>
      <c r="B429">
        <v>1292</v>
      </c>
      <c r="C429" t="s">
        <v>35</v>
      </c>
      <c r="D429" t="s">
        <v>173</v>
      </c>
      <c r="E429">
        <v>14</v>
      </c>
      <c r="F429">
        <v>15.69</v>
      </c>
      <c r="G429">
        <v>2.64</v>
      </c>
      <c r="H429">
        <v>31.48</v>
      </c>
      <c r="I429">
        <v>0.79</v>
      </c>
      <c r="J429">
        <v>84.31</v>
      </c>
      <c r="K429">
        <f t="shared" si="56"/>
        <v>1180.3400000000001</v>
      </c>
      <c r="L429">
        <f t="shared" si="57"/>
        <v>1180.3400000000001</v>
      </c>
      <c r="M429">
        <f t="shared" si="54"/>
        <v>579.90239999999994</v>
      </c>
      <c r="N429">
        <f t="shared" si="58"/>
        <v>144.97559999999999</v>
      </c>
      <c r="O429">
        <f t="shared" si="59"/>
        <v>579.90239999999994</v>
      </c>
      <c r="P429">
        <f t="shared" si="60"/>
        <v>144.97559999999999</v>
      </c>
      <c r="Q429">
        <f t="shared" si="61"/>
        <v>147.93310223999998</v>
      </c>
      <c r="R429">
        <f t="shared" si="62"/>
        <v>348.16880000000003</v>
      </c>
      <c r="S429">
        <f t="shared" si="55"/>
        <v>1180.3400000000001</v>
      </c>
    </row>
    <row r="430" spans="1:19" x14ac:dyDescent="0.25">
      <c r="A430">
        <v>560</v>
      </c>
      <c r="B430">
        <v>1292</v>
      </c>
      <c r="C430" t="s">
        <v>35</v>
      </c>
      <c r="D430" t="s">
        <v>173</v>
      </c>
      <c r="E430">
        <v>11</v>
      </c>
      <c r="F430">
        <v>15.13</v>
      </c>
      <c r="G430">
        <v>2.64</v>
      </c>
      <c r="H430">
        <v>28.35</v>
      </c>
      <c r="I430">
        <v>0.81</v>
      </c>
      <c r="J430">
        <v>80.180000000000007</v>
      </c>
      <c r="K430">
        <f t="shared" si="56"/>
        <v>881.98</v>
      </c>
      <c r="L430">
        <f t="shared" si="57"/>
        <v>881.98</v>
      </c>
      <c r="M430">
        <f t="shared" si="54"/>
        <v>439.37520000000006</v>
      </c>
      <c r="N430">
        <f t="shared" si="58"/>
        <v>109.84380000000002</v>
      </c>
      <c r="O430">
        <f t="shared" si="59"/>
        <v>439.37520000000006</v>
      </c>
      <c r="P430">
        <f t="shared" si="60"/>
        <v>109.84380000000002</v>
      </c>
      <c r="Q430">
        <f t="shared" si="61"/>
        <v>112.08461352000002</v>
      </c>
      <c r="R430">
        <f t="shared" si="62"/>
        <v>252.59850000000003</v>
      </c>
      <c r="S430">
        <f t="shared" si="55"/>
        <v>881.98</v>
      </c>
    </row>
    <row r="431" spans="1:19" x14ac:dyDescent="0.25">
      <c r="A431">
        <v>561</v>
      </c>
      <c r="B431">
        <v>1292</v>
      </c>
      <c r="C431" t="s">
        <v>35</v>
      </c>
      <c r="D431" t="s">
        <v>173</v>
      </c>
      <c r="E431">
        <v>12</v>
      </c>
      <c r="F431">
        <v>15.04</v>
      </c>
      <c r="G431">
        <v>2.88</v>
      </c>
      <c r="H431">
        <v>29.84</v>
      </c>
      <c r="I431">
        <v>0.8</v>
      </c>
      <c r="J431">
        <v>85.82</v>
      </c>
      <c r="K431">
        <f t="shared" si="56"/>
        <v>1029.8399999999999</v>
      </c>
      <c r="L431">
        <f t="shared" si="57"/>
        <v>1029.8399999999999</v>
      </c>
      <c r="M431">
        <f t="shared" si="54"/>
        <v>519.78240000000005</v>
      </c>
      <c r="N431">
        <f t="shared" si="58"/>
        <v>129.94560000000001</v>
      </c>
      <c r="O431">
        <f t="shared" si="59"/>
        <v>519.78240000000005</v>
      </c>
      <c r="P431">
        <f t="shared" si="60"/>
        <v>129.94560000000001</v>
      </c>
      <c r="Q431">
        <f t="shared" si="61"/>
        <v>132.59649024000001</v>
      </c>
      <c r="R431">
        <f t="shared" si="62"/>
        <v>286.46400000000006</v>
      </c>
      <c r="S431">
        <f t="shared" si="55"/>
        <v>1029.8399999999999</v>
      </c>
    </row>
    <row r="432" spans="1:19" x14ac:dyDescent="0.25">
      <c r="A432">
        <v>562</v>
      </c>
      <c r="B432">
        <v>1292</v>
      </c>
      <c r="C432" t="s">
        <v>35</v>
      </c>
      <c r="D432" t="s">
        <v>173</v>
      </c>
      <c r="E432">
        <v>16</v>
      </c>
      <c r="F432">
        <v>15.21</v>
      </c>
      <c r="G432">
        <v>3.23</v>
      </c>
      <c r="H432">
        <v>34.340000000000003</v>
      </c>
      <c r="I432">
        <v>0.77</v>
      </c>
      <c r="J432">
        <v>86.97</v>
      </c>
      <c r="K432">
        <f t="shared" si="56"/>
        <v>1391.52</v>
      </c>
      <c r="L432">
        <f t="shared" si="57"/>
        <v>1391.52</v>
      </c>
      <c r="M432">
        <f t="shared" si="54"/>
        <v>786.05280000000005</v>
      </c>
      <c r="N432">
        <f t="shared" si="58"/>
        <v>196.51320000000001</v>
      </c>
      <c r="O432">
        <f t="shared" si="59"/>
        <v>786.05280000000005</v>
      </c>
      <c r="P432">
        <f t="shared" si="60"/>
        <v>196.51320000000001</v>
      </c>
      <c r="Q432">
        <f t="shared" si="61"/>
        <v>200.52206928000001</v>
      </c>
      <c r="R432">
        <f t="shared" si="62"/>
        <v>423.06880000000007</v>
      </c>
      <c r="S432">
        <f t="shared" si="55"/>
        <v>1391.52</v>
      </c>
    </row>
    <row r="433" spans="1:19" x14ac:dyDescent="0.25">
      <c r="A433">
        <v>563</v>
      </c>
      <c r="B433">
        <v>1293</v>
      </c>
      <c r="C433" t="s">
        <v>32</v>
      </c>
      <c r="D433" t="s">
        <v>173</v>
      </c>
      <c r="E433">
        <v>25</v>
      </c>
      <c r="F433">
        <v>14.77</v>
      </c>
      <c r="G433">
        <v>3.01</v>
      </c>
      <c r="H433">
        <v>35.51</v>
      </c>
      <c r="I433">
        <v>0.8</v>
      </c>
      <c r="J433">
        <v>92.38</v>
      </c>
      <c r="K433">
        <f t="shared" si="56"/>
        <v>2309.5</v>
      </c>
      <c r="L433">
        <f t="shared" si="57"/>
        <v>2309.5</v>
      </c>
      <c r="M433">
        <f t="shared" si="54"/>
        <v>1111.4424999999999</v>
      </c>
      <c r="N433">
        <f t="shared" si="58"/>
        <v>277.86062499999997</v>
      </c>
      <c r="O433">
        <f t="shared" si="59"/>
        <v>1111.4424999999999</v>
      </c>
      <c r="P433">
        <f t="shared" si="60"/>
        <v>277.86062499999997</v>
      </c>
      <c r="Q433">
        <f t="shared" si="61"/>
        <v>283.52898174999996</v>
      </c>
      <c r="R433">
        <f t="shared" si="62"/>
        <v>710.19999999999993</v>
      </c>
      <c r="S433">
        <f t="shared" si="55"/>
        <v>2309.5</v>
      </c>
    </row>
    <row r="434" spans="1:19" x14ac:dyDescent="0.25">
      <c r="A434">
        <v>564</v>
      </c>
      <c r="B434">
        <v>1293</v>
      </c>
      <c r="C434" t="s">
        <v>32</v>
      </c>
      <c r="D434" t="s">
        <v>173</v>
      </c>
      <c r="E434">
        <v>17</v>
      </c>
      <c r="F434">
        <v>14.86</v>
      </c>
      <c r="G434">
        <v>2.89</v>
      </c>
      <c r="H434">
        <v>30.01</v>
      </c>
      <c r="I434">
        <v>0.79</v>
      </c>
      <c r="J434">
        <v>85.13</v>
      </c>
      <c r="K434">
        <f t="shared" si="56"/>
        <v>1447.21</v>
      </c>
      <c r="L434">
        <f t="shared" si="57"/>
        <v>1447.21</v>
      </c>
      <c r="M434">
        <f t="shared" si="54"/>
        <v>730.07180000000005</v>
      </c>
      <c r="N434">
        <f t="shared" si="58"/>
        <v>182.51795000000001</v>
      </c>
      <c r="O434">
        <f t="shared" si="59"/>
        <v>730.07180000000005</v>
      </c>
      <c r="P434">
        <f t="shared" si="60"/>
        <v>182.51795000000001</v>
      </c>
      <c r="Q434">
        <f t="shared" si="61"/>
        <v>186.24131618000001</v>
      </c>
      <c r="R434">
        <f t="shared" si="62"/>
        <v>403.03430000000003</v>
      </c>
      <c r="S434">
        <f t="shared" si="55"/>
        <v>1447.21</v>
      </c>
    </row>
    <row r="435" spans="1:19" x14ac:dyDescent="0.25">
      <c r="A435">
        <v>565</v>
      </c>
      <c r="B435">
        <v>1293</v>
      </c>
      <c r="C435" t="s">
        <v>32</v>
      </c>
      <c r="D435" t="s">
        <v>172</v>
      </c>
      <c r="E435">
        <v>8</v>
      </c>
      <c r="F435">
        <v>19.96</v>
      </c>
      <c r="G435">
        <v>11.19</v>
      </c>
      <c r="H435">
        <v>33.64</v>
      </c>
      <c r="I435">
        <v>0.99</v>
      </c>
      <c r="J435">
        <v>371.87</v>
      </c>
      <c r="K435">
        <f t="shared" si="56"/>
        <v>2974.96</v>
      </c>
      <c r="L435">
        <f t="shared" si="57"/>
        <v>0</v>
      </c>
      <c r="M435">
        <f t="shared" si="54"/>
        <v>0</v>
      </c>
      <c r="N435">
        <f t="shared" si="58"/>
        <v>0</v>
      </c>
      <c r="O435">
        <f t="shared" si="59"/>
        <v>1786.8191999999999</v>
      </c>
      <c r="P435">
        <f t="shared" si="60"/>
        <v>446.70479999999998</v>
      </c>
      <c r="Q435">
        <f t="shared" si="61"/>
        <v>455.81757791999996</v>
      </c>
      <c r="R435">
        <f t="shared" si="62"/>
        <v>266.42880000000002</v>
      </c>
      <c r="S435">
        <f t="shared" si="55"/>
        <v>2974.96</v>
      </c>
    </row>
    <row r="436" spans="1:19" x14ac:dyDescent="0.25">
      <c r="A436">
        <v>566</v>
      </c>
      <c r="B436">
        <v>1293</v>
      </c>
      <c r="C436" t="s">
        <v>32</v>
      </c>
      <c r="D436" t="s">
        <v>173</v>
      </c>
      <c r="E436">
        <v>56</v>
      </c>
      <c r="F436">
        <v>14.26</v>
      </c>
      <c r="G436">
        <v>2.73</v>
      </c>
      <c r="H436">
        <v>26.84</v>
      </c>
      <c r="I436">
        <v>0.79</v>
      </c>
      <c r="J436">
        <v>76.849999999999994</v>
      </c>
      <c r="K436">
        <f t="shared" si="56"/>
        <v>4303.5999999999995</v>
      </c>
      <c r="L436">
        <f t="shared" si="57"/>
        <v>4303.5999999999995</v>
      </c>
      <c r="M436">
        <f t="shared" si="54"/>
        <v>2180.0688</v>
      </c>
      <c r="N436">
        <f t="shared" si="58"/>
        <v>545.0172</v>
      </c>
      <c r="O436">
        <f t="shared" si="59"/>
        <v>2180.0688</v>
      </c>
      <c r="P436">
        <f t="shared" si="60"/>
        <v>545.0172</v>
      </c>
      <c r="Q436">
        <f t="shared" si="61"/>
        <v>556.13555087999998</v>
      </c>
      <c r="R436">
        <f t="shared" si="62"/>
        <v>1187.4016000000001</v>
      </c>
      <c r="S436">
        <f t="shared" si="55"/>
        <v>4303.5999999999995</v>
      </c>
    </row>
    <row r="437" spans="1:19" x14ac:dyDescent="0.25">
      <c r="A437">
        <v>567</v>
      </c>
      <c r="B437">
        <v>1293</v>
      </c>
      <c r="C437" t="s">
        <v>32</v>
      </c>
      <c r="D437" t="s">
        <v>172</v>
      </c>
      <c r="E437">
        <v>23</v>
      </c>
      <c r="F437">
        <v>20.69</v>
      </c>
      <c r="G437">
        <v>11.3</v>
      </c>
      <c r="H437">
        <v>34.42</v>
      </c>
      <c r="I437">
        <v>0.99</v>
      </c>
      <c r="J437">
        <v>388.32</v>
      </c>
      <c r="K437">
        <f t="shared" si="56"/>
        <v>8931.36</v>
      </c>
      <c r="L437">
        <f t="shared" si="57"/>
        <v>0</v>
      </c>
      <c r="M437">
        <f t="shared" si="54"/>
        <v>0</v>
      </c>
      <c r="N437">
        <f t="shared" si="58"/>
        <v>0</v>
      </c>
      <c r="O437">
        <f t="shared" si="59"/>
        <v>5377.331000000001</v>
      </c>
      <c r="P437">
        <f t="shared" si="60"/>
        <v>1344.3327500000003</v>
      </c>
      <c r="Q437">
        <f t="shared" si="61"/>
        <v>1371.7571381000002</v>
      </c>
      <c r="R437">
        <f t="shared" si="62"/>
        <v>783.74340000000007</v>
      </c>
      <c r="S437">
        <f t="shared" si="55"/>
        <v>8931.36</v>
      </c>
    </row>
    <row r="438" spans="1:19" x14ac:dyDescent="0.25">
      <c r="A438">
        <v>568</v>
      </c>
      <c r="B438">
        <v>1293</v>
      </c>
      <c r="C438" t="s">
        <v>32</v>
      </c>
      <c r="D438" t="s">
        <v>173</v>
      </c>
      <c r="E438">
        <v>20</v>
      </c>
      <c r="F438">
        <v>15.05</v>
      </c>
      <c r="G438">
        <v>2.82</v>
      </c>
      <c r="H438">
        <v>31.06</v>
      </c>
      <c r="I438">
        <v>0.83</v>
      </c>
      <c r="J438">
        <v>86.71</v>
      </c>
      <c r="K438">
        <f t="shared" si="56"/>
        <v>1734.1999999999998</v>
      </c>
      <c r="L438">
        <f t="shared" si="57"/>
        <v>1734.1999999999998</v>
      </c>
      <c r="M438">
        <f t="shared" si="54"/>
        <v>848.82</v>
      </c>
      <c r="N438">
        <f t="shared" si="58"/>
        <v>212.20500000000001</v>
      </c>
      <c r="O438">
        <f t="shared" si="59"/>
        <v>848.82</v>
      </c>
      <c r="P438">
        <f t="shared" si="60"/>
        <v>212.20500000000001</v>
      </c>
      <c r="Q438">
        <f t="shared" si="61"/>
        <v>216.53398200000001</v>
      </c>
      <c r="R438">
        <f t="shared" si="62"/>
        <v>515.59599999999989</v>
      </c>
      <c r="S438">
        <f t="shared" si="55"/>
        <v>1734.1999999999998</v>
      </c>
    </row>
    <row r="439" spans="1:19" x14ac:dyDescent="0.25">
      <c r="A439">
        <v>569</v>
      </c>
      <c r="B439">
        <v>1293</v>
      </c>
      <c r="C439" t="s">
        <v>32</v>
      </c>
      <c r="D439" t="s">
        <v>173</v>
      </c>
      <c r="E439">
        <v>6</v>
      </c>
      <c r="F439">
        <v>15.45</v>
      </c>
      <c r="G439">
        <v>3.01</v>
      </c>
      <c r="H439">
        <v>30.61</v>
      </c>
      <c r="I439">
        <v>0.79</v>
      </c>
      <c r="J439">
        <v>90.54</v>
      </c>
      <c r="K439">
        <f t="shared" si="56"/>
        <v>543.24</v>
      </c>
      <c r="L439">
        <f t="shared" si="57"/>
        <v>543.24</v>
      </c>
      <c r="M439">
        <f t="shared" si="54"/>
        <v>279.02699999999999</v>
      </c>
      <c r="N439">
        <f t="shared" si="58"/>
        <v>69.756749999999997</v>
      </c>
      <c r="O439">
        <f t="shared" si="59"/>
        <v>279.02699999999999</v>
      </c>
      <c r="P439">
        <f t="shared" si="60"/>
        <v>69.756749999999997</v>
      </c>
      <c r="Q439">
        <f t="shared" si="61"/>
        <v>71.179787699999991</v>
      </c>
      <c r="R439">
        <f t="shared" si="62"/>
        <v>145.09139999999999</v>
      </c>
      <c r="S439">
        <f t="shared" si="55"/>
        <v>543.24</v>
      </c>
    </row>
    <row r="440" spans="1:19" x14ac:dyDescent="0.25">
      <c r="A440">
        <v>570</v>
      </c>
      <c r="B440">
        <v>1293</v>
      </c>
      <c r="C440" t="s">
        <v>32</v>
      </c>
      <c r="D440" t="s">
        <v>173</v>
      </c>
      <c r="E440">
        <v>10</v>
      </c>
      <c r="F440">
        <v>15.54</v>
      </c>
      <c r="G440">
        <v>3.08</v>
      </c>
      <c r="H440">
        <v>30.98</v>
      </c>
      <c r="I440">
        <v>0.79</v>
      </c>
      <c r="J440">
        <v>92.73</v>
      </c>
      <c r="K440">
        <f t="shared" si="56"/>
        <v>927.30000000000007</v>
      </c>
      <c r="L440">
        <f t="shared" si="57"/>
        <v>927.30000000000007</v>
      </c>
      <c r="M440">
        <f t="shared" si="54"/>
        <v>478.63200000000001</v>
      </c>
      <c r="N440">
        <f t="shared" si="58"/>
        <v>119.658</v>
      </c>
      <c r="O440">
        <f t="shared" si="59"/>
        <v>478.63200000000001</v>
      </c>
      <c r="P440">
        <f t="shared" si="60"/>
        <v>119.658</v>
      </c>
      <c r="Q440">
        <f t="shared" si="61"/>
        <v>122.0990232</v>
      </c>
      <c r="R440">
        <f t="shared" si="62"/>
        <v>244.74200000000002</v>
      </c>
      <c r="S440">
        <f t="shared" si="55"/>
        <v>927.30000000000007</v>
      </c>
    </row>
    <row r="441" spans="1:19" x14ac:dyDescent="0.25">
      <c r="A441">
        <v>571</v>
      </c>
      <c r="B441">
        <v>1293</v>
      </c>
      <c r="C441" t="s">
        <v>32</v>
      </c>
      <c r="D441" t="s">
        <v>172</v>
      </c>
      <c r="E441">
        <v>9</v>
      </c>
      <c r="F441">
        <v>18.62</v>
      </c>
      <c r="G441">
        <v>11.84</v>
      </c>
      <c r="H441">
        <v>27.5</v>
      </c>
      <c r="I441">
        <v>0.98</v>
      </c>
      <c r="J441">
        <v>360.01</v>
      </c>
      <c r="K441">
        <f t="shared" si="56"/>
        <v>3240.09</v>
      </c>
      <c r="L441">
        <f t="shared" si="57"/>
        <v>0</v>
      </c>
      <c r="M441">
        <f t="shared" si="54"/>
        <v>0</v>
      </c>
      <c r="N441">
        <f t="shared" si="58"/>
        <v>0</v>
      </c>
      <c r="O441">
        <f t="shared" si="59"/>
        <v>1984.1472000000001</v>
      </c>
      <c r="P441">
        <f t="shared" si="60"/>
        <v>496.03680000000003</v>
      </c>
      <c r="Q441">
        <f t="shared" si="61"/>
        <v>506.15595072000002</v>
      </c>
      <c r="R441">
        <f t="shared" si="62"/>
        <v>242.55</v>
      </c>
      <c r="S441">
        <f t="shared" si="55"/>
        <v>3240.09</v>
      </c>
    </row>
    <row r="442" spans="1:19" x14ac:dyDescent="0.25">
      <c r="A442">
        <v>572</v>
      </c>
      <c r="B442">
        <v>1293</v>
      </c>
      <c r="C442" t="s">
        <v>32</v>
      </c>
      <c r="D442" t="s">
        <v>172</v>
      </c>
      <c r="E442">
        <v>118</v>
      </c>
      <c r="F442">
        <v>21.01</v>
      </c>
      <c r="G442">
        <v>11.74</v>
      </c>
      <c r="H442">
        <v>28.09</v>
      </c>
      <c r="I442">
        <v>1.23</v>
      </c>
      <c r="J442">
        <v>336.36</v>
      </c>
      <c r="K442">
        <f t="shared" si="56"/>
        <v>39690.480000000003</v>
      </c>
      <c r="L442">
        <f t="shared" si="57"/>
        <v>0</v>
      </c>
      <c r="M442">
        <f t="shared" si="54"/>
        <v>0</v>
      </c>
      <c r="N442">
        <f t="shared" si="58"/>
        <v>0</v>
      </c>
      <c r="O442">
        <f t="shared" si="59"/>
        <v>29105.573200000003</v>
      </c>
      <c r="P442">
        <f t="shared" si="60"/>
        <v>7276.3933000000006</v>
      </c>
      <c r="Q442">
        <f t="shared" si="61"/>
        <v>7424.8317233200005</v>
      </c>
      <c r="R442">
        <f t="shared" si="62"/>
        <v>4076.9825999999998</v>
      </c>
      <c r="S442">
        <f t="shared" si="55"/>
        <v>39690.480000000003</v>
      </c>
    </row>
    <row r="443" spans="1:19" x14ac:dyDescent="0.25">
      <c r="A443">
        <v>573</v>
      </c>
      <c r="B443">
        <v>1294</v>
      </c>
      <c r="C443" t="s">
        <v>35</v>
      </c>
      <c r="D443" t="s">
        <v>173</v>
      </c>
      <c r="E443">
        <v>13</v>
      </c>
      <c r="F443">
        <v>14.87</v>
      </c>
      <c r="G443">
        <v>2.8</v>
      </c>
      <c r="H443">
        <v>33.729999999999997</v>
      </c>
      <c r="I443">
        <v>0.8</v>
      </c>
      <c r="J443">
        <v>86.93</v>
      </c>
      <c r="K443">
        <f t="shared" si="56"/>
        <v>1130.0900000000001</v>
      </c>
      <c r="L443">
        <f t="shared" si="57"/>
        <v>1130.0900000000001</v>
      </c>
      <c r="M443">
        <f t="shared" si="54"/>
        <v>541.26799999999992</v>
      </c>
      <c r="N443">
        <f t="shared" si="58"/>
        <v>135.31699999999998</v>
      </c>
      <c r="O443">
        <f t="shared" si="59"/>
        <v>541.26799999999992</v>
      </c>
      <c r="P443">
        <f t="shared" si="60"/>
        <v>135.31699999999998</v>
      </c>
      <c r="Q443">
        <f t="shared" si="61"/>
        <v>138.07746679999997</v>
      </c>
      <c r="R443">
        <f t="shared" si="62"/>
        <v>350.79199999999997</v>
      </c>
      <c r="S443">
        <f t="shared" si="55"/>
        <v>1130.0900000000001</v>
      </c>
    </row>
    <row r="444" spans="1:19" x14ac:dyDescent="0.25">
      <c r="A444">
        <v>574</v>
      </c>
      <c r="B444">
        <v>1294</v>
      </c>
      <c r="C444" t="s">
        <v>35</v>
      </c>
      <c r="D444" t="s">
        <v>172</v>
      </c>
      <c r="E444">
        <v>20</v>
      </c>
      <c r="F444">
        <v>19.809999999999999</v>
      </c>
      <c r="G444">
        <v>11.78</v>
      </c>
      <c r="H444">
        <v>32.21</v>
      </c>
      <c r="I444">
        <v>1.01</v>
      </c>
      <c r="J444">
        <v>385.84</v>
      </c>
      <c r="K444">
        <f t="shared" si="56"/>
        <v>7716.7999999999993</v>
      </c>
      <c r="L444">
        <f t="shared" si="57"/>
        <v>0</v>
      </c>
      <c r="M444">
        <f t="shared" si="54"/>
        <v>0</v>
      </c>
      <c r="N444">
        <f t="shared" si="58"/>
        <v>0</v>
      </c>
      <c r="O444">
        <f t="shared" si="59"/>
        <v>4667.2359999999999</v>
      </c>
      <c r="P444">
        <f t="shared" si="60"/>
        <v>1166.809</v>
      </c>
      <c r="Q444">
        <f t="shared" si="61"/>
        <v>1190.6119036</v>
      </c>
      <c r="R444">
        <f t="shared" si="62"/>
        <v>650.64199999999994</v>
      </c>
      <c r="S444">
        <f t="shared" si="55"/>
        <v>7716.7999999999993</v>
      </c>
    </row>
    <row r="445" spans="1:19" x14ac:dyDescent="0.25">
      <c r="A445">
        <v>575</v>
      </c>
      <c r="B445">
        <v>1294</v>
      </c>
      <c r="C445" t="s">
        <v>35</v>
      </c>
      <c r="D445" t="s">
        <v>173</v>
      </c>
      <c r="E445">
        <v>13</v>
      </c>
      <c r="F445">
        <v>15.89</v>
      </c>
      <c r="G445">
        <v>3.15</v>
      </c>
      <c r="H445">
        <v>31.69</v>
      </c>
      <c r="I445">
        <v>0.77</v>
      </c>
      <c r="J445">
        <v>95.67</v>
      </c>
      <c r="K445">
        <f t="shared" si="56"/>
        <v>1243.71</v>
      </c>
      <c r="L445">
        <f t="shared" si="57"/>
        <v>1243.71</v>
      </c>
      <c r="M445">
        <f t="shared" si="54"/>
        <v>650.69549999999992</v>
      </c>
      <c r="N445">
        <f t="shared" si="58"/>
        <v>162.67387499999998</v>
      </c>
      <c r="O445">
        <f t="shared" si="59"/>
        <v>650.69549999999992</v>
      </c>
      <c r="P445">
        <f t="shared" si="60"/>
        <v>162.67387499999998</v>
      </c>
      <c r="Q445">
        <f t="shared" si="61"/>
        <v>165.99242204999999</v>
      </c>
      <c r="R445">
        <f t="shared" si="62"/>
        <v>317.21690000000001</v>
      </c>
      <c r="S445">
        <f t="shared" si="55"/>
        <v>1243.71</v>
      </c>
    </row>
    <row r="446" spans="1:19" x14ac:dyDescent="0.25">
      <c r="A446">
        <v>576</v>
      </c>
      <c r="B446">
        <v>1294</v>
      </c>
      <c r="C446" t="s">
        <v>35</v>
      </c>
      <c r="D446" t="s">
        <v>172</v>
      </c>
      <c r="E446">
        <v>9</v>
      </c>
      <c r="F446">
        <v>19.71</v>
      </c>
      <c r="G446">
        <v>11.4</v>
      </c>
      <c r="H446">
        <v>30.38</v>
      </c>
      <c r="I446">
        <v>1.04</v>
      </c>
      <c r="J446">
        <v>371.83</v>
      </c>
      <c r="K446">
        <f t="shared" si="56"/>
        <v>3346.47</v>
      </c>
      <c r="L446">
        <f t="shared" si="57"/>
        <v>0</v>
      </c>
      <c r="M446">
        <f t="shared" si="54"/>
        <v>0</v>
      </c>
      <c r="N446">
        <f t="shared" si="58"/>
        <v>0</v>
      </c>
      <c r="O446">
        <f t="shared" si="59"/>
        <v>2022.2460000000003</v>
      </c>
      <c r="P446">
        <f t="shared" si="60"/>
        <v>505.56150000000008</v>
      </c>
      <c r="Q446">
        <f t="shared" si="61"/>
        <v>515.87495460000002</v>
      </c>
      <c r="R446">
        <f t="shared" si="62"/>
        <v>284.35679999999996</v>
      </c>
      <c r="S446">
        <f t="shared" si="55"/>
        <v>3346.47</v>
      </c>
    </row>
    <row r="447" spans="1:19" x14ac:dyDescent="0.25">
      <c r="A447">
        <v>577</v>
      </c>
      <c r="B447">
        <v>1294</v>
      </c>
      <c r="C447" t="s">
        <v>35</v>
      </c>
      <c r="D447" t="s">
        <v>172</v>
      </c>
      <c r="E447">
        <v>21</v>
      </c>
      <c r="F447">
        <v>21.33</v>
      </c>
      <c r="G447">
        <v>10.7</v>
      </c>
      <c r="H447">
        <v>27.2</v>
      </c>
      <c r="I447">
        <v>1.01</v>
      </c>
      <c r="J447">
        <v>372.18</v>
      </c>
      <c r="K447">
        <f t="shared" si="56"/>
        <v>7815.78</v>
      </c>
      <c r="L447">
        <f t="shared" si="57"/>
        <v>0</v>
      </c>
      <c r="M447">
        <f t="shared" si="54"/>
        <v>0</v>
      </c>
      <c r="N447">
        <f t="shared" si="58"/>
        <v>0</v>
      </c>
      <c r="O447">
        <f t="shared" si="59"/>
        <v>4792.8509999999997</v>
      </c>
      <c r="P447">
        <f t="shared" si="60"/>
        <v>1198.2127499999999</v>
      </c>
      <c r="Q447">
        <f t="shared" si="61"/>
        <v>1222.6562901</v>
      </c>
      <c r="R447">
        <f t="shared" si="62"/>
        <v>576.91200000000003</v>
      </c>
      <c r="S447">
        <f t="shared" si="55"/>
        <v>7815.78</v>
      </c>
    </row>
    <row r="448" spans="1:19" x14ac:dyDescent="0.25">
      <c r="A448">
        <v>578</v>
      </c>
      <c r="B448">
        <v>1294</v>
      </c>
      <c r="C448" t="s">
        <v>35</v>
      </c>
      <c r="D448" t="s">
        <v>172</v>
      </c>
      <c r="E448">
        <v>9</v>
      </c>
      <c r="F448">
        <v>19.63</v>
      </c>
      <c r="G448">
        <v>10.95</v>
      </c>
      <c r="H448">
        <v>29.53</v>
      </c>
      <c r="I448">
        <v>0.94</v>
      </c>
      <c r="J448">
        <v>352.77</v>
      </c>
      <c r="K448">
        <f t="shared" si="56"/>
        <v>3174.93</v>
      </c>
      <c r="L448">
        <f t="shared" si="57"/>
        <v>0</v>
      </c>
      <c r="M448">
        <f t="shared" si="54"/>
        <v>0</v>
      </c>
      <c r="N448">
        <f t="shared" si="58"/>
        <v>0</v>
      </c>
      <c r="O448">
        <f t="shared" si="59"/>
        <v>1934.5364999999999</v>
      </c>
      <c r="P448">
        <f t="shared" si="60"/>
        <v>483.63412499999998</v>
      </c>
      <c r="Q448">
        <f t="shared" si="61"/>
        <v>493.50026114999997</v>
      </c>
      <c r="R448">
        <f t="shared" si="62"/>
        <v>249.82379999999998</v>
      </c>
      <c r="S448">
        <f t="shared" si="55"/>
        <v>3174.93</v>
      </c>
    </row>
    <row r="449" spans="1:19" x14ac:dyDescent="0.25">
      <c r="A449">
        <v>579</v>
      </c>
      <c r="B449">
        <v>1294</v>
      </c>
      <c r="C449" t="s">
        <v>35</v>
      </c>
      <c r="D449" t="s">
        <v>172</v>
      </c>
      <c r="E449">
        <v>31</v>
      </c>
      <c r="F449">
        <v>19.28</v>
      </c>
      <c r="G449">
        <v>11.38</v>
      </c>
      <c r="H449">
        <v>27.68</v>
      </c>
      <c r="I449">
        <v>0.97</v>
      </c>
      <c r="J449">
        <v>358.32</v>
      </c>
      <c r="K449">
        <f t="shared" si="56"/>
        <v>11107.92</v>
      </c>
      <c r="L449">
        <f t="shared" si="57"/>
        <v>0</v>
      </c>
      <c r="M449">
        <f t="shared" si="54"/>
        <v>0</v>
      </c>
      <c r="N449">
        <f t="shared" si="58"/>
        <v>0</v>
      </c>
      <c r="O449">
        <f t="shared" si="59"/>
        <v>6801.5984000000008</v>
      </c>
      <c r="P449">
        <f t="shared" si="60"/>
        <v>1700.3996000000002</v>
      </c>
      <c r="Q449">
        <f t="shared" si="61"/>
        <v>1735.0877518400002</v>
      </c>
      <c r="R449">
        <f t="shared" si="62"/>
        <v>832.33759999999995</v>
      </c>
      <c r="S449">
        <f t="shared" si="55"/>
        <v>11107.92</v>
      </c>
    </row>
    <row r="450" spans="1:19" x14ac:dyDescent="0.25">
      <c r="A450">
        <v>580</v>
      </c>
      <c r="B450">
        <v>1294</v>
      </c>
      <c r="C450" t="s">
        <v>35</v>
      </c>
      <c r="D450" t="s">
        <v>173</v>
      </c>
      <c r="E450">
        <v>12</v>
      </c>
      <c r="F450">
        <v>13.81</v>
      </c>
      <c r="G450">
        <v>3.12</v>
      </c>
      <c r="H450">
        <v>29.65</v>
      </c>
      <c r="I450">
        <v>0.8</v>
      </c>
      <c r="J450">
        <v>85.34</v>
      </c>
      <c r="K450">
        <f t="shared" si="56"/>
        <v>1024.08</v>
      </c>
      <c r="L450">
        <f t="shared" si="57"/>
        <v>1024.08</v>
      </c>
      <c r="M450">
        <f t="shared" ref="M450:M513" si="63">IF(D450="SHOES",O450,0)</f>
        <v>517.04639999999995</v>
      </c>
      <c r="N450">
        <f t="shared" si="58"/>
        <v>129.26159999999999</v>
      </c>
      <c r="O450">
        <f t="shared" si="59"/>
        <v>517.04639999999995</v>
      </c>
      <c r="P450">
        <f t="shared" si="60"/>
        <v>129.26159999999999</v>
      </c>
      <c r="Q450">
        <f t="shared" si="61"/>
        <v>131.89853663999997</v>
      </c>
      <c r="R450">
        <f t="shared" si="62"/>
        <v>284.64000000000004</v>
      </c>
      <c r="S450">
        <f t="shared" ref="S450:S513" si="64">PRODUCT(J450,E450)</f>
        <v>1024.08</v>
      </c>
    </row>
    <row r="451" spans="1:19" x14ac:dyDescent="0.25">
      <c r="A451">
        <v>581</v>
      </c>
      <c r="B451">
        <v>1295</v>
      </c>
      <c r="C451" t="s">
        <v>32</v>
      </c>
      <c r="D451" t="s">
        <v>172</v>
      </c>
      <c r="E451">
        <v>16</v>
      </c>
      <c r="F451">
        <v>18.48</v>
      </c>
      <c r="G451">
        <v>10.050000000000001</v>
      </c>
      <c r="H451">
        <v>32.159999999999997</v>
      </c>
      <c r="I451">
        <v>1.0900000000000001</v>
      </c>
      <c r="J451">
        <v>317.98</v>
      </c>
      <c r="K451">
        <f t="shared" ref="K451:K514" si="65">E451*J451</f>
        <v>5087.68</v>
      </c>
      <c r="L451">
        <f t="shared" ref="L451:L514" si="66">IF(D451="SHOES",E451*J451,0)</f>
        <v>0</v>
      </c>
      <c r="M451">
        <f t="shared" si="63"/>
        <v>0</v>
      </c>
      <c r="N451">
        <f t="shared" ref="N451:N514" si="67">IF(D451="SHOES",P451,0)</f>
        <v>0</v>
      </c>
      <c r="O451">
        <f t="shared" ref="O451:O514" si="68">PRODUCT(E451,G451,F451)</f>
        <v>2971.5840000000003</v>
      </c>
      <c r="P451">
        <f t="shared" ref="P451:P514" si="69">PRODUCT(O451,0.25)</f>
        <v>742.89600000000007</v>
      </c>
      <c r="Q451">
        <f t="shared" ref="Q451:Q514" si="70">PRODUCT(O451,0.2551)</f>
        <v>758.05107840000005</v>
      </c>
      <c r="R451">
        <f t="shared" si="62"/>
        <v>560.87040000000002</v>
      </c>
      <c r="S451">
        <f t="shared" si="64"/>
        <v>5087.68</v>
      </c>
    </row>
    <row r="452" spans="1:19" x14ac:dyDescent="0.25">
      <c r="A452">
        <v>582</v>
      </c>
      <c r="B452">
        <v>1295</v>
      </c>
      <c r="C452" t="s">
        <v>32</v>
      </c>
      <c r="D452" t="s">
        <v>173</v>
      </c>
      <c r="E452">
        <v>25</v>
      </c>
      <c r="F452">
        <v>15.16</v>
      </c>
      <c r="G452">
        <v>3.16</v>
      </c>
      <c r="H452">
        <v>26.81</v>
      </c>
      <c r="I452">
        <v>0.82</v>
      </c>
      <c r="J452">
        <v>90.05</v>
      </c>
      <c r="K452">
        <f t="shared" si="65"/>
        <v>2251.25</v>
      </c>
      <c r="L452">
        <f t="shared" si="66"/>
        <v>2251.25</v>
      </c>
      <c r="M452">
        <f t="shared" si="63"/>
        <v>1197.6400000000001</v>
      </c>
      <c r="N452">
        <f t="shared" si="67"/>
        <v>299.41000000000003</v>
      </c>
      <c r="O452">
        <f t="shared" si="68"/>
        <v>1197.6400000000001</v>
      </c>
      <c r="P452">
        <f t="shared" si="69"/>
        <v>299.41000000000003</v>
      </c>
      <c r="Q452">
        <f t="shared" si="70"/>
        <v>305.51796400000001</v>
      </c>
      <c r="R452">
        <f t="shared" ref="R452:R515" si="71">PRODUCT(E452,I452,H452)</f>
        <v>549.60500000000002</v>
      </c>
      <c r="S452">
        <f t="shared" si="64"/>
        <v>2251.25</v>
      </c>
    </row>
    <row r="453" spans="1:19" x14ac:dyDescent="0.25">
      <c r="A453">
        <v>583</v>
      </c>
      <c r="B453">
        <v>1295</v>
      </c>
      <c r="C453" t="s">
        <v>32</v>
      </c>
      <c r="D453" t="s">
        <v>172</v>
      </c>
      <c r="E453">
        <v>13</v>
      </c>
      <c r="F453">
        <v>19.66</v>
      </c>
      <c r="G453">
        <v>13.05</v>
      </c>
      <c r="H453">
        <v>33.94</v>
      </c>
      <c r="I453">
        <v>0.95</v>
      </c>
      <c r="J453">
        <v>420.01</v>
      </c>
      <c r="K453">
        <f t="shared" si="65"/>
        <v>5460.13</v>
      </c>
      <c r="L453">
        <f t="shared" si="66"/>
        <v>0</v>
      </c>
      <c r="M453">
        <f t="shared" si="63"/>
        <v>0</v>
      </c>
      <c r="N453">
        <f t="shared" si="67"/>
        <v>0</v>
      </c>
      <c r="O453">
        <f t="shared" si="68"/>
        <v>3335.319</v>
      </c>
      <c r="P453">
        <f t="shared" si="69"/>
        <v>833.82974999999999</v>
      </c>
      <c r="Q453">
        <f t="shared" si="70"/>
        <v>850.83987689999992</v>
      </c>
      <c r="R453">
        <f t="shared" si="71"/>
        <v>419.15899999999993</v>
      </c>
      <c r="S453">
        <f t="shared" si="64"/>
        <v>5460.13</v>
      </c>
    </row>
    <row r="454" spans="1:19" x14ac:dyDescent="0.25">
      <c r="A454">
        <v>584</v>
      </c>
      <c r="B454">
        <v>1295</v>
      </c>
      <c r="C454" t="s">
        <v>32</v>
      </c>
      <c r="D454" t="s">
        <v>172</v>
      </c>
      <c r="E454">
        <v>14</v>
      </c>
      <c r="F454">
        <v>20.48</v>
      </c>
      <c r="G454">
        <v>10.199999999999999</v>
      </c>
      <c r="H454">
        <v>29.68</v>
      </c>
      <c r="I454">
        <v>0.93</v>
      </c>
      <c r="J454">
        <v>343.58</v>
      </c>
      <c r="K454">
        <f t="shared" si="65"/>
        <v>4810.12</v>
      </c>
      <c r="L454">
        <f t="shared" si="66"/>
        <v>0</v>
      </c>
      <c r="M454">
        <f t="shared" si="63"/>
        <v>0</v>
      </c>
      <c r="N454">
        <f t="shared" si="67"/>
        <v>0</v>
      </c>
      <c r="O454">
        <f t="shared" si="68"/>
        <v>2924.5439999999999</v>
      </c>
      <c r="P454">
        <f t="shared" si="69"/>
        <v>731.13599999999997</v>
      </c>
      <c r="Q454">
        <f t="shared" si="70"/>
        <v>746.05117439999992</v>
      </c>
      <c r="R454">
        <f t="shared" si="71"/>
        <v>386.43360000000001</v>
      </c>
      <c r="S454">
        <f t="shared" si="64"/>
        <v>4810.12</v>
      </c>
    </row>
    <row r="455" spans="1:19" x14ac:dyDescent="0.25">
      <c r="A455">
        <v>585</v>
      </c>
      <c r="B455">
        <v>1295</v>
      </c>
      <c r="C455" t="s">
        <v>32</v>
      </c>
      <c r="D455" t="s">
        <v>172</v>
      </c>
      <c r="E455">
        <v>8</v>
      </c>
      <c r="F455">
        <v>19.649999999999999</v>
      </c>
      <c r="G455">
        <v>10.11</v>
      </c>
      <c r="H455">
        <v>26.13</v>
      </c>
      <c r="I455">
        <v>1</v>
      </c>
      <c r="J455">
        <v>326.60000000000002</v>
      </c>
      <c r="K455">
        <f t="shared" si="65"/>
        <v>2612.8000000000002</v>
      </c>
      <c r="L455">
        <f t="shared" si="66"/>
        <v>0</v>
      </c>
      <c r="M455">
        <f t="shared" si="63"/>
        <v>0</v>
      </c>
      <c r="N455">
        <f t="shared" si="67"/>
        <v>0</v>
      </c>
      <c r="O455">
        <f t="shared" si="68"/>
        <v>1589.2919999999997</v>
      </c>
      <c r="P455">
        <f t="shared" si="69"/>
        <v>397.32299999999992</v>
      </c>
      <c r="Q455">
        <f t="shared" si="70"/>
        <v>405.42838919999991</v>
      </c>
      <c r="R455">
        <f t="shared" si="71"/>
        <v>209.04</v>
      </c>
      <c r="S455">
        <f t="shared" si="64"/>
        <v>2612.8000000000002</v>
      </c>
    </row>
    <row r="456" spans="1:19" x14ac:dyDescent="0.25">
      <c r="A456">
        <v>586</v>
      </c>
      <c r="B456">
        <v>1295</v>
      </c>
      <c r="C456" t="s">
        <v>32</v>
      </c>
      <c r="D456" t="s">
        <v>172</v>
      </c>
      <c r="E456">
        <v>15</v>
      </c>
      <c r="F456">
        <v>19.12</v>
      </c>
      <c r="G456">
        <v>10.1</v>
      </c>
      <c r="H456">
        <v>29.82</v>
      </c>
      <c r="I456">
        <v>1.06</v>
      </c>
      <c r="J456">
        <v>324.87</v>
      </c>
      <c r="K456">
        <f t="shared" si="65"/>
        <v>4873.05</v>
      </c>
      <c r="L456">
        <f t="shared" si="66"/>
        <v>0</v>
      </c>
      <c r="M456">
        <f t="shared" si="63"/>
        <v>0</v>
      </c>
      <c r="N456">
        <f t="shared" si="67"/>
        <v>0</v>
      </c>
      <c r="O456">
        <f t="shared" si="68"/>
        <v>2896.6800000000003</v>
      </c>
      <c r="P456">
        <f t="shared" si="69"/>
        <v>724.17000000000007</v>
      </c>
      <c r="Q456">
        <f t="shared" si="70"/>
        <v>738.94306800000004</v>
      </c>
      <c r="R456">
        <f t="shared" si="71"/>
        <v>474.13800000000003</v>
      </c>
      <c r="S456">
        <f t="shared" si="64"/>
        <v>4873.05</v>
      </c>
    </row>
    <row r="457" spans="1:19" x14ac:dyDescent="0.25">
      <c r="A457">
        <v>587</v>
      </c>
      <c r="B457">
        <v>1295</v>
      </c>
      <c r="C457" t="s">
        <v>32</v>
      </c>
      <c r="D457" t="s">
        <v>173</v>
      </c>
      <c r="E457">
        <v>7</v>
      </c>
      <c r="F457">
        <v>14.8</v>
      </c>
      <c r="G457">
        <v>2.83</v>
      </c>
      <c r="H457">
        <v>30.05</v>
      </c>
      <c r="I457">
        <v>0.84</v>
      </c>
      <c r="J457">
        <v>85.36</v>
      </c>
      <c r="K457">
        <f t="shared" si="65"/>
        <v>597.52</v>
      </c>
      <c r="L457">
        <f t="shared" si="66"/>
        <v>597.52</v>
      </c>
      <c r="M457">
        <f t="shared" si="63"/>
        <v>293.18800000000005</v>
      </c>
      <c r="N457">
        <f t="shared" si="67"/>
        <v>73.297000000000011</v>
      </c>
      <c r="O457">
        <f t="shared" si="68"/>
        <v>293.18800000000005</v>
      </c>
      <c r="P457">
        <f t="shared" si="69"/>
        <v>73.297000000000011</v>
      </c>
      <c r="Q457">
        <f t="shared" si="70"/>
        <v>74.792258800000013</v>
      </c>
      <c r="R457">
        <f t="shared" si="71"/>
        <v>176.69399999999999</v>
      </c>
      <c r="S457">
        <f t="shared" si="64"/>
        <v>597.52</v>
      </c>
    </row>
    <row r="458" spans="1:19" x14ac:dyDescent="0.25">
      <c r="A458">
        <v>588</v>
      </c>
      <c r="B458">
        <v>1295</v>
      </c>
      <c r="C458" t="s">
        <v>32</v>
      </c>
      <c r="D458" t="s">
        <v>173</v>
      </c>
      <c r="E458">
        <v>15</v>
      </c>
      <c r="F458">
        <v>13.95</v>
      </c>
      <c r="G458">
        <v>2.73</v>
      </c>
      <c r="H458">
        <v>29.51</v>
      </c>
      <c r="I458">
        <v>0.8</v>
      </c>
      <c r="J458">
        <v>70.5</v>
      </c>
      <c r="K458">
        <f t="shared" si="65"/>
        <v>1057.5</v>
      </c>
      <c r="L458">
        <f t="shared" si="66"/>
        <v>1057.5</v>
      </c>
      <c r="M458">
        <f t="shared" si="63"/>
        <v>571.25250000000005</v>
      </c>
      <c r="N458">
        <f t="shared" si="67"/>
        <v>142.81312500000001</v>
      </c>
      <c r="O458">
        <f t="shared" si="68"/>
        <v>571.25250000000005</v>
      </c>
      <c r="P458">
        <f t="shared" si="69"/>
        <v>142.81312500000001</v>
      </c>
      <c r="Q458">
        <f t="shared" si="70"/>
        <v>145.72651275000001</v>
      </c>
      <c r="R458">
        <f t="shared" si="71"/>
        <v>354.12</v>
      </c>
      <c r="S458">
        <f t="shared" si="64"/>
        <v>1057.5</v>
      </c>
    </row>
    <row r="459" spans="1:19" x14ac:dyDescent="0.25">
      <c r="A459">
        <v>589</v>
      </c>
      <c r="B459">
        <v>1296</v>
      </c>
      <c r="C459" t="s">
        <v>34</v>
      </c>
      <c r="D459" t="s">
        <v>173</v>
      </c>
      <c r="E459">
        <v>18</v>
      </c>
      <c r="F459">
        <v>16.04</v>
      </c>
      <c r="G459">
        <v>3.06</v>
      </c>
      <c r="H459">
        <v>28.62</v>
      </c>
      <c r="I459">
        <v>0.83</v>
      </c>
      <c r="J459">
        <v>93.62</v>
      </c>
      <c r="K459">
        <f t="shared" si="65"/>
        <v>1685.16</v>
      </c>
      <c r="L459">
        <f t="shared" si="66"/>
        <v>1685.16</v>
      </c>
      <c r="M459">
        <f t="shared" si="63"/>
        <v>883.4831999999999</v>
      </c>
      <c r="N459">
        <f t="shared" si="67"/>
        <v>220.87079999999997</v>
      </c>
      <c r="O459">
        <f t="shared" si="68"/>
        <v>883.4831999999999</v>
      </c>
      <c r="P459">
        <f t="shared" si="69"/>
        <v>220.87079999999997</v>
      </c>
      <c r="Q459">
        <f t="shared" si="70"/>
        <v>225.37656431999997</v>
      </c>
      <c r="R459">
        <f t="shared" si="71"/>
        <v>427.58280000000002</v>
      </c>
      <c r="S459">
        <f t="shared" si="64"/>
        <v>1685.16</v>
      </c>
    </row>
    <row r="460" spans="1:19" x14ac:dyDescent="0.25">
      <c r="A460">
        <v>590</v>
      </c>
      <c r="B460">
        <v>1296</v>
      </c>
      <c r="C460" t="s">
        <v>34</v>
      </c>
      <c r="D460" t="s">
        <v>172</v>
      </c>
      <c r="E460">
        <v>14</v>
      </c>
      <c r="F460">
        <v>20.41</v>
      </c>
      <c r="G460">
        <v>10.28</v>
      </c>
      <c r="H460">
        <v>28.75</v>
      </c>
      <c r="I460">
        <v>1.03</v>
      </c>
      <c r="J460">
        <v>347.34</v>
      </c>
      <c r="K460">
        <f t="shared" si="65"/>
        <v>4862.7599999999993</v>
      </c>
      <c r="L460">
        <f t="shared" si="66"/>
        <v>0</v>
      </c>
      <c r="M460">
        <f t="shared" si="63"/>
        <v>0</v>
      </c>
      <c r="N460">
        <f t="shared" si="67"/>
        <v>0</v>
      </c>
      <c r="O460">
        <f t="shared" si="68"/>
        <v>2937.4071999999996</v>
      </c>
      <c r="P460">
        <f t="shared" si="69"/>
        <v>734.35179999999991</v>
      </c>
      <c r="Q460">
        <f t="shared" si="70"/>
        <v>749.33257671999991</v>
      </c>
      <c r="R460">
        <f t="shared" si="71"/>
        <v>414.57499999999999</v>
      </c>
      <c r="S460">
        <f t="shared" si="64"/>
        <v>4862.7599999999993</v>
      </c>
    </row>
    <row r="461" spans="1:19" x14ac:dyDescent="0.25">
      <c r="A461">
        <v>591</v>
      </c>
      <c r="B461">
        <v>1296</v>
      </c>
      <c r="C461" t="s">
        <v>34</v>
      </c>
      <c r="D461" t="s">
        <v>173</v>
      </c>
      <c r="E461">
        <v>8</v>
      </c>
      <c r="F461">
        <v>15.6</v>
      </c>
      <c r="G461">
        <v>3.16</v>
      </c>
      <c r="H461">
        <v>31.47</v>
      </c>
      <c r="I461">
        <v>0.83</v>
      </c>
      <c r="J461">
        <v>96.51</v>
      </c>
      <c r="K461">
        <f t="shared" si="65"/>
        <v>772.08</v>
      </c>
      <c r="L461">
        <f t="shared" si="66"/>
        <v>772.08</v>
      </c>
      <c r="M461">
        <f t="shared" si="63"/>
        <v>394.36799999999999</v>
      </c>
      <c r="N461">
        <f t="shared" si="67"/>
        <v>98.591999999999999</v>
      </c>
      <c r="O461">
        <f t="shared" si="68"/>
        <v>394.36799999999999</v>
      </c>
      <c r="P461">
        <f t="shared" si="69"/>
        <v>98.591999999999999</v>
      </c>
      <c r="Q461">
        <f t="shared" si="70"/>
        <v>100.60327679999999</v>
      </c>
      <c r="R461">
        <f t="shared" si="71"/>
        <v>208.96079999999998</v>
      </c>
      <c r="S461">
        <f t="shared" si="64"/>
        <v>772.08</v>
      </c>
    </row>
    <row r="462" spans="1:19" x14ac:dyDescent="0.25">
      <c r="A462">
        <v>592</v>
      </c>
      <c r="B462">
        <v>1296</v>
      </c>
      <c r="C462" t="s">
        <v>34</v>
      </c>
      <c r="D462" t="s">
        <v>173</v>
      </c>
      <c r="E462">
        <v>14</v>
      </c>
      <c r="F462">
        <v>15.23</v>
      </c>
      <c r="G462">
        <v>2.93</v>
      </c>
      <c r="H462">
        <v>30.63</v>
      </c>
      <c r="I462">
        <v>0.82</v>
      </c>
      <c r="J462">
        <v>88.98</v>
      </c>
      <c r="K462">
        <f t="shared" si="65"/>
        <v>1245.72</v>
      </c>
      <c r="L462">
        <f t="shared" si="66"/>
        <v>1245.72</v>
      </c>
      <c r="M462">
        <f t="shared" si="63"/>
        <v>624.73460000000011</v>
      </c>
      <c r="N462">
        <f t="shared" si="67"/>
        <v>156.18365000000003</v>
      </c>
      <c r="O462">
        <f t="shared" si="68"/>
        <v>624.73460000000011</v>
      </c>
      <c r="P462">
        <f t="shared" si="69"/>
        <v>156.18365000000003</v>
      </c>
      <c r="Q462">
        <f t="shared" si="70"/>
        <v>159.36979646000003</v>
      </c>
      <c r="R462">
        <f t="shared" si="71"/>
        <v>351.63239999999996</v>
      </c>
      <c r="S462">
        <f t="shared" si="64"/>
        <v>1245.72</v>
      </c>
    </row>
    <row r="463" spans="1:19" x14ac:dyDescent="0.25">
      <c r="A463">
        <v>593</v>
      </c>
      <c r="B463">
        <v>1296</v>
      </c>
      <c r="C463" t="s">
        <v>34</v>
      </c>
      <c r="D463" t="s">
        <v>173</v>
      </c>
      <c r="E463">
        <v>29</v>
      </c>
      <c r="F463">
        <v>15.71</v>
      </c>
      <c r="G463">
        <v>3.22</v>
      </c>
      <c r="H463">
        <v>30.09</v>
      </c>
      <c r="I463">
        <v>0.78</v>
      </c>
      <c r="J463">
        <v>95.37</v>
      </c>
      <c r="K463">
        <f t="shared" si="65"/>
        <v>2765.73</v>
      </c>
      <c r="L463">
        <f t="shared" si="66"/>
        <v>2765.73</v>
      </c>
      <c r="M463">
        <f t="shared" si="63"/>
        <v>1466.9998000000003</v>
      </c>
      <c r="N463">
        <f t="shared" si="67"/>
        <v>366.74995000000007</v>
      </c>
      <c r="O463">
        <f t="shared" si="68"/>
        <v>1466.9998000000003</v>
      </c>
      <c r="P463">
        <f t="shared" si="69"/>
        <v>366.74995000000007</v>
      </c>
      <c r="Q463">
        <f t="shared" si="70"/>
        <v>374.23164898000005</v>
      </c>
      <c r="R463">
        <f t="shared" si="71"/>
        <v>680.63580000000002</v>
      </c>
      <c r="S463">
        <f t="shared" si="64"/>
        <v>2765.73</v>
      </c>
    </row>
    <row r="464" spans="1:19" x14ac:dyDescent="0.25">
      <c r="A464">
        <v>594</v>
      </c>
      <c r="B464">
        <v>1296</v>
      </c>
      <c r="C464" t="s">
        <v>34</v>
      </c>
      <c r="D464" t="s">
        <v>173</v>
      </c>
      <c r="E464">
        <v>18</v>
      </c>
      <c r="F464">
        <v>14.4</v>
      </c>
      <c r="G464">
        <v>2.84</v>
      </c>
      <c r="H464">
        <v>32.090000000000003</v>
      </c>
      <c r="I464">
        <v>0.82</v>
      </c>
      <c r="J464">
        <v>85.18</v>
      </c>
      <c r="K464">
        <f t="shared" si="65"/>
        <v>1533.2400000000002</v>
      </c>
      <c r="L464">
        <f t="shared" si="66"/>
        <v>1533.2400000000002</v>
      </c>
      <c r="M464">
        <f t="shared" si="63"/>
        <v>736.12799999999993</v>
      </c>
      <c r="N464">
        <f t="shared" si="67"/>
        <v>184.03199999999998</v>
      </c>
      <c r="O464">
        <f t="shared" si="68"/>
        <v>736.12799999999993</v>
      </c>
      <c r="P464">
        <f t="shared" si="69"/>
        <v>184.03199999999998</v>
      </c>
      <c r="Q464">
        <f t="shared" si="70"/>
        <v>187.78625279999997</v>
      </c>
      <c r="R464">
        <f t="shared" si="71"/>
        <v>473.64840000000004</v>
      </c>
      <c r="S464">
        <f t="shared" si="64"/>
        <v>1533.2400000000002</v>
      </c>
    </row>
    <row r="465" spans="1:19" x14ac:dyDescent="0.25">
      <c r="A465">
        <v>595</v>
      </c>
      <c r="B465">
        <v>1296</v>
      </c>
      <c r="C465" t="s">
        <v>34</v>
      </c>
      <c r="D465" t="s">
        <v>173</v>
      </c>
      <c r="E465">
        <v>15</v>
      </c>
      <c r="F465">
        <v>14.61</v>
      </c>
      <c r="G465">
        <v>2.54</v>
      </c>
      <c r="H465">
        <v>27.65</v>
      </c>
      <c r="I465">
        <v>0.8</v>
      </c>
      <c r="J465">
        <v>75.36</v>
      </c>
      <c r="K465">
        <f t="shared" si="65"/>
        <v>1130.4000000000001</v>
      </c>
      <c r="L465">
        <f t="shared" si="66"/>
        <v>1130.4000000000001</v>
      </c>
      <c r="M465">
        <f t="shared" si="63"/>
        <v>556.64099999999996</v>
      </c>
      <c r="N465">
        <f t="shared" si="67"/>
        <v>139.16024999999999</v>
      </c>
      <c r="O465">
        <f t="shared" si="68"/>
        <v>556.64099999999996</v>
      </c>
      <c r="P465">
        <f t="shared" si="69"/>
        <v>139.16024999999999</v>
      </c>
      <c r="Q465">
        <f t="shared" si="70"/>
        <v>141.99911909999997</v>
      </c>
      <c r="R465">
        <f t="shared" si="71"/>
        <v>331.79999999999995</v>
      </c>
      <c r="S465">
        <f t="shared" si="64"/>
        <v>1130.4000000000001</v>
      </c>
    </row>
    <row r="466" spans="1:19" x14ac:dyDescent="0.25">
      <c r="A466">
        <v>596</v>
      </c>
      <c r="B466">
        <v>1297</v>
      </c>
      <c r="C466" t="s">
        <v>32</v>
      </c>
      <c r="D466" t="s">
        <v>172</v>
      </c>
      <c r="E466">
        <v>14</v>
      </c>
      <c r="F466">
        <v>18.690000000000001</v>
      </c>
      <c r="G466">
        <v>10.99</v>
      </c>
      <c r="H466">
        <v>31.96</v>
      </c>
      <c r="I466">
        <v>1.07</v>
      </c>
      <c r="J466">
        <v>346.23</v>
      </c>
      <c r="K466">
        <f t="shared" si="65"/>
        <v>4847.22</v>
      </c>
      <c r="L466">
        <f t="shared" si="66"/>
        <v>0</v>
      </c>
      <c r="M466">
        <f t="shared" si="63"/>
        <v>0</v>
      </c>
      <c r="N466">
        <f t="shared" si="67"/>
        <v>0</v>
      </c>
      <c r="O466">
        <f t="shared" si="68"/>
        <v>2875.6434000000004</v>
      </c>
      <c r="P466">
        <f t="shared" si="69"/>
        <v>718.9108500000001</v>
      </c>
      <c r="Q466">
        <f t="shared" si="70"/>
        <v>733.57663134000006</v>
      </c>
      <c r="R466">
        <f t="shared" si="71"/>
        <v>478.76080000000002</v>
      </c>
      <c r="S466">
        <f t="shared" si="64"/>
        <v>4847.22</v>
      </c>
    </row>
    <row r="467" spans="1:19" x14ac:dyDescent="0.25">
      <c r="A467">
        <v>597</v>
      </c>
      <c r="B467">
        <v>1297</v>
      </c>
      <c r="C467" t="s">
        <v>32</v>
      </c>
      <c r="D467" t="s">
        <v>172</v>
      </c>
      <c r="E467">
        <v>11</v>
      </c>
      <c r="F467">
        <v>19.54</v>
      </c>
      <c r="G467">
        <v>11.37</v>
      </c>
      <c r="H467">
        <v>28.99</v>
      </c>
      <c r="I467">
        <v>0.93</v>
      </c>
      <c r="J467">
        <v>362.56</v>
      </c>
      <c r="K467">
        <f t="shared" si="65"/>
        <v>3988.16</v>
      </c>
      <c r="L467">
        <f t="shared" si="66"/>
        <v>0</v>
      </c>
      <c r="M467">
        <f t="shared" si="63"/>
        <v>0</v>
      </c>
      <c r="N467">
        <f t="shared" si="67"/>
        <v>0</v>
      </c>
      <c r="O467">
        <f t="shared" si="68"/>
        <v>2443.8677999999995</v>
      </c>
      <c r="P467">
        <f t="shared" si="69"/>
        <v>610.96694999999988</v>
      </c>
      <c r="Q467">
        <f t="shared" si="70"/>
        <v>623.43067577999989</v>
      </c>
      <c r="R467">
        <f t="shared" si="71"/>
        <v>296.5677</v>
      </c>
      <c r="S467">
        <f t="shared" si="64"/>
        <v>3988.16</v>
      </c>
    </row>
    <row r="468" spans="1:19" x14ac:dyDescent="0.25">
      <c r="A468">
        <v>598</v>
      </c>
      <c r="B468">
        <v>1297</v>
      </c>
      <c r="C468" t="s">
        <v>32</v>
      </c>
      <c r="D468" t="s">
        <v>172</v>
      </c>
      <c r="E468">
        <v>15</v>
      </c>
      <c r="F468">
        <v>19.93</v>
      </c>
      <c r="G468">
        <v>11.54</v>
      </c>
      <c r="H468">
        <v>36.369999999999997</v>
      </c>
      <c r="I468">
        <v>0.99</v>
      </c>
      <c r="J468">
        <v>311.2</v>
      </c>
      <c r="K468">
        <f t="shared" si="65"/>
        <v>4668</v>
      </c>
      <c r="L468">
        <f t="shared" si="66"/>
        <v>0</v>
      </c>
      <c r="M468">
        <f t="shared" si="63"/>
        <v>0</v>
      </c>
      <c r="N468">
        <f t="shared" si="67"/>
        <v>0</v>
      </c>
      <c r="O468">
        <f t="shared" si="68"/>
        <v>3449.8829999999998</v>
      </c>
      <c r="P468">
        <f t="shared" si="69"/>
        <v>862.47074999999995</v>
      </c>
      <c r="Q468">
        <f t="shared" si="70"/>
        <v>880.06515329999991</v>
      </c>
      <c r="R468">
        <f t="shared" si="71"/>
        <v>540.09449999999993</v>
      </c>
      <c r="S468">
        <f t="shared" si="64"/>
        <v>4668</v>
      </c>
    </row>
    <row r="469" spans="1:19" x14ac:dyDescent="0.25">
      <c r="A469">
        <v>599</v>
      </c>
      <c r="B469">
        <v>1297</v>
      </c>
      <c r="C469" t="s">
        <v>32</v>
      </c>
      <c r="D469" t="s">
        <v>173</v>
      </c>
      <c r="E469">
        <v>9</v>
      </c>
      <c r="F469">
        <v>15.78</v>
      </c>
      <c r="G469">
        <v>2.79</v>
      </c>
      <c r="H469">
        <v>33.14</v>
      </c>
      <c r="I469">
        <v>0.79</v>
      </c>
      <c r="J469">
        <v>89.34</v>
      </c>
      <c r="K469">
        <f t="shared" si="65"/>
        <v>804.06000000000006</v>
      </c>
      <c r="L469">
        <f t="shared" si="66"/>
        <v>804.06000000000006</v>
      </c>
      <c r="M469">
        <f t="shared" si="63"/>
        <v>396.23579999999998</v>
      </c>
      <c r="N469">
        <f t="shared" si="67"/>
        <v>99.058949999999996</v>
      </c>
      <c r="O469">
        <f t="shared" si="68"/>
        <v>396.23579999999998</v>
      </c>
      <c r="P469">
        <f t="shared" si="69"/>
        <v>99.058949999999996</v>
      </c>
      <c r="Q469">
        <f t="shared" si="70"/>
        <v>101.07975257999999</v>
      </c>
      <c r="R469">
        <f t="shared" si="71"/>
        <v>235.62540000000001</v>
      </c>
      <c r="S469">
        <f t="shared" si="64"/>
        <v>804.06000000000006</v>
      </c>
    </row>
    <row r="470" spans="1:19" x14ac:dyDescent="0.25">
      <c r="A470">
        <v>600</v>
      </c>
      <c r="B470">
        <v>1297</v>
      </c>
      <c r="C470" t="s">
        <v>32</v>
      </c>
      <c r="D470" t="s">
        <v>172</v>
      </c>
      <c r="E470">
        <v>8</v>
      </c>
      <c r="F470">
        <v>20.04</v>
      </c>
      <c r="G470">
        <v>11.4</v>
      </c>
      <c r="H470">
        <v>31.24</v>
      </c>
      <c r="I470">
        <v>1.01</v>
      </c>
      <c r="J470">
        <v>377.38</v>
      </c>
      <c r="K470">
        <f t="shared" si="65"/>
        <v>3019.04</v>
      </c>
      <c r="L470">
        <f t="shared" si="66"/>
        <v>0</v>
      </c>
      <c r="M470">
        <f t="shared" si="63"/>
        <v>0</v>
      </c>
      <c r="N470">
        <f t="shared" si="67"/>
        <v>0</v>
      </c>
      <c r="O470">
        <f t="shared" si="68"/>
        <v>1827.6479999999999</v>
      </c>
      <c r="P470">
        <f t="shared" si="69"/>
        <v>456.91199999999998</v>
      </c>
      <c r="Q470">
        <f t="shared" si="70"/>
        <v>466.23300479999995</v>
      </c>
      <c r="R470">
        <f t="shared" si="71"/>
        <v>252.41919999999999</v>
      </c>
      <c r="S470">
        <f t="shared" si="64"/>
        <v>3019.04</v>
      </c>
    </row>
    <row r="471" spans="1:19" x14ac:dyDescent="0.25">
      <c r="A471">
        <v>601</v>
      </c>
      <c r="B471">
        <v>1297</v>
      </c>
      <c r="C471" t="s">
        <v>32</v>
      </c>
      <c r="D471" t="s">
        <v>173</v>
      </c>
      <c r="E471">
        <v>4</v>
      </c>
      <c r="F471">
        <v>14.25</v>
      </c>
      <c r="G471">
        <v>3.24</v>
      </c>
      <c r="H471">
        <v>24.38</v>
      </c>
      <c r="I471">
        <v>0.8</v>
      </c>
      <c r="J471">
        <v>84.94</v>
      </c>
      <c r="K471">
        <f t="shared" si="65"/>
        <v>339.76</v>
      </c>
      <c r="L471">
        <f t="shared" si="66"/>
        <v>339.76</v>
      </c>
      <c r="M471">
        <f t="shared" si="63"/>
        <v>184.68</v>
      </c>
      <c r="N471">
        <f t="shared" si="67"/>
        <v>46.17</v>
      </c>
      <c r="O471">
        <f t="shared" si="68"/>
        <v>184.68</v>
      </c>
      <c r="P471">
        <f t="shared" si="69"/>
        <v>46.17</v>
      </c>
      <c r="Q471">
        <f t="shared" si="70"/>
        <v>47.111868000000001</v>
      </c>
      <c r="R471">
        <f t="shared" si="71"/>
        <v>78.016000000000005</v>
      </c>
      <c r="S471">
        <f t="shared" si="64"/>
        <v>339.76</v>
      </c>
    </row>
    <row r="472" spans="1:19" x14ac:dyDescent="0.25">
      <c r="A472">
        <v>602</v>
      </c>
      <c r="B472">
        <v>1297</v>
      </c>
      <c r="C472" t="s">
        <v>32</v>
      </c>
      <c r="D472" t="s">
        <v>172</v>
      </c>
      <c r="E472">
        <v>12</v>
      </c>
      <c r="F472">
        <v>19.5</v>
      </c>
      <c r="G472">
        <v>11.3</v>
      </c>
      <c r="H472">
        <v>30.88</v>
      </c>
      <c r="I472">
        <v>1</v>
      </c>
      <c r="J472">
        <v>364.52</v>
      </c>
      <c r="K472">
        <f t="shared" si="65"/>
        <v>4374.24</v>
      </c>
      <c r="L472">
        <f t="shared" si="66"/>
        <v>0</v>
      </c>
      <c r="M472">
        <f t="shared" si="63"/>
        <v>0</v>
      </c>
      <c r="N472">
        <f t="shared" si="67"/>
        <v>0</v>
      </c>
      <c r="O472">
        <f t="shared" si="68"/>
        <v>2644.2000000000003</v>
      </c>
      <c r="P472">
        <f t="shared" si="69"/>
        <v>661.05000000000007</v>
      </c>
      <c r="Q472">
        <f t="shared" si="70"/>
        <v>674.53542000000004</v>
      </c>
      <c r="R472">
        <f t="shared" si="71"/>
        <v>370.56</v>
      </c>
      <c r="S472">
        <f t="shared" si="64"/>
        <v>4374.24</v>
      </c>
    </row>
    <row r="473" spans="1:19" x14ac:dyDescent="0.25">
      <c r="A473">
        <v>603</v>
      </c>
      <c r="B473">
        <v>1298</v>
      </c>
      <c r="C473" t="s">
        <v>33</v>
      </c>
      <c r="D473" t="s">
        <v>173</v>
      </c>
      <c r="E473">
        <v>12</v>
      </c>
      <c r="F473">
        <v>14.76</v>
      </c>
      <c r="G473">
        <v>3.26</v>
      </c>
      <c r="H473">
        <v>29.19</v>
      </c>
      <c r="I473">
        <v>0.81</v>
      </c>
      <c r="J473">
        <v>92.17</v>
      </c>
      <c r="K473">
        <f t="shared" si="65"/>
        <v>1106.04</v>
      </c>
      <c r="L473">
        <f t="shared" si="66"/>
        <v>1106.04</v>
      </c>
      <c r="M473">
        <f t="shared" si="63"/>
        <v>577.41120000000001</v>
      </c>
      <c r="N473">
        <f t="shared" si="67"/>
        <v>144.3528</v>
      </c>
      <c r="O473">
        <f t="shared" si="68"/>
        <v>577.41120000000001</v>
      </c>
      <c r="P473">
        <f t="shared" si="69"/>
        <v>144.3528</v>
      </c>
      <c r="Q473">
        <f t="shared" si="70"/>
        <v>147.29759712000001</v>
      </c>
      <c r="R473">
        <f t="shared" si="71"/>
        <v>283.72680000000003</v>
      </c>
      <c r="S473">
        <f t="shared" si="64"/>
        <v>1106.04</v>
      </c>
    </row>
    <row r="474" spans="1:19" x14ac:dyDescent="0.25">
      <c r="A474">
        <v>604</v>
      </c>
      <c r="B474">
        <v>1298</v>
      </c>
      <c r="C474" t="s">
        <v>33</v>
      </c>
      <c r="D474" t="s">
        <v>172</v>
      </c>
      <c r="E474">
        <v>18</v>
      </c>
      <c r="F474">
        <v>18.46</v>
      </c>
      <c r="G474">
        <v>11.11</v>
      </c>
      <c r="H474">
        <v>35.51</v>
      </c>
      <c r="I474">
        <v>1.01</v>
      </c>
      <c r="J474">
        <v>347.75</v>
      </c>
      <c r="K474">
        <f t="shared" si="65"/>
        <v>6259.5</v>
      </c>
      <c r="L474">
        <f t="shared" si="66"/>
        <v>0</v>
      </c>
      <c r="M474">
        <f t="shared" si="63"/>
        <v>0</v>
      </c>
      <c r="N474">
        <f t="shared" si="67"/>
        <v>0</v>
      </c>
      <c r="O474">
        <f t="shared" si="68"/>
        <v>3691.6307999999999</v>
      </c>
      <c r="P474">
        <f t="shared" si="69"/>
        <v>922.90769999999998</v>
      </c>
      <c r="Q474">
        <f t="shared" si="70"/>
        <v>941.73501707999992</v>
      </c>
      <c r="R474">
        <f t="shared" si="71"/>
        <v>645.57179999999994</v>
      </c>
      <c r="S474">
        <f t="shared" si="64"/>
        <v>6259.5</v>
      </c>
    </row>
    <row r="475" spans="1:19" x14ac:dyDescent="0.25">
      <c r="A475">
        <v>605</v>
      </c>
      <c r="B475">
        <v>1298</v>
      </c>
      <c r="C475" t="s">
        <v>33</v>
      </c>
      <c r="D475" t="s">
        <v>172</v>
      </c>
      <c r="E475">
        <v>12</v>
      </c>
      <c r="F475">
        <v>20.25</v>
      </c>
      <c r="G475">
        <v>11.73</v>
      </c>
      <c r="H475">
        <v>30.82</v>
      </c>
      <c r="I475">
        <v>1.04</v>
      </c>
      <c r="J475">
        <v>391.47</v>
      </c>
      <c r="K475">
        <f t="shared" si="65"/>
        <v>4697.6400000000003</v>
      </c>
      <c r="L475">
        <f t="shared" si="66"/>
        <v>0</v>
      </c>
      <c r="M475">
        <f t="shared" si="63"/>
        <v>0</v>
      </c>
      <c r="N475">
        <f t="shared" si="67"/>
        <v>0</v>
      </c>
      <c r="O475">
        <f t="shared" si="68"/>
        <v>2850.39</v>
      </c>
      <c r="P475">
        <f t="shared" si="69"/>
        <v>712.59749999999997</v>
      </c>
      <c r="Q475">
        <f t="shared" si="70"/>
        <v>727.13448899999992</v>
      </c>
      <c r="R475">
        <f t="shared" si="71"/>
        <v>384.6336</v>
      </c>
      <c r="S475">
        <f t="shared" si="64"/>
        <v>4697.6400000000003</v>
      </c>
    </row>
    <row r="476" spans="1:19" x14ac:dyDescent="0.25">
      <c r="A476">
        <v>606</v>
      </c>
      <c r="B476">
        <v>1298</v>
      </c>
      <c r="C476" t="s">
        <v>33</v>
      </c>
      <c r="D476" t="s">
        <v>172</v>
      </c>
      <c r="E476">
        <v>9</v>
      </c>
      <c r="F476">
        <v>18.25</v>
      </c>
      <c r="G476">
        <v>11.68</v>
      </c>
      <c r="H476">
        <v>30.68</v>
      </c>
      <c r="I476">
        <v>0.92</v>
      </c>
      <c r="J476">
        <v>350.66</v>
      </c>
      <c r="K476">
        <f t="shared" si="65"/>
        <v>3155.94</v>
      </c>
      <c r="L476">
        <f t="shared" si="66"/>
        <v>0</v>
      </c>
      <c r="M476">
        <f t="shared" si="63"/>
        <v>0</v>
      </c>
      <c r="N476">
        <f t="shared" si="67"/>
        <v>0</v>
      </c>
      <c r="O476">
        <f t="shared" si="68"/>
        <v>1918.44</v>
      </c>
      <c r="P476">
        <f t="shared" si="69"/>
        <v>479.61</v>
      </c>
      <c r="Q476">
        <f t="shared" si="70"/>
        <v>489.39404400000001</v>
      </c>
      <c r="R476">
        <f t="shared" si="71"/>
        <v>254.03040000000004</v>
      </c>
      <c r="S476">
        <f t="shared" si="64"/>
        <v>3155.94</v>
      </c>
    </row>
    <row r="477" spans="1:19" x14ac:dyDescent="0.25">
      <c r="A477">
        <v>607</v>
      </c>
      <c r="B477">
        <v>1298</v>
      </c>
      <c r="C477" t="s">
        <v>33</v>
      </c>
      <c r="D477" t="s">
        <v>172</v>
      </c>
      <c r="E477">
        <v>14</v>
      </c>
      <c r="F477">
        <v>19.260000000000002</v>
      </c>
      <c r="G477">
        <v>10.65</v>
      </c>
      <c r="H477">
        <v>33.04</v>
      </c>
      <c r="I477">
        <v>1.04</v>
      </c>
      <c r="J477">
        <v>346</v>
      </c>
      <c r="K477">
        <f t="shared" si="65"/>
        <v>4844</v>
      </c>
      <c r="L477">
        <f t="shared" si="66"/>
        <v>0</v>
      </c>
      <c r="M477">
        <f t="shared" si="63"/>
        <v>0</v>
      </c>
      <c r="N477">
        <f t="shared" si="67"/>
        <v>0</v>
      </c>
      <c r="O477">
        <f t="shared" si="68"/>
        <v>2871.6660000000002</v>
      </c>
      <c r="P477">
        <f t="shared" si="69"/>
        <v>717.91650000000004</v>
      </c>
      <c r="Q477">
        <f t="shared" si="70"/>
        <v>732.56199660000004</v>
      </c>
      <c r="R477">
        <f t="shared" si="71"/>
        <v>481.06240000000003</v>
      </c>
      <c r="S477">
        <f t="shared" si="64"/>
        <v>4844</v>
      </c>
    </row>
    <row r="478" spans="1:19" x14ac:dyDescent="0.25">
      <c r="A478">
        <v>608</v>
      </c>
      <c r="B478">
        <v>1298</v>
      </c>
      <c r="C478" t="s">
        <v>33</v>
      </c>
      <c r="D478" t="s">
        <v>173</v>
      </c>
      <c r="E478">
        <v>655</v>
      </c>
      <c r="F478">
        <v>12.95</v>
      </c>
      <c r="G478">
        <v>2.78</v>
      </c>
      <c r="H478">
        <v>33.33</v>
      </c>
      <c r="I478">
        <v>0.8</v>
      </c>
      <c r="J478">
        <v>70.95</v>
      </c>
      <c r="K478">
        <f t="shared" si="65"/>
        <v>46472.25</v>
      </c>
      <c r="L478">
        <f t="shared" si="66"/>
        <v>46472.25</v>
      </c>
      <c r="M478">
        <f t="shared" si="63"/>
        <v>23580.654999999995</v>
      </c>
      <c r="N478">
        <f t="shared" si="67"/>
        <v>5895.1637499999988</v>
      </c>
      <c r="O478">
        <f t="shared" si="68"/>
        <v>23580.654999999995</v>
      </c>
      <c r="P478">
        <f t="shared" si="69"/>
        <v>5895.1637499999988</v>
      </c>
      <c r="Q478">
        <f t="shared" si="70"/>
        <v>6015.425090499999</v>
      </c>
      <c r="R478">
        <f t="shared" si="71"/>
        <v>17464.919999999998</v>
      </c>
      <c r="S478">
        <f t="shared" si="64"/>
        <v>46472.25</v>
      </c>
    </row>
    <row r="479" spans="1:19" x14ac:dyDescent="0.25">
      <c r="A479">
        <v>609</v>
      </c>
      <c r="B479">
        <v>1298</v>
      </c>
      <c r="C479" t="s">
        <v>33</v>
      </c>
      <c r="D479" t="s">
        <v>172</v>
      </c>
      <c r="E479">
        <v>18</v>
      </c>
      <c r="F479">
        <v>20.67</v>
      </c>
      <c r="G479">
        <v>10.56</v>
      </c>
      <c r="H479">
        <v>33.15</v>
      </c>
      <c r="I479">
        <v>1.02</v>
      </c>
      <c r="J479">
        <v>364.92</v>
      </c>
      <c r="K479">
        <f t="shared" si="65"/>
        <v>6568.56</v>
      </c>
      <c r="L479">
        <f t="shared" si="66"/>
        <v>0</v>
      </c>
      <c r="M479">
        <f t="shared" si="63"/>
        <v>0</v>
      </c>
      <c r="N479">
        <f t="shared" si="67"/>
        <v>0</v>
      </c>
      <c r="O479">
        <f t="shared" si="68"/>
        <v>3928.9536000000007</v>
      </c>
      <c r="P479">
        <f t="shared" si="69"/>
        <v>982.23840000000018</v>
      </c>
      <c r="Q479">
        <f t="shared" si="70"/>
        <v>1002.2760633600002</v>
      </c>
      <c r="R479">
        <f t="shared" si="71"/>
        <v>608.6339999999999</v>
      </c>
      <c r="S479">
        <f t="shared" si="64"/>
        <v>6568.56</v>
      </c>
    </row>
    <row r="480" spans="1:19" x14ac:dyDescent="0.25">
      <c r="A480">
        <v>610</v>
      </c>
      <c r="B480">
        <v>1298</v>
      </c>
      <c r="C480" t="s">
        <v>33</v>
      </c>
      <c r="D480" t="s">
        <v>172</v>
      </c>
      <c r="E480">
        <v>18</v>
      </c>
      <c r="F480">
        <v>19.190000000000001</v>
      </c>
      <c r="G480">
        <v>9.17</v>
      </c>
      <c r="H480">
        <v>35.24</v>
      </c>
      <c r="I480">
        <v>1.02</v>
      </c>
      <c r="J480">
        <v>304.52999999999997</v>
      </c>
      <c r="K480">
        <f t="shared" si="65"/>
        <v>5481.5399999999991</v>
      </c>
      <c r="L480">
        <f t="shared" si="66"/>
        <v>0</v>
      </c>
      <c r="M480">
        <f t="shared" si="63"/>
        <v>0</v>
      </c>
      <c r="N480">
        <f t="shared" si="67"/>
        <v>0</v>
      </c>
      <c r="O480">
        <f t="shared" si="68"/>
        <v>3167.5014000000001</v>
      </c>
      <c r="P480">
        <f t="shared" si="69"/>
        <v>791.87535000000003</v>
      </c>
      <c r="Q480">
        <f t="shared" si="70"/>
        <v>808.02960714000005</v>
      </c>
      <c r="R480">
        <f t="shared" si="71"/>
        <v>647.00639999999999</v>
      </c>
      <c r="S480">
        <f t="shared" si="64"/>
        <v>5481.5399999999991</v>
      </c>
    </row>
    <row r="481" spans="1:19" x14ac:dyDescent="0.25">
      <c r="A481">
        <v>611</v>
      </c>
      <c r="B481">
        <v>1299</v>
      </c>
      <c r="C481" t="s">
        <v>32</v>
      </c>
      <c r="D481" t="s">
        <v>172</v>
      </c>
      <c r="E481">
        <v>13</v>
      </c>
      <c r="F481">
        <v>19.93</v>
      </c>
      <c r="G481">
        <v>10.85</v>
      </c>
      <c r="H481">
        <v>27.65</v>
      </c>
      <c r="I481">
        <v>1.05</v>
      </c>
      <c r="J481">
        <v>356.21</v>
      </c>
      <c r="K481">
        <f t="shared" si="65"/>
        <v>4630.7299999999996</v>
      </c>
      <c r="L481">
        <f t="shared" si="66"/>
        <v>0</v>
      </c>
      <c r="M481">
        <f t="shared" si="63"/>
        <v>0</v>
      </c>
      <c r="N481">
        <f t="shared" si="67"/>
        <v>0</v>
      </c>
      <c r="O481">
        <f t="shared" si="68"/>
        <v>2811.1264999999994</v>
      </c>
      <c r="P481">
        <f t="shared" si="69"/>
        <v>702.78162499999985</v>
      </c>
      <c r="Q481">
        <f t="shared" si="70"/>
        <v>717.11837014999981</v>
      </c>
      <c r="R481">
        <f t="shared" si="71"/>
        <v>377.42250000000001</v>
      </c>
      <c r="S481">
        <f t="shared" si="64"/>
        <v>4630.7299999999996</v>
      </c>
    </row>
    <row r="482" spans="1:19" x14ac:dyDescent="0.25">
      <c r="A482">
        <v>612</v>
      </c>
      <c r="B482">
        <v>1299</v>
      </c>
      <c r="C482" t="s">
        <v>32</v>
      </c>
      <c r="D482" t="s">
        <v>173</v>
      </c>
      <c r="E482">
        <v>26</v>
      </c>
      <c r="F482">
        <v>15.8</v>
      </c>
      <c r="G482">
        <v>2.73</v>
      </c>
      <c r="H482">
        <v>33.54</v>
      </c>
      <c r="I482">
        <v>0.8</v>
      </c>
      <c r="J482">
        <v>88.82</v>
      </c>
      <c r="K482">
        <f t="shared" si="65"/>
        <v>2309.3199999999997</v>
      </c>
      <c r="L482">
        <f t="shared" si="66"/>
        <v>2309.3199999999997</v>
      </c>
      <c r="M482">
        <f t="shared" si="63"/>
        <v>1121.4840000000002</v>
      </c>
      <c r="N482">
        <f t="shared" si="67"/>
        <v>280.37100000000004</v>
      </c>
      <c r="O482">
        <f t="shared" si="68"/>
        <v>1121.4840000000002</v>
      </c>
      <c r="P482">
        <f t="shared" si="69"/>
        <v>280.37100000000004</v>
      </c>
      <c r="Q482">
        <f t="shared" si="70"/>
        <v>286.09056840000005</v>
      </c>
      <c r="R482">
        <f t="shared" si="71"/>
        <v>697.63200000000006</v>
      </c>
      <c r="S482">
        <f t="shared" si="64"/>
        <v>2309.3199999999997</v>
      </c>
    </row>
    <row r="483" spans="1:19" x14ac:dyDescent="0.25">
      <c r="A483">
        <v>613</v>
      </c>
      <c r="B483">
        <v>1299</v>
      </c>
      <c r="C483" t="s">
        <v>32</v>
      </c>
      <c r="D483" t="s">
        <v>173</v>
      </c>
      <c r="E483">
        <v>12</v>
      </c>
      <c r="F483">
        <v>14.66</v>
      </c>
      <c r="G483">
        <v>2.59</v>
      </c>
      <c r="H483">
        <v>29.31</v>
      </c>
      <c r="I483">
        <v>0.81</v>
      </c>
      <c r="J483">
        <v>78.319999999999993</v>
      </c>
      <c r="K483">
        <f t="shared" si="65"/>
        <v>939.83999999999992</v>
      </c>
      <c r="L483">
        <f t="shared" si="66"/>
        <v>939.83999999999992</v>
      </c>
      <c r="M483">
        <f t="shared" si="63"/>
        <v>455.63279999999997</v>
      </c>
      <c r="N483">
        <f t="shared" si="67"/>
        <v>113.90819999999999</v>
      </c>
      <c r="O483">
        <f t="shared" si="68"/>
        <v>455.63279999999997</v>
      </c>
      <c r="P483">
        <f t="shared" si="69"/>
        <v>113.90819999999999</v>
      </c>
      <c r="Q483">
        <f t="shared" si="70"/>
        <v>116.23192727999999</v>
      </c>
      <c r="R483">
        <f t="shared" si="71"/>
        <v>284.89319999999998</v>
      </c>
      <c r="S483">
        <f t="shared" si="64"/>
        <v>939.83999999999992</v>
      </c>
    </row>
    <row r="484" spans="1:19" x14ac:dyDescent="0.25">
      <c r="A484">
        <v>614</v>
      </c>
      <c r="B484">
        <v>1299</v>
      </c>
      <c r="C484" t="s">
        <v>32</v>
      </c>
      <c r="D484" t="s">
        <v>172</v>
      </c>
      <c r="E484">
        <v>11</v>
      </c>
      <c r="F484">
        <v>19.93</v>
      </c>
      <c r="G484">
        <v>11.86</v>
      </c>
      <c r="H484">
        <v>36.32</v>
      </c>
      <c r="I484">
        <v>1.01</v>
      </c>
      <c r="J484">
        <v>325.83999999999997</v>
      </c>
      <c r="K484">
        <f t="shared" si="65"/>
        <v>3584.24</v>
      </c>
      <c r="L484">
        <f t="shared" si="66"/>
        <v>0</v>
      </c>
      <c r="M484">
        <f t="shared" si="63"/>
        <v>0</v>
      </c>
      <c r="N484">
        <f t="shared" si="67"/>
        <v>0</v>
      </c>
      <c r="O484">
        <f t="shared" si="68"/>
        <v>2600.0677999999994</v>
      </c>
      <c r="P484">
        <f t="shared" si="69"/>
        <v>650.01694999999984</v>
      </c>
      <c r="Q484">
        <f t="shared" si="70"/>
        <v>663.2772957799998</v>
      </c>
      <c r="R484">
        <f t="shared" si="71"/>
        <v>403.51519999999999</v>
      </c>
      <c r="S484">
        <f t="shared" si="64"/>
        <v>3584.24</v>
      </c>
    </row>
    <row r="485" spans="1:19" x14ac:dyDescent="0.25">
      <c r="A485">
        <v>615</v>
      </c>
      <c r="B485">
        <v>1299</v>
      </c>
      <c r="C485" t="s">
        <v>32</v>
      </c>
      <c r="D485" t="s">
        <v>173</v>
      </c>
      <c r="E485">
        <v>21</v>
      </c>
      <c r="F485">
        <v>15.69</v>
      </c>
      <c r="G485">
        <v>3.04</v>
      </c>
      <c r="H485">
        <v>27.24</v>
      </c>
      <c r="I485">
        <v>0.79</v>
      </c>
      <c r="J485">
        <v>89.26</v>
      </c>
      <c r="K485">
        <f t="shared" si="65"/>
        <v>1874.46</v>
      </c>
      <c r="L485">
        <f t="shared" si="66"/>
        <v>1874.46</v>
      </c>
      <c r="M485">
        <f t="shared" si="63"/>
        <v>1001.6496000000001</v>
      </c>
      <c r="N485">
        <f t="shared" si="67"/>
        <v>250.41240000000002</v>
      </c>
      <c r="O485">
        <f t="shared" si="68"/>
        <v>1001.6496000000001</v>
      </c>
      <c r="P485">
        <f t="shared" si="69"/>
        <v>250.41240000000002</v>
      </c>
      <c r="Q485">
        <f t="shared" si="70"/>
        <v>255.52081296</v>
      </c>
      <c r="R485">
        <f t="shared" si="71"/>
        <v>451.91159999999996</v>
      </c>
      <c r="S485">
        <f t="shared" si="64"/>
        <v>1874.46</v>
      </c>
    </row>
    <row r="486" spans="1:19" x14ac:dyDescent="0.25">
      <c r="A486">
        <v>616</v>
      </c>
      <c r="B486">
        <v>1299</v>
      </c>
      <c r="C486" t="s">
        <v>32</v>
      </c>
      <c r="D486" t="s">
        <v>172</v>
      </c>
      <c r="E486">
        <v>11</v>
      </c>
      <c r="F486">
        <v>19.89</v>
      </c>
      <c r="G486">
        <v>11.98</v>
      </c>
      <c r="H486">
        <v>29.12</v>
      </c>
      <c r="I486">
        <v>1.02</v>
      </c>
      <c r="J486">
        <v>389.79</v>
      </c>
      <c r="K486">
        <f t="shared" si="65"/>
        <v>4287.6900000000005</v>
      </c>
      <c r="L486">
        <f t="shared" si="66"/>
        <v>0</v>
      </c>
      <c r="M486">
        <f t="shared" si="63"/>
        <v>0</v>
      </c>
      <c r="N486">
        <f t="shared" si="67"/>
        <v>0</v>
      </c>
      <c r="O486">
        <f t="shared" si="68"/>
        <v>2621.1042000000002</v>
      </c>
      <c r="P486">
        <f t="shared" si="69"/>
        <v>655.27605000000005</v>
      </c>
      <c r="Q486">
        <f t="shared" si="70"/>
        <v>668.64368142000001</v>
      </c>
      <c r="R486">
        <f t="shared" si="71"/>
        <v>326.72640000000001</v>
      </c>
      <c r="S486">
        <f t="shared" si="64"/>
        <v>4287.6900000000005</v>
      </c>
    </row>
    <row r="487" spans="1:19" x14ac:dyDescent="0.25">
      <c r="A487">
        <v>617</v>
      </c>
      <c r="B487">
        <v>1299</v>
      </c>
      <c r="C487" t="s">
        <v>32</v>
      </c>
      <c r="D487" t="s">
        <v>173</v>
      </c>
      <c r="E487">
        <v>21</v>
      </c>
      <c r="F487">
        <v>15.7</v>
      </c>
      <c r="G487">
        <v>3.12</v>
      </c>
      <c r="H487">
        <v>27.96</v>
      </c>
      <c r="I487">
        <v>0.81</v>
      </c>
      <c r="J487">
        <v>92.27</v>
      </c>
      <c r="K487">
        <f t="shared" si="65"/>
        <v>1937.6699999999998</v>
      </c>
      <c r="L487">
        <f t="shared" si="66"/>
        <v>1937.6699999999998</v>
      </c>
      <c r="M487">
        <f t="shared" si="63"/>
        <v>1028.664</v>
      </c>
      <c r="N487">
        <f t="shared" si="67"/>
        <v>257.166</v>
      </c>
      <c r="O487">
        <f t="shared" si="68"/>
        <v>1028.664</v>
      </c>
      <c r="P487">
        <f t="shared" si="69"/>
        <v>257.166</v>
      </c>
      <c r="Q487">
        <f t="shared" si="70"/>
        <v>262.4121864</v>
      </c>
      <c r="R487">
        <f t="shared" si="71"/>
        <v>475.59960000000007</v>
      </c>
      <c r="S487">
        <f t="shared" si="64"/>
        <v>1937.6699999999998</v>
      </c>
    </row>
    <row r="488" spans="1:19" x14ac:dyDescent="0.25">
      <c r="A488">
        <v>618</v>
      </c>
      <c r="B488">
        <v>1299</v>
      </c>
      <c r="C488" t="s">
        <v>32</v>
      </c>
      <c r="D488" t="s">
        <v>172</v>
      </c>
      <c r="E488">
        <v>12</v>
      </c>
      <c r="F488">
        <v>19.309999999999999</v>
      </c>
      <c r="G488">
        <v>10.51</v>
      </c>
      <c r="H488">
        <v>31.09</v>
      </c>
      <c r="I488">
        <v>1.02</v>
      </c>
      <c r="J488">
        <v>339.62</v>
      </c>
      <c r="K488">
        <f t="shared" si="65"/>
        <v>4075.44</v>
      </c>
      <c r="L488">
        <f t="shared" si="66"/>
        <v>0</v>
      </c>
      <c r="M488">
        <f t="shared" si="63"/>
        <v>0</v>
      </c>
      <c r="N488">
        <f t="shared" si="67"/>
        <v>0</v>
      </c>
      <c r="O488">
        <f t="shared" si="68"/>
        <v>2435.3771999999999</v>
      </c>
      <c r="P488">
        <f t="shared" si="69"/>
        <v>608.84429999999998</v>
      </c>
      <c r="Q488">
        <f t="shared" si="70"/>
        <v>621.26472372000001</v>
      </c>
      <c r="R488">
        <f t="shared" si="71"/>
        <v>380.54160000000002</v>
      </c>
      <c r="S488">
        <f t="shared" si="64"/>
        <v>4075.44</v>
      </c>
    </row>
    <row r="489" spans="1:19" x14ac:dyDescent="0.25">
      <c r="A489">
        <v>619</v>
      </c>
      <c r="B489">
        <v>1299</v>
      </c>
      <c r="C489" t="s">
        <v>32</v>
      </c>
      <c r="D489" t="s">
        <v>173</v>
      </c>
      <c r="E489">
        <v>15</v>
      </c>
      <c r="F489">
        <v>14.17</v>
      </c>
      <c r="G489">
        <v>3.06</v>
      </c>
      <c r="H489">
        <v>27.69</v>
      </c>
      <c r="I489">
        <v>0.79</v>
      </c>
      <c r="J489">
        <v>83.68</v>
      </c>
      <c r="K489">
        <f t="shared" si="65"/>
        <v>1255.2</v>
      </c>
      <c r="L489">
        <f t="shared" si="66"/>
        <v>1255.2</v>
      </c>
      <c r="M489">
        <f t="shared" si="63"/>
        <v>650.40300000000002</v>
      </c>
      <c r="N489">
        <f t="shared" si="67"/>
        <v>162.60075000000001</v>
      </c>
      <c r="O489">
        <f t="shared" si="68"/>
        <v>650.40300000000002</v>
      </c>
      <c r="P489">
        <f t="shared" si="69"/>
        <v>162.60075000000001</v>
      </c>
      <c r="Q489">
        <f t="shared" si="70"/>
        <v>165.9178053</v>
      </c>
      <c r="R489">
        <f t="shared" si="71"/>
        <v>328.12650000000008</v>
      </c>
      <c r="S489">
        <f t="shared" si="64"/>
        <v>1255.2</v>
      </c>
    </row>
    <row r="490" spans="1:19" x14ac:dyDescent="0.25">
      <c r="A490">
        <v>620</v>
      </c>
      <c r="B490">
        <v>1299</v>
      </c>
      <c r="C490" t="s">
        <v>32</v>
      </c>
      <c r="D490" t="s">
        <v>173</v>
      </c>
      <c r="E490">
        <v>13</v>
      </c>
      <c r="F490">
        <v>14.46</v>
      </c>
      <c r="G490">
        <v>3.08</v>
      </c>
      <c r="H490">
        <v>31.17</v>
      </c>
      <c r="I490">
        <v>0.81</v>
      </c>
      <c r="J490">
        <v>89.01</v>
      </c>
      <c r="K490">
        <f t="shared" si="65"/>
        <v>1157.1300000000001</v>
      </c>
      <c r="L490">
        <f t="shared" si="66"/>
        <v>1157.1300000000001</v>
      </c>
      <c r="M490">
        <f t="shared" si="63"/>
        <v>578.97839999999997</v>
      </c>
      <c r="N490">
        <f t="shared" si="67"/>
        <v>144.74459999999999</v>
      </c>
      <c r="O490">
        <f t="shared" si="68"/>
        <v>578.97839999999997</v>
      </c>
      <c r="P490">
        <f t="shared" si="69"/>
        <v>144.74459999999999</v>
      </c>
      <c r="Q490">
        <f t="shared" si="70"/>
        <v>147.69738984</v>
      </c>
      <c r="R490">
        <f t="shared" si="71"/>
        <v>328.22010000000006</v>
      </c>
      <c r="S490">
        <f t="shared" si="64"/>
        <v>1157.1300000000001</v>
      </c>
    </row>
    <row r="491" spans="1:19" x14ac:dyDescent="0.25">
      <c r="A491">
        <v>621</v>
      </c>
      <c r="B491">
        <v>1299</v>
      </c>
      <c r="C491" t="s">
        <v>32</v>
      </c>
      <c r="D491" t="s">
        <v>173</v>
      </c>
      <c r="E491">
        <v>17</v>
      </c>
      <c r="F491">
        <v>15.05</v>
      </c>
      <c r="G491">
        <v>2.65</v>
      </c>
      <c r="H491">
        <v>32.72</v>
      </c>
      <c r="I491">
        <v>0.78</v>
      </c>
      <c r="J491">
        <v>82.91</v>
      </c>
      <c r="K491">
        <f t="shared" si="65"/>
        <v>1409.47</v>
      </c>
      <c r="L491">
        <f t="shared" si="66"/>
        <v>1409.47</v>
      </c>
      <c r="M491">
        <f t="shared" si="63"/>
        <v>678.00249999999994</v>
      </c>
      <c r="N491">
        <f t="shared" si="67"/>
        <v>169.50062499999999</v>
      </c>
      <c r="O491">
        <f t="shared" si="68"/>
        <v>678.00249999999994</v>
      </c>
      <c r="P491">
        <f t="shared" si="69"/>
        <v>169.50062499999999</v>
      </c>
      <c r="Q491">
        <f t="shared" si="70"/>
        <v>172.95843774999997</v>
      </c>
      <c r="R491">
        <f t="shared" si="71"/>
        <v>433.86719999999997</v>
      </c>
      <c r="S491">
        <f t="shared" si="64"/>
        <v>1409.47</v>
      </c>
    </row>
    <row r="492" spans="1:19" x14ac:dyDescent="0.25">
      <c r="A492">
        <v>622</v>
      </c>
      <c r="B492">
        <v>1299</v>
      </c>
      <c r="C492" t="s">
        <v>32</v>
      </c>
      <c r="D492" t="s">
        <v>173</v>
      </c>
      <c r="E492">
        <v>17</v>
      </c>
      <c r="F492">
        <v>13.74</v>
      </c>
      <c r="G492">
        <v>2.92</v>
      </c>
      <c r="H492">
        <v>31.81</v>
      </c>
      <c r="I492">
        <v>0.82</v>
      </c>
      <c r="J492">
        <v>83.86</v>
      </c>
      <c r="K492">
        <f t="shared" si="65"/>
        <v>1425.62</v>
      </c>
      <c r="L492">
        <f t="shared" si="66"/>
        <v>1425.62</v>
      </c>
      <c r="M492">
        <f t="shared" si="63"/>
        <v>682.05360000000007</v>
      </c>
      <c r="N492">
        <f t="shared" si="67"/>
        <v>170.51340000000002</v>
      </c>
      <c r="O492">
        <f t="shared" si="68"/>
        <v>682.05360000000007</v>
      </c>
      <c r="P492">
        <f t="shared" si="69"/>
        <v>170.51340000000002</v>
      </c>
      <c r="Q492">
        <f t="shared" si="70"/>
        <v>173.99187336000003</v>
      </c>
      <c r="R492">
        <f t="shared" si="71"/>
        <v>443.43139999999994</v>
      </c>
      <c r="S492">
        <f t="shared" si="64"/>
        <v>1425.62</v>
      </c>
    </row>
    <row r="493" spans="1:19" x14ac:dyDescent="0.25">
      <c r="A493">
        <v>623</v>
      </c>
      <c r="B493">
        <v>1300</v>
      </c>
      <c r="C493" t="s">
        <v>35</v>
      </c>
      <c r="D493" t="s">
        <v>172</v>
      </c>
      <c r="E493">
        <v>17</v>
      </c>
      <c r="F493">
        <v>19.350000000000001</v>
      </c>
      <c r="G493">
        <v>11.29</v>
      </c>
      <c r="H493">
        <v>29.08</v>
      </c>
      <c r="I493">
        <v>1.03</v>
      </c>
      <c r="J493">
        <v>360.6</v>
      </c>
      <c r="K493">
        <f t="shared" si="65"/>
        <v>6130.2000000000007</v>
      </c>
      <c r="L493">
        <f t="shared" si="66"/>
        <v>0</v>
      </c>
      <c r="M493">
        <f t="shared" si="63"/>
        <v>0</v>
      </c>
      <c r="N493">
        <f t="shared" si="67"/>
        <v>0</v>
      </c>
      <c r="O493">
        <f t="shared" si="68"/>
        <v>3713.8454999999999</v>
      </c>
      <c r="P493">
        <f t="shared" si="69"/>
        <v>928.46137499999998</v>
      </c>
      <c r="Q493">
        <f t="shared" si="70"/>
        <v>947.40198705</v>
      </c>
      <c r="R493">
        <f t="shared" si="71"/>
        <v>509.19080000000002</v>
      </c>
      <c r="S493">
        <f t="shared" si="64"/>
        <v>6130.2000000000007</v>
      </c>
    </row>
    <row r="494" spans="1:19" x14ac:dyDescent="0.25">
      <c r="A494">
        <v>624</v>
      </c>
      <c r="B494">
        <v>1300</v>
      </c>
      <c r="C494" t="s">
        <v>35</v>
      </c>
      <c r="D494" t="s">
        <v>172</v>
      </c>
      <c r="E494">
        <v>23</v>
      </c>
      <c r="F494">
        <v>18.73</v>
      </c>
      <c r="G494">
        <v>10.81</v>
      </c>
      <c r="H494">
        <v>33.49</v>
      </c>
      <c r="I494">
        <v>1.01</v>
      </c>
      <c r="J494">
        <v>341.43</v>
      </c>
      <c r="K494">
        <f t="shared" si="65"/>
        <v>7852.89</v>
      </c>
      <c r="L494">
        <f t="shared" si="66"/>
        <v>0</v>
      </c>
      <c r="M494">
        <f t="shared" si="63"/>
        <v>0</v>
      </c>
      <c r="N494">
        <f t="shared" si="67"/>
        <v>0</v>
      </c>
      <c r="O494">
        <f t="shared" si="68"/>
        <v>4656.8399000000009</v>
      </c>
      <c r="P494">
        <f t="shared" si="69"/>
        <v>1164.2099750000002</v>
      </c>
      <c r="Q494">
        <f t="shared" si="70"/>
        <v>1187.9598584900002</v>
      </c>
      <c r="R494">
        <f t="shared" si="71"/>
        <v>777.97270000000003</v>
      </c>
      <c r="S494">
        <f t="shared" si="64"/>
        <v>7852.89</v>
      </c>
    </row>
    <row r="495" spans="1:19" x14ac:dyDescent="0.25">
      <c r="A495">
        <v>625</v>
      </c>
      <c r="B495">
        <v>1300</v>
      </c>
      <c r="C495" t="s">
        <v>35</v>
      </c>
      <c r="D495" t="s">
        <v>173</v>
      </c>
      <c r="E495">
        <v>11</v>
      </c>
      <c r="F495">
        <v>13.98</v>
      </c>
      <c r="G495">
        <v>2.5</v>
      </c>
      <c r="H495">
        <v>32.9</v>
      </c>
      <c r="I495">
        <v>0.79</v>
      </c>
      <c r="J495">
        <v>76.650000000000006</v>
      </c>
      <c r="K495">
        <f t="shared" si="65"/>
        <v>843.15000000000009</v>
      </c>
      <c r="L495">
        <f t="shared" si="66"/>
        <v>843.15000000000009</v>
      </c>
      <c r="M495">
        <f t="shared" si="63"/>
        <v>384.45</v>
      </c>
      <c r="N495">
        <f t="shared" si="67"/>
        <v>96.112499999999997</v>
      </c>
      <c r="O495">
        <f t="shared" si="68"/>
        <v>384.45</v>
      </c>
      <c r="P495">
        <f t="shared" si="69"/>
        <v>96.112499999999997</v>
      </c>
      <c r="Q495">
        <f t="shared" si="70"/>
        <v>98.073194999999998</v>
      </c>
      <c r="R495">
        <f t="shared" si="71"/>
        <v>285.90100000000001</v>
      </c>
      <c r="S495">
        <f t="shared" si="64"/>
        <v>843.15000000000009</v>
      </c>
    </row>
    <row r="496" spans="1:19" x14ac:dyDescent="0.25">
      <c r="A496">
        <v>626</v>
      </c>
      <c r="B496">
        <v>1300</v>
      </c>
      <c r="C496" t="s">
        <v>35</v>
      </c>
      <c r="D496" t="s">
        <v>172</v>
      </c>
      <c r="E496">
        <v>12</v>
      </c>
      <c r="F496">
        <v>20.43</v>
      </c>
      <c r="G496">
        <v>11.7</v>
      </c>
      <c r="H496">
        <v>26.96</v>
      </c>
      <c r="I496">
        <v>1.07</v>
      </c>
      <c r="J496">
        <v>389.89</v>
      </c>
      <c r="K496">
        <f t="shared" si="65"/>
        <v>4678.68</v>
      </c>
      <c r="L496">
        <f t="shared" si="66"/>
        <v>0</v>
      </c>
      <c r="M496">
        <f t="shared" si="63"/>
        <v>0</v>
      </c>
      <c r="N496">
        <f t="shared" si="67"/>
        <v>0</v>
      </c>
      <c r="O496">
        <f t="shared" si="68"/>
        <v>2868.3719999999994</v>
      </c>
      <c r="P496">
        <f t="shared" si="69"/>
        <v>717.09299999999985</v>
      </c>
      <c r="Q496">
        <f t="shared" si="70"/>
        <v>731.72169719999988</v>
      </c>
      <c r="R496">
        <f t="shared" si="71"/>
        <v>346.16640000000001</v>
      </c>
      <c r="S496">
        <f t="shared" si="64"/>
        <v>4678.68</v>
      </c>
    </row>
    <row r="497" spans="1:19" x14ac:dyDescent="0.25">
      <c r="A497">
        <v>627</v>
      </c>
      <c r="B497">
        <v>1300</v>
      </c>
      <c r="C497" t="s">
        <v>35</v>
      </c>
      <c r="D497" t="s">
        <v>173</v>
      </c>
      <c r="E497">
        <v>29</v>
      </c>
      <c r="F497">
        <v>15.14</v>
      </c>
      <c r="G497">
        <v>2.93</v>
      </c>
      <c r="H497">
        <v>32.78</v>
      </c>
      <c r="I497">
        <v>0.8</v>
      </c>
      <c r="J497">
        <v>89.84</v>
      </c>
      <c r="K497">
        <f t="shared" si="65"/>
        <v>2605.36</v>
      </c>
      <c r="L497">
        <f t="shared" si="66"/>
        <v>2605.36</v>
      </c>
      <c r="M497">
        <f t="shared" si="63"/>
        <v>1286.4458</v>
      </c>
      <c r="N497">
        <f t="shared" si="67"/>
        <v>321.61144999999999</v>
      </c>
      <c r="O497">
        <f t="shared" si="68"/>
        <v>1286.4458</v>
      </c>
      <c r="P497">
        <f t="shared" si="69"/>
        <v>321.61144999999999</v>
      </c>
      <c r="Q497">
        <f t="shared" si="70"/>
        <v>328.17232357999995</v>
      </c>
      <c r="R497">
        <f t="shared" si="71"/>
        <v>760.49600000000009</v>
      </c>
      <c r="S497">
        <f t="shared" si="64"/>
        <v>2605.36</v>
      </c>
    </row>
    <row r="498" spans="1:19" x14ac:dyDescent="0.25">
      <c r="A498">
        <v>628</v>
      </c>
      <c r="B498">
        <v>1300</v>
      </c>
      <c r="C498" t="s">
        <v>35</v>
      </c>
      <c r="D498" t="s">
        <v>172</v>
      </c>
      <c r="E498">
        <v>21</v>
      </c>
      <c r="F498">
        <v>18.98</v>
      </c>
      <c r="G498">
        <v>12.64</v>
      </c>
      <c r="H498">
        <v>35.869999999999997</v>
      </c>
      <c r="I498">
        <v>1</v>
      </c>
      <c r="J498">
        <v>323</v>
      </c>
      <c r="K498">
        <f t="shared" si="65"/>
        <v>6783</v>
      </c>
      <c r="L498">
        <f t="shared" si="66"/>
        <v>0</v>
      </c>
      <c r="M498">
        <f t="shared" si="63"/>
        <v>0</v>
      </c>
      <c r="N498">
        <f t="shared" si="67"/>
        <v>0</v>
      </c>
      <c r="O498">
        <f t="shared" si="68"/>
        <v>5038.0511999999999</v>
      </c>
      <c r="P498">
        <f t="shared" si="69"/>
        <v>1259.5128</v>
      </c>
      <c r="Q498">
        <f t="shared" si="70"/>
        <v>1285.20686112</v>
      </c>
      <c r="R498">
        <f t="shared" si="71"/>
        <v>753.27</v>
      </c>
      <c r="S498">
        <f t="shared" si="64"/>
        <v>6783</v>
      </c>
    </row>
    <row r="499" spans="1:19" x14ac:dyDescent="0.25">
      <c r="A499">
        <v>629</v>
      </c>
      <c r="B499">
        <v>1300</v>
      </c>
      <c r="C499" t="s">
        <v>35</v>
      </c>
      <c r="D499" t="s">
        <v>172</v>
      </c>
      <c r="E499">
        <v>48</v>
      </c>
      <c r="F499">
        <v>19.13</v>
      </c>
      <c r="G499">
        <v>12.15</v>
      </c>
      <c r="H499">
        <v>35.869999999999997</v>
      </c>
      <c r="I499">
        <v>0.97</v>
      </c>
      <c r="J499">
        <v>387.14</v>
      </c>
      <c r="K499">
        <f t="shared" si="65"/>
        <v>18582.72</v>
      </c>
      <c r="L499">
        <f t="shared" si="66"/>
        <v>0</v>
      </c>
      <c r="M499">
        <f t="shared" si="63"/>
        <v>0</v>
      </c>
      <c r="N499">
        <f t="shared" si="67"/>
        <v>0</v>
      </c>
      <c r="O499">
        <f t="shared" si="68"/>
        <v>11156.616</v>
      </c>
      <c r="P499">
        <f t="shared" si="69"/>
        <v>2789.154</v>
      </c>
      <c r="Q499">
        <f t="shared" si="70"/>
        <v>2846.0527416</v>
      </c>
      <c r="R499">
        <f t="shared" si="71"/>
        <v>1670.1071999999999</v>
      </c>
      <c r="S499">
        <f t="shared" si="64"/>
        <v>18582.72</v>
      </c>
    </row>
    <row r="500" spans="1:19" x14ac:dyDescent="0.25">
      <c r="A500">
        <v>630</v>
      </c>
      <c r="B500">
        <v>1300</v>
      </c>
      <c r="C500" t="s">
        <v>35</v>
      </c>
      <c r="D500" t="s">
        <v>172</v>
      </c>
      <c r="E500">
        <v>39</v>
      </c>
      <c r="F500">
        <v>19.07</v>
      </c>
      <c r="G500">
        <v>9.69</v>
      </c>
      <c r="H500">
        <v>28.6</v>
      </c>
      <c r="I500">
        <v>0.9</v>
      </c>
      <c r="J500">
        <v>305.5</v>
      </c>
      <c r="K500">
        <f t="shared" si="65"/>
        <v>11914.5</v>
      </c>
      <c r="L500">
        <f t="shared" si="66"/>
        <v>0</v>
      </c>
      <c r="M500">
        <f t="shared" si="63"/>
        <v>0</v>
      </c>
      <c r="N500">
        <f t="shared" si="67"/>
        <v>0</v>
      </c>
      <c r="O500">
        <f t="shared" si="68"/>
        <v>7206.7436999999991</v>
      </c>
      <c r="P500">
        <f t="shared" si="69"/>
        <v>1801.6859249999998</v>
      </c>
      <c r="Q500">
        <f t="shared" si="70"/>
        <v>1838.4403178699997</v>
      </c>
      <c r="R500">
        <f t="shared" si="71"/>
        <v>1003.8600000000001</v>
      </c>
      <c r="S500">
        <f t="shared" si="64"/>
        <v>11914.5</v>
      </c>
    </row>
    <row r="501" spans="1:19" x14ac:dyDescent="0.25">
      <c r="A501">
        <v>631</v>
      </c>
      <c r="B501">
        <v>1301</v>
      </c>
      <c r="C501" t="s">
        <v>34</v>
      </c>
      <c r="D501" t="s">
        <v>172</v>
      </c>
      <c r="E501">
        <v>17</v>
      </c>
      <c r="F501">
        <v>17.02</v>
      </c>
      <c r="G501">
        <v>11.61</v>
      </c>
      <c r="H501">
        <v>29.02</v>
      </c>
      <c r="I501">
        <v>0.98</v>
      </c>
      <c r="J501">
        <v>327.78</v>
      </c>
      <c r="K501">
        <f t="shared" si="65"/>
        <v>5572.2599999999993</v>
      </c>
      <c r="L501">
        <f t="shared" si="66"/>
        <v>0</v>
      </c>
      <c r="M501">
        <f t="shared" si="63"/>
        <v>0</v>
      </c>
      <c r="N501">
        <f t="shared" si="67"/>
        <v>0</v>
      </c>
      <c r="O501">
        <f t="shared" si="68"/>
        <v>3359.2374</v>
      </c>
      <c r="P501">
        <f t="shared" si="69"/>
        <v>839.80934999999999</v>
      </c>
      <c r="Q501">
        <f t="shared" si="70"/>
        <v>856.94146074000002</v>
      </c>
      <c r="R501">
        <f t="shared" si="71"/>
        <v>483.47320000000002</v>
      </c>
      <c r="S501">
        <f t="shared" si="64"/>
        <v>5572.2599999999993</v>
      </c>
    </row>
    <row r="502" spans="1:19" x14ac:dyDescent="0.25">
      <c r="A502">
        <v>632</v>
      </c>
      <c r="B502">
        <v>1301</v>
      </c>
      <c r="C502" t="s">
        <v>34</v>
      </c>
      <c r="D502" t="s">
        <v>173</v>
      </c>
      <c r="E502">
        <v>16</v>
      </c>
      <c r="F502">
        <v>15.1</v>
      </c>
      <c r="G502">
        <v>2.4700000000000002</v>
      </c>
      <c r="H502">
        <v>28.8</v>
      </c>
      <c r="I502">
        <v>0.81</v>
      </c>
      <c r="J502">
        <v>76.94</v>
      </c>
      <c r="K502">
        <f t="shared" si="65"/>
        <v>1231.04</v>
      </c>
      <c r="L502">
        <f t="shared" si="66"/>
        <v>1231.04</v>
      </c>
      <c r="M502">
        <f t="shared" si="63"/>
        <v>596.75200000000007</v>
      </c>
      <c r="N502">
        <f t="shared" si="67"/>
        <v>149.18800000000002</v>
      </c>
      <c r="O502">
        <f t="shared" si="68"/>
        <v>596.75200000000007</v>
      </c>
      <c r="P502">
        <f t="shared" si="69"/>
        <v>149.18800000000002</v>
      </c>
      <c r="Q502">
        <f t="shared" si="70"/>
        <v>152.23143520000002</v>
      </c>
      <c r="R502">
        <f t="shared" si="71"/>
        <v>373.24800000000005</v>
      </c>
      <c r="S502">
        <f t="shared" si="64"/>
        <v>1231.04</v>
      </c>
    </row>
    <row r="503" spans="1:19" x14ac:dyDescent="0.25">
      <c r="A503">
        <v>633</v>
      </c>
      <c r="B503">
        <v>1301</v>
      </c>
      <c r="C503" t="s">
        <v>34</v>
      </c>
      <c r="D503" t="s">
        <v>173</v>
      </c>
      <c r="E503">
        <v>14</v>
      </c>
      <c r="F503">
        <v>15.72</v>
      </c>
      <c r="G503">
        <v>3.21</v>
      </c>
      <c r="H503">
        <v>31.62</v>
      </c>
      <c r="I503">
        <v>0.76</v>
      </c>
      <c r="J503">
        <v>95.82</v>
      </c>
      <c r="K503">
        <f t="shared" si="65"/>
        <v>1341.48</v>
      </c>
      <c r="L503">
        <f t="shared" si="66"/>
        <v>1341.48</v>
      </c>
      <c r="M503">
        <f t="shared" si="63"/>
        <v>706.45680000000004</v>
      </c>
      <c r="N503">
        <f t="shared" si="67"/>
        <v>176.61420000000001</v>
      </c>
      <c r="O503">
        <f t="shared" si="68"/>
        <v>706.45680000000004</v>
      </c>
      <c r="P503">
        <f t="shared" si="69"/>
        <v>176.61420000000001</v>
      </c>
      <c r="Q503">
        <f t="shared" si="70"/>
        <v>180.21712968</v>
      </c>
      <c r="R503">
        <f t="shared" si="71"/>
        <v>336.43680000000001</v>
      </c>
      <c r="S503">
        <f t="shared" si="64"/>
        <v>1341.48</v>
      </c>
    </row>
    <row r="504" spans="1:19" x14ac:dyDescent="0.25">
      <c r="A504">
        <v>634</v>
      </c>
      <c r="B504">
        <v>1301</v>
      </c>
      <c r="C504" t="s">
        <v>34</v>
      </c>
      <c r="D504" t="s">
        <v>172</v>
      </c>
      <c r="E504">
        <v>15</v>
      </c>
      <c r="F504">
        <v>21.86</v>
      </c>
      <c r="G504">
        <v>11.67</v>
      </c>
      <c r="H504">
        <v>34.44</v>
      </c>
      <c r="I504">
        <v>1.03</v>
      </c>
      <c r="J504">
        <v>421.68</v>
      </c>
      <c r="K504">
        <f t="shared" si="65"/>
        <v>6325.2</v>
      </c>
      <c r="L504">
        <f t="shared" si="66"/>
        <v>0</v>
      </c>
      <c r="M504">
        <f t="shared" si="63"/>
        <v>0</v>
      </c>
      <c r="N504">
        <f t="shared" si="67"/>
        <v>0</v>
      </c>
      <c r="O504">
        <f t="shared" si="68"/>
        <v>3826.5930000000003</v>
      </c>
      <c r="P504">
        <f t="shared" si="69"/>
        <v>956.64825000000008</v>
      </c>
      <c r="Q504">
        <f t="shared" si="70"/>
        <v>976.16387430000009</v>
      </c>
      <c r="R504">
        <f t="shared" si="71"/>
        <v>532.09799999999996</v>
      </c>
      <c r="S504">
        <f t="shared" si="64"/>
        <v>6325.2</v>
      </c>
    </row>
    <row r="505" spans="1:19" x14ac:dyDescent="0.25">
      <c r="A505">
        <v>635</v>
      </c>
      <c r="B505">
        <v>1301</v>
      </c>
      <c r="C505" t="s">
        <v>34</v>
      </c>
      <c r="D505" t="s">
        <v>173</v>
      </c>
      <c r="E505">
        <v>20</v>
      </c>
      <c r="F505">
        <v>14.85</v>
      </c>
      <c r="G505">
        <v>2.96</v>
      </c>
      <c r="H505">
        <v>26.58</v>
      </c>
      <c r="I505">
        <v>0.79</v>
      </c>
      <c r="J505">
        <v>83.54</v>
      </c>
      <c r="K505">
        <f t="shared" si="65"/>
        <v>1670.8000000000002</v>
      </c>
      <c r="L505">
        <f t="shared" si="66"/>
        <v>1670.8000000000002</v>
      </c>
      <c r="M505">
        <f t="shared" si="63"/>
        <v>879.12</v>
      </c>
      <c r="N505">
        <f t="shared" si="67"/>
        <v>219.78</v>
      </c>
      <c r="O505">
        <f t="shared" si="68"/>
        <v>879.12</v>
      </c>
      <c r="P505">
        <f t="shared" si="69"/>
        <v>219.78</v>
      </c>
      <c r="Q505">
        <f t="shared" si="70"/>
        <v>224.26351199999999</v>
      </c>
      <c r="R505">
        <f t="shared" si="71"/>
        <v>419.964</v>
      </c>
      <c r="S505">
        <f t="shared" si="64"/>
        <v>1670.8000000000002</v>
      </c>
    </row>
    <row r="506" spans="1:19" x14ac:dyDescent="0.25">
      <c r="A506">
        <v>636</v>
      </c>
      <c r="B506">
        <v>1301</v>
      </c>
      <c r="C506" t="s">
        <v>34</v>
      </c>
      <c r="D506" t="s">
        <v>173</v>
      </c>
      <c r="E506">
        <v>39</v>
      </c>
      <c r="F506">
        <v>14.34</v>
      </c>
      <c r="G506">
        <v>2.88</v>
      </c>
      <c r="H506">
        <v>31.36</v>
      </c>
      <c r="I506">
        <v>0.84</v>
      </c>
      <c r="J506">
        <v>85.76</v>
      </c>
      <c r="K506">
        <f t="shared" si="65"/>
        <v>3344.6400000000003</v>
      </c>
      <c r="L506">
        <f t="shared" si="66"/>
        <v>3344.6400000000003</v>
      </c>
      <c r="M506">
        <f t="shared" si="63"/>
        <v>1610.6687999999999</v>
      </c>
      <c r="N506">
        <f t="shared" si="67"/>
        <v>402.66719999999998</v>
      </c>
      <c r="O506">
        <f t="shared" si="68"/>
        <v>1610.6687999999999</v>
      </c>
      <c r="P506">
        <f t="shared" si="69"/>
        <v>402.66719999999998</v>
      </c>
      <c r="Q506">
        <f t="shared" si="70"/>
        <v>410.88161087999998</v>
      </c>
      <c r="R506">
        <f t="shared" si="71"/>
        <v>1027.3535999999999</v>
      </c>
      <c r="S506">
        <f t="shared" si="64"/>
        <v>3344.6400000000003</v>
      </c>
    </row>
    <row r="507" spans="1:19" x14ac:dyDescent="0.25">
      <c r="A507">
        <v>637</v>
      </c>
      <c r="B507">
        <v>1301</v>
      </c>
      <c r="C507" t="s">
        <v>34</v>
      </c>
      <c r="D507" t="s">
        <v>172</v>
      </c>
      <c r="E507">
        <v>15</v>
      </c>
      <c r="F507">
        <v>18.54</v>
      </c>
      <c r="G507">
        <v>10.119999999999999</v>
      </c>
      <c r="H507">
        <v>29.38</v>
      </c>
      <c r="I507">
        <v>1.1499999999999999</v>
      </c>
      <c r="J507">
        <v>319.3</v>
      </c>
      <c r="K507">
        <f t="shared" si="65"/>
        <v>4789.5</v>
      </c>
      <c r="L507">
        <f t="shared" si="66"/>
        <v>0</v>
      </c>
      <c r="M507">
        <f t="shared" si="63"/>
        <v>0</v>
      </c>
      <c r="N507">
        <f t="shared" si="67"/>
        <v>0</v>
      </c>
      <c r="O507">
        <f t="shared" si="68"/>
        <v>2814.3719999999994</v>
      </c>
      <c r="P507">
        <f t="shared" si="69"/>
        <v>703.59299999999985</v>
      </c>
      <c r="Q507">
        <f t="shared" si="70"/>
        <v>717.94629719999978</v>
      </c>
      <c r="R507">
        <f t="shared" si="71"/>
        <v>506.80500000000001</v>
      </c>
      <c r="S507">
        <f t="shared" si="64"/>
        <v>4789.5</v>
      </c>
    </row>
    <row r="508" spans="1:19" x14ac:dyDescent="0.25">
      <c r="A508">
        <v>638</v>
      </c>
      <c r="B508">
        <v>1301</v>
      </c>
      <c r="C508" t="s">
        <v>34</v>
      </c>
      <c r="D508" t="s">
        <v>173</v>
      </c>
      <c r="E508">
        <v>18</v>
      </c>
      <c r="F508">
        <v>15.07</v>
      </c>
      <c r="G508">
        <v>2.82</v>
      </c>
      <c r="H508">
        <v>34.65</v>
      </c>
      <c r="I508">
        <v>0.82</v>
      </c>
      <c r="J508">
        <v>89.69</v>
      </c>
      <c r="K508">
        <f t="shared" si="65"/>
        <v>1614.42</v>
      </c>
      <c r="L508">
        <f t="shared" si="66"/>
        <v>1614.42</v>
      </c>
      <c r="M508">
        <f t="shared" si="63"/>
        <v>764.95320000000004</v>
      </c>
      <c r="N508">
        <f t="shared" si="67"/>
        <v>191.23830000000001</v>
      </c>
      <c r="O508">
        <f t="shared" si="68"/>
        <v>764.95320000000004</v>
      </c>
      <c r="P508">
        <f t="shared" si="69"/>
        <v>191.23830000000001</v>
      </c>
      <c r="Q508">
        <f t="shared" si="70"/>
        <v>195.13956132000001</v>
      </c>
      <c r="R508">
        <f t="shared" si="71"/>
        <v>511.43399999999997</v>
      </c>
      <c r="S508">
        <f t="shared" si="64"/>
        <v>1614.42</v>
      </c>
    </row>
    <row r="509" spans="1:19" x14ac:dyDescent="0.25">
      <c r="A509">
        <v>639</v>
      </c>
      <c r="B509">
        <v>1302</v>
      </c>
      <c r="C509" t="s">
        <v>35</v>
      </c>
      <c r="D509" t="s">
        <v>173</v>
      </c>
      <c r="E509">
        <v>11</v>
      </c>
      <c r="F509">
        <v>13.85</v>
      </c>
      <c r="G509">
        <v>3.01</v>
      </c>
      <c r="H509">
        <v>31.7</v>
      </c>
      <c r="I509">
        <v>0.79</v>
      </c>
      <c r="J509">
        <v>84.87</v>
      </c>
      <c r="K509">
        <f t="shared" si="65"/>
        <v>933.57</v>
      </c>
      <c r="L509">
        <f t="shared" si="66"/>
        <v>933.57</v>
      </c>
      <c r="M509">
        <f t="shared" si="63"/>
        <v>458.57349999999997</v>
      </c>
      <c r="N509">
        <f t="shared" si="67"/>
        <v>114.64337499999999</v>
      </c>
      <c r="O509">
        <f t="shared" si="68"/>
        <v>458.57349999999997</v>
      </c>
      <c r="P509">
        <f t="shared" si="69"/>
        <v>114.64337499999999</v>
      </c>
      <c r="Q509">
        <f t="shared" si="70"/>
        <v>116.98209984999998</v>
      </c>
      <c r="R509">
        <f t="shared" si="71"/>
        <v>275.47300000000001</v>
      </c>
      <c r="S509">
        <f t="shared" si="64"/>
        <v>933.57</v>
      </c>
    </row>
    <row r="510" spans="1:19" x14ac:dyDescent="0.25">
      <c r="A510">
        <v>640</v>
      </c>
      <c r="B510">
        <v>1302</v>
      </c>
      <c r="C510" t="s">
        <v>35</v>
      </c>
      <c r="D510" t="s">
        <v>172</v>
      </c>
      <c r="E510">
        <v>26</v>
      </c>
      <c r="F510">
        <v>20.14</v>
      </c>
      <c r="G510">
        <v>11.24</v>
      </c>
      <c r="H510">
        <v>28</v>
      </c>
      <c r="I510">
        <v>1.08</v>
      </c>
      <c r="J510">
        <v>372.72</v>
      </c>
      <c r="K510">
        <f t="shared" si="65"/>
        <v>9690.7200000000012</v>
      </c>
      <c r="L510">
        <f t="shared" si="66"/>
        <v>0</v>
      </c>
      <c r="M510">
        <f t="shared" si="63"/>
        <v>0</v>
      </c>
      <c r="N510">
        <f t="shared" si="67"/>
        <v>0</v>
      </c>
      <c r="O510">
        <f t="shared" si="68"/>
        <v>5885.7136</v>
      </c>
      <c r="P510">
        <f t="shared" si="69"/>
        <v>1471.4284</v>
      </c>
      <c r="Q510">
        <f t="shared" si="70"/>
        <v>1501.4455393599999</v>
      </c>
      <c r="R510">
        <f t="shared" si="71"/>
        <v>786.24</v>
      </c>
      <c r="S510">
        <f t="shared" si="64"/>
        <v>9690.7200000000012</v>
      </c>
    </row>
    <row r="511" spans="1:19" x14ac:dyDescent="0.25">
      <c r="A511">
        <v>641</v>
      </c>
      <c r="B511">
        <v>1302</v>
      </c>
      <c r="C511" t="s">
        <v>35</v>
      </c>
      <c r="D511" t="s">
        <v>173</v>
      </c>
      <c r="E511">
        <v>10</v>
      </c>
      <c r="F511">
        <v>16.3</v>
      </c>
      <c r="G511">
        <v>2.7</v>
      </c>
      <c r="H511">
        <v>31.02</v>
      </c>
      <c r="I511">
        <v>0.81</v>
      </c>
      <c r="J511">
        <v>88.15</v>
      </c>
      <c r="K511">
        <f t="shared" si="65"/>
        <v>881.5</v>
      </c>
      <c r="L511">
        <f t="shared" si="66"/>
        <v>881.5</v>
      </c>
      <c r="M511">
        <f t="shared" si="63"/>
        <v>440.1</v>
      </c>
      <c r="N511">
        <f t="shared" si="67"/>
        <v>110.02500000000001</v>
      </c>
      <c r="O511">
        <f t="shared" si="68"/>
        <v>440.1</v>
      </c>
      <c r="P511">
        <f t="shared" si="69"/>
        <v>110.02500000000001</v>
      </c>
      <c r="Q511">
        <f t="shared" si="70"/>
        <v>112.26951</v>
      </c>
      <c r="R511">
        <f t="shared" si="71"/>
        <v>251.26200000000003</v>
      </c>
      <c r="S511">
        <f t="shared" si="64"/>
        <v>881.5</v>
      </c>
    </row>
    <row r="512" spans="1:19" x14ac:dyDescent="0.25">
      <c r="A512">
        <v>642</v>
      </c>
      <c r="B512">
        <v>1302</v>
      </c>
      <c r="C512" t="s">
        <v>35</v>
      </c>
      <c r="D512" t="s">
        <v>173</v>
      </c>
      <c r="E512">
        <v>12</v>
      </c>
      <c r="F512">
        <v>14.35</v>
      </c>
      <c r="G512">
        <v>2.69</v>
      </c>
      <c r="H512">
        <v>26.26</v>
      </c>
      <c r="I512">
        <v>0.8</v>
      </c>
      <c r="J512">
        <v>76.19</v>
      </c>
      <c r="K512">
        <f t="shared" si="65"/>
        <v>914.28</v>
      </c>
      <c r="L512">
        <f t="shared" si="66"/>
        <v>914.28</v>
      </c>
      <c r="M512">
        <f t="shared" si="63"/>
        <v>463.21800000000002</v>
      </c>
      <c r="N512">
        <f t="shared" si="67"/>
        <v>115.8045</v>
      </c>
      <c r="O512">
        <f t="shared" si="68"/>
        <v>463.21800000000002</v>
      </c>
      <c r="P512">
        <f t="shared" si="69"/>
        <v>115.8045</v>
      </c>
      <c r="Q512">
        <f t="shared" si="70"/>
        <v>118.16691180000001</v>
      </c>
      <c r="R512">
        <f t="shared" si="71"/>
        <v>252.09600000000006</v>
      </c>
      <c r="S512">
        <f t="shared" si="64"/>
        <v>914.28</v>
      </c>
    </row>
    <row r="513" spans="1:19" x14ac:dyDescent="0.25">
      <c r="A513">
        <v>643</v>
      </c>
      <c r="B513">
        <v>1302</v>
      </c>
      <c r="C513" t="s">
        <v>35</v>
      </c>
      <c r="D513" t="s">
        <v>172</v>
      </c>
      <c r="E513">
        <v>21</v>
      </c>
      <c r="F513">
        <v>21.39</v>
      </c>
      <c r="G513">
        <v>11.18</v>
      </c>
      <c r="H513">
        <v>28.34</v>
      </c>
      <c r="I513">
        <v>1.04</v>
      </c>
      <c r="J513">
        <v>390.79</v>
      </c>
      <c r="K513">
        <f t="shared" si="65"/>
        <v>8206.59</v>
      </c>
      <c r="L513">
        <f t="shared" si="66"/>
        <v>0</v>
      </c>
      <c r="M513">
        <f t="shared" si="63"/>
        <v>0</v>
      </c>
      <c r="N513">
        <f t="shared" si="67"/>
        <v>0</v>
      </c>
      <c r="O513">
        <f t="shared" si="68"/>
        <v>5021.9441999999999</v>
      </c>
      <c r="P513">
        <f t="shared" si="69"/>
        <v>1255.48605</v>
      </c>
      <c r="Q513">
        <f t="shared" si="70"/>
        <v>1281.09796542</v>
      </c>
      <c r="R513">
        <f t="shared" si="71"/>
        <v>618.94560000000001</v>
      </c>
      <c r="S513">
        <f t="shared" si="64"/>
        <v>8206.59</v>
      </c>
    </row>
    <row r="514" spans="1:19" x14ac:dyDescent="0.25">
      <c r="A514">
        <v>644</v>
      </c>
      <c r="B514">
        <v>1302</v>
      </c>
      <c r="C514" t="s">
        <v>35</v>
      </c>
      <c r="D514" t="s">
        <v>173</v>
      </c>
      <c r="E514">
        <v>8</v>
      </c>
      <c r="F514">
        <v>14.92</v>
      </c>
      <c r="G514">
        <v>2.95</v>
      </c>
      <c r="H514">
        <v>37.909999999999997</v>
      </c>
      <c r="I514">
        <v>0.78</v>
      </c>
      <c r="J514">
        <v>82.9</v>
      </c>
      <c r="K514">
        <f t="shared" si="65"/>
        <v>663.2</v>
      </c>
      <c r="L514">
        <f t="shared" si="66"/>
        <v>663.2</v>
      </c>
      <c r="M514">
        <f t="shared" ref="M514:M577" si="72">IF(D514="SHOES",O514,0)</f>
        <v>352.11200000000002</v>
      </c>
      <c r="N514">
        <f t="shared" si="67"/>
        <v>88.028000000000006</v>
      </c>
      <c r="O514">
        <f t="shared" si="68"/>
        <v>352.11200000000002</v>
      </c>
      <c r="P514">
        <f t="shared" si="69"/>
        <v>88.028000000000006</v>
      </c>
      <c r="Q514">
        <f t="shared" si="70"/>
        <v>89.82377120000001</v>
      </c>
      <c r="R514">
        <f t="shared" si="71"/>
        <v>236.55839999999998</v>
      </c>
      <c r="S514">
        <f t="shared" ref="S514:S577" si="73">PRODUCT(J514,E514)</f>
        <v>663.2</v>
      </c>
    </row>
    <row r="515" spans="1:19" x14ac:dyDescent="0.25">
      <c r="A515">
        <v>645</v>
      </c>
      <c r="B515">
        <v>1302</v>
      </c>
      <c r="C515" t="s">
        <v>35</v>
      </c>
      <c r="D515" t="s">
        <v>172</v>
      </c>
      <c r="E515">
        <v>23</v>
      </c>
      <c r="F515">
        <v>20.73</v>
      </c>
      <c r="G515">
        <v>10.52</v>
      </c>
      <c r="H515">
        <v>28.22</v>
      </c>
      <c r="I515">
        <v>1.08</v>
      </c>
      <c r="J515">
        <v>360.66</v>
      </c>
      <c r="K515">
        <f t="shared" ref="K515:K578" si="74">E515*J515</f>
        <v>8295.18</v>
      </c>
      <c r="L515">
        <f t="shared" ref="L515:L578" si="75">IF(D515="SHOES",E515*J515,0)</f>
        <v>0</v>
      </c>
      <c r="M515">
        <f t="shared" si="72"/>
        <v>0</v>
      </c>
      <c r="N515">
        <f t="shared" ref="N515:N578" si="76">IF(D515="SHOES",P515,0)</f>
        <v>0</v>
      </c>
      <c r="O515">
        <f t="shared" ref="O515:O578" si="77">PRODUCT(E515,G515,F515)</f>
        <v>5015.8307999999997</v>
      </c>
      <c r="P515">
        <f t="shared" ref="P515:P578" si="78">PRODUCT(O515,0.25)</f>
        <v>1253.9576999999999</v>
      </c>
      <c r="Q515">
        <f t="shared" ref="Q515:Q578" si="79">PRODUCT(O515,0.2551)</f>
        <v>1279.53843708</v>
      </c>
      <c r="R515">
        <f t="shared" si="71"/>
        <v>700.98480000000006</v>
      </c>
      <c r="S515">
        <f t="shared" si="73"/>
        <v>8295.18</v>
      </c>
    </row>
    <row r="516" spans="1:19" x14ac:dyDescent="0.25">
      <c r="A516">
        <v>646</v>
      </c>
      <c r="B516">
        <v>1302</v>
      </c>
      <c r="C516" t="s">
        <v>35</v>
      </c>
      <c r="D516" t="s">
        <v>172</v>
      </c>
      <c r="E516">
        <v>23</v>
      </c>
      <c r="F516">
        <v>19.670000000000002</v>
      </c>
      <c r="G516">
        <v>10.1</v>
      </c>
      <c r="H516">
        <v>30.82</v>
      </c>
      <c r="I516">
        <v>1.0900000000000001</v>
      </c>
      <c r="J516">
        <v>335.49</v>
      </c>
      <c r="K516">
        <f t="shared" si="74"/>
        <v>7716.27</v>
      </c>
      <c r="L516">
        <f t="shared" si="75"/>
        <v>0</v>
      </c>
      <c r="M516">
        <f t="shared" si="72"/>
        <v>0</v>
      </c>
      <c r="N516">
        <f t="shared" si="76"/>
        <v>0</v>
      </c>
      <c r="O516">
        <f t="shared" si="77"/>
        <v>4569.3410000000003</v>
      </c>
      <c r="P516">
        <f t="shared" si="78"/>
        <v>1142.3352500000001</v>
      </c>
      <c r="Q516">
        <f t="shared" si="79"/>
        <v>1165.6388891000001</v>
      </c>
      <c r="R516">
        <f t="shared" ref="R516:R579" si="80">PRODUCT(E516,I516,H516)</f>
        <v>772.65740000000005</v>
      </c>
      <c r="S516">
        <f t="shared" si="73"/>
        <v>7716.27</v>
      </c>
    </row>
    <row r="517" spans="1:19" x14ac:dyDescent="0.25">
      <c r="A517">
        <v>647</v>
      </c>
      <c r="B517">
        <v>1303</v>
      </c>
      <c r="C517" t="s">
        <v>35</v>
      </c>
      <c r="D517" t="s">
        <v>173</v>
      </c>
      <c r="E517">
        <v>12</v>
      </c>
      <c r="F517">
        <v>15.55</v>
      </c>
      <c r="G517">
        <v>2.67</v>
      </c>
      <c r="H517">
        <v>28.94</v>
      </c>
      <c r="I517">
        <v>0.82</v>
      </c>
      <c r="J517">
        <v>83.19</v>
      </c>
      <c r="K517">
        <f t="shared" si="74"/>
        <v>998.28</v>
      </c>
      <c r="L517">
        <f t="shared" si="75"/>
        <v>998.28</v>
      </c>
      <c r="M517">
        <f t="shared" si="72"/>
        <v>498.22200000000004</v>
      </c>
      <c r="N517">
        <f t="shared" si="76"/>
        <v>124.55550000000001</v>
      </c>
      <c r="O517">
        <f t="shared" si="77"/>
        <v>498.22200000000004</v>
      </c>
      <c r="P517">
        <f t="shared" si="78"/>
        <v>124.55550000000001</v>
      </c>
      <c r="Q517">
        <f t="shared" si="79"/>
        <v>127.09643220000001</v>
      </c>
      <c r="R517">
        <f t="shared" si="80"/>
        <v>284.76960000000003</v>
      </c>
      <c r="S517">
        <f t="shared" si="73"/>
        <v>998.28</v>
      </c>
    </row>
    <row r="518" spans="1:19" x14ac:dyDescent="0.25">
      <c r="A518">
        <v>648</v>
      </c>
      <c r="B518">
        <v>1303</v>
      </c>
      <c r="C518" t="s">
        <v>35</v>
      </c>
      <c r="D518" t="s">
        <v>172</v>
      </c>
      <c r="E518">
        <v>36</v>
      </c>
      <c r="F518">
        <v>18.579999999999998</v>
      </c>
      <c r="G518">
        <v>10.52</v>
      </c>
      <c r="H518">
        <v>28.64</v>
      </c>
      <c r="I518">
        <v>0.95</v>
      </c>
      <c r="J518">
        <v>323.13</v>
      </c>
      <c r="K518">
        <f t="shared" si="74"/>
        <v>11632.68</v>
      </c>
      <c r="L518">
        <f t="shared" si="75"/>
        <v>0</v>
      </c>
      <c r="M518">
        <f t="shared" si="72"/>
        <v>0</v>
      </c>
      <c r="N518">
        <f t="shared" si="76"/>
        <v>0</v>
      </c>
      <c r="O518">
        <f t="shared" si="77"/>
        <v>7036.6175999999987</v>
      </c>
      <c r="P518">
        <f t="shared" si="78"/>
        <v>1759.1543999999997</v>
      </c>
      <c r="Q518">
        <f t="shared" si="79"/>
        <v>1795.0411497599996</v>
      </c>
      <c r="R518">
        <f t="shared" si="80"/>
        <v>979.48799999999994</v>
      </c>
      <c r="S518">
        <f t="shared" si="73"/>
        <v>11632.68</v>
      </c>
    </row>
    <row r="519" spans="1:19" x14ac:dyDescent="0.25">
      <c r="A519">
        <v>649</v>
      </c>
      <c r="B519">
        <v>1303</v>
      </c>
      <c r="C519" t="s">
        <v>35</v>
      </c>
      <c r="D519" t="s">
        <v>172</v>
      </c>
      <c r="E519">
        <v>12</v>
      </c>
      <c r="F519">
        <v>20.21</v>
      </c>
      <c r="G519">
        <v>10.93</v>
      </c>
      <c r="H519">
        <v>32.11</v>
      </c>
      <c r="I519">
        <v>0.98</v>
      </c>
      <c r="J519">
        <v>366.03</v>
      </c>
      <c r="K519">
        <f t="shared" si="74"/>
        <v>4392.3599999999997</v>
      </c>
      <c r="L519">
        <f t="shared" si="75"/>
        <v>0</v>
      </c>
      <c r="M519">
        <f t="shared" si="72"/>
        <v>0</v>
      </c>
      <c r="N519">
        <f t="shared" si="76"/>
        <v>0</v>
      </c>
      <c r="O519">
        <f t="shared" si="77"/>
        <v>2650.7436000000002</v>
      </c>
      <c r="P519">
        <f t="shared" si="78"/>
        <v>662.68590000000006</v>
      </c>
      <c r="Q519">
        <f t="shared" si="79"/>
        <v>676.20469236000008</v>
      </c>
      <c r="R519">
        <f t="shared" si="80"/>
        <v>377.61359999999996</v>
      </c>
      <c r="S519">
        <f t="shared" si="73"/>
        <v>4392.3599999999997</v>
      </c>
    </row>
    <row r="520" spans="1:19" x14ac:dyDescent="0.25">
      <c r="A520">
        <v>650</v>
      </c>
      <c r="B520">
        <v>1303</v>
      </c>
      <c r="C520" t="s">
        <v>35</v>
      </c>
      <c r="D520" t="s">
        <v>172</v>
      </c>
      <c r="E520">
        <v>12</v>
      </c>
      <c r="F520">
        <v>20.43</v>
      </c>
      <c r="G520">
        <v>10.16</v>
      </c>
      <c r="H520">
        <v>31.21</v>
      </c>
      <c r="I520">
        <v>1.18</v>
      </c>
      <c r="J520">
        <v>352.58</v>
      </c>
      <c r="K520">
        <f t="shared" si="74"/>
        <v>4230.96</v>
      </c>
      <c r="L520">
        <f t="shared" si="75"/>
        <v>0</v>
      </c>
      <c r="M520">
        <f t="shared" si="72"/>
        <v>0</v>
      </c>
      <c r="N520">
        <f t="shared" si="76"/>
        <v>0</v>
      </c>
      <c r="O520">
        <f t="shared" si="77"/>
        <v>2490.8256000000001</v>
      </c>
      <c r="P520">
        <f t="shared" si="78"/>
        <v>622.70640000000003</v>
      </c>
      <c r="Q520">
        <f t="shared" si="79"/>
        <v>635.40961056000003</v>
      </c>
      <c r="R520">
        <f t="shared" si="80"/>
        <v>441.93360000000001</v>
      </c>
      <c r="S520">
        <f t="shared" si="73"/>
        <v>4230.96</v>
      </c>
    </row>
    <row r="521" spans="1:19" x14ac:dyDescent="0.25">
      <c r="A521">
        <v>651</v>
      </c>
      <c r="B521">
        <v>1303</v>
      </c>
      <c r="C521" t="s">
        <v>35</v>
      </c>
      <c r="D521" t="s">
        <v>172</v>
      </c>
      <c r="E521">
        <v>4</v>
      </c>
      <c r="F521">
        <v>20.13</v>
      </c>
      <c r="G521">
        <v>10.42</v>
      </c>
      <c r="H521">
        <v>35.94</v>
      </c>
      <c r="I521">
        <v>1.08</v>
      </c>
      <c r="J521">
        <v>358.2</v>
      </c>
      <c r="K521">
        <f t="shared" si="74"/>
        <v>1432.8</v>
      </c>
      <c r="L521">
        <f t="shared" si="75"/>
        <v>0</v>
      </c>
      <c r="M521">
        <f t="shared" si="72"/>
        <v>0</v>
      </c>
      <c r="N521">
        <f t="shared" si="76"/>
        <v>0</v>
      </c>
      <c r="O521">
        <f t="shared" si="77"/>
        <v>839.01839999999993</v>
      </c>
      <c r="P521">
        <f t="shared" si="78"/>
        <v>209.75459999999998</v>
      </c>
      <c r="Q521">
        <f t="shared" si="79"/>
        <v>214.03359383999998</v>
      </c>
      <c r="R521">
        <f t="shared" si="80"/>
        <v>155.26079999999999</v>
      </c>
      <c r="S521">
        <f t="shared" si="73"/>
        <v>1432.8</v>
      </c>
    </row>
    <row r="522" spans="1:19" x14ac:dyDescent="0.25">
      <c r="A522">
        <v>652</v>
      </c>
      <c r="B522">
        <v>1303</v>
      </c>
      <c r="C522" t="s">
        <v>35</v>
      </c>
      <c r="D522" t="s">
        <v>173</v>
      </c>
      <c r="E522">
        <v>23</v>
      </c>
      <c r="F522">
        <v>14.5</v>
      </c>
      <c r="G522">
        <v>2.78</v>
      </c>
      <c r="H522">
        <v>29.01</v>
      </c>
      <c r="I522">
        <v>0.81</v>
      </c>
      <c r="J522">
        <v>81.27</v>
      </c>
      <c r="K522">
        <f t="shared" si="74"/>
        <v>1869.2099999999998</v>
      </c>
      <c r="L522">
        <f t="shared" si="75"/>
        <v>1869.2099999999998</v>
      </c>
      <c r="M522">
        <f t="shared" si="72"/>
        <v>927.13</v>
      </c>
      <c r="N522">
        <f t="shared" si="76"/>
        <v>231.7825</v>
      </c>
      <c r="O522">
        <f t="shared" si="77"/>
        <v>927.13</v>
      </c>
      <c r="P522">
        <f t="shared" si="78"/>
        <v>231.7825</v>
      </c>
      <c r="Q522">
        <f t="shared" si="79"/>
        <v>236.510863</v>
      </c>
      <c r="R522">
        <f t="shared" si="80"/>
        <v>540.45630000000006</v>
      </c>
      <c r="S522">
        <f t="shared" si="73"/>
        <v>1869.2099999999998</v>
      </c>
    </row>
    <row r="523" spans="1:19" x14ac:dyDescent="0.25">
      <c r="A523">
        <v>653</v>
      </c>
      <c r="B523">
        <v>1303</v>
      </c>
      <c r="C523" t="s">
        <v>35</v>
      </c>
      <c r="D523" t="s">
        <v>172</v>
      </c>
      <c r="E523">
        <v>7</v>
      </c>
      <c r="F523">
        <v>18.850000000000001</v>
      </c>
      <c r="G523">
        <v>10.98</v>
      </c>
      <c r="H523">
        <v>29.02</v>
      </c>
      <c r="I523">
        <v>0.93</v>
      </c>
      <c r="J523">
        <v>339.99</v>
      </c>
      <c r="K523">
        <f t="shared" si="74"/>
        <v>2379.9300000000003</v>
      </c>
      <c r="L523">
        <f t="shared" si="75"/>
        <v>0</v>
      </c>
      <c r="M523">
        <f t="shared" si="72"/>
        <v>0</v>
      </c>
      <c r="N523">
        <f t="shared" si="76"/>
        <v>0</v>
      </c>
      <c r="O523">
        <f t="shared" si="77"/>
        <v>1448.8110000000001</v>
      </c>
      <c r="P523">
        <f t="shared" si="78"/>
        <v>362.20275000000004</v>
      </c>
      <c r="Q523">
        <f t="shared" si="79"/>
        <v>369.5916861</v>
      </c>
      <c r="R523">
        <f t="shared" si="80"/>
        <v>188.92020000000002</v>
      </c>
      <c r="S523">
        <f t="shared" si="73"/>
        <v>2379.9300000000003</v>
      </c>
    </row>
    <row r="524" spans="1:19" x14ac:dyDescent="0.25">
      <c r="A524">
        <v>654</v>
      </c>
      <c r="B524">
        <v>1304</v>
      </c>
      <c r="C524" t="s">
        <v>35</v>
      </c>
      <c r="D524" t="s">
        <v>173</v>
      </c>
      <c r="E524">
        <v>14</v>
      </c>
      <c r="F524">
        <v>15.89</v>
      </c>
      <c r="G524">
        <v>2.85</v>
      </c>
      <c r="H524">
        <v>29.34</v>
      </c>
      <c r="I524">
        <v>0.78</v>
      </c>
      <c r="J524">
        <v>87.44</v>
      </c>
      <c r="K524">
        <f t="shared" si="74"/>
        <v>1224.1599999999999</v>
      </c>
      <c r="L524">
        <f t="shared" si="75"/>
        <v>1224.1599999999999</v>
      </c>
      <c r="M524">
        <f t="shared" si="72"/>
        <v>634.01099999999997</v>
      </c>
      <c r="N524">
        <f t="shared" si="76"/>
        <v>158.50274999999999</v>
      </c>
      <c r="O524">
        <f t="shared" si="77"/>
        <v>634.01099999999997</v>
      </c>
      <c r="P524">
        <f t="shared" si="78"/>
        <v>158.50274999999999</v>
      </c>
      <c r="Q524">
        <f t="shared" si="79"/>
        <v>161.73620609999998</v>
      </c>
      <c r="R524">
        <f t="shared" si="80"/>
        <v>320.39280000000002</v>
      </c>
      <c r="S524">
        <f t="shared" si="73"/>
        <v>1224.1599999999999</v>
      </c>
    </row>
    <row r="525" spans="1:19" x14ac:dyDescent="0.25">
      <c r="A525">
        <v>655</v>
      </c>
      <c r="B525">
        <v>1304</v>
      </c>
      <c r="C525" t="s">
        <v>35</v>
      </c>
      <c r="D525" t="s">
        <v>172</v>
      </c>
      <c r="E525">
        <v>21</v>
      </c>
      <c r="F525">
        <v>18.28</v>
      </c>
      <c r="G525">
        <v>10.27</v>
      </c>
      <c r="H525">
        <v>33.72</v>
      </c>
      <c r="I525">
        <v>0.97</v>
      </c>
      <c r="J525">
        <v>318.18</v>
      </c>
      <c r="K525">
        <f t="shared" si="74"/>
        <v>6681.78</v>
      </c>
      <c r="L525">
        <f t="shared" si="75"/>
        <v>0</v>
      </c>
      <c r="M525">
        <f t="shared" si="72"/>
        <v>0</v>
      </c>
      <c r="N525">
        <f t="shared" si="76"/>
        <v>0</v>
      </c>
      <c r="O525">
        <f t="shared" si="77"/>
        <v>3942.4476</v>
      </c>
      <c r="P525">
        <f t="shared" si="78"/>
        <v>985.61189999999999</v>
      </c>
      <c r="Q525">
        <f t="shared" si="79"/>
        <v>1005.7183827599999</v>
      </c>
      <c r="R525">
        <f t="shared" si="80"/>
        <v>686.87639999999999</v>
      </c>
      <c r="S525">
        <f t="shared" si="73"/>
        <v>6681.78</v>
      </c>
    </row>
    <row r="526" spans="1:19" x14ac:dyDescent="0.25">
      <c r="A526">
        <v>656</v>
      </c>
      <c r="B526">
        <v>1304</v>
      </c>
      <c r="C526" t="s">
        <v>35</v>
      </c>
      <c r="D526" t="s">
        <v>173</v>
      </c>
      <c r="E526">
        <v>14</v>
      </c>
      <c r="F526">
        <v>14.09</v>
      </c>
      <c r="G526">
        <v>3.03</v>
      </c>
      <c r="H526">
        <v>26.36</v>
      </c>
      <c r="I526">
        <v>0.8</v>
      </c>
      <c r="J526">
        <v>81.900000000000006</v>
      </c>
      <c r="K526">
        <f t="shared" si="74"/>
        <v>1146.6000000000001</v>
      </c>
      <c r="L526">
        <f t="shared" si="75"/>
        <v>1146.6000000000001</v>
      </c>
      <c r="M526">
        <f t="shared" si="72"/>
        <v>597.69779999999992</v>
      </c>
      <c r="N526">
        <f t="shared" si="76"/>
        <v>149.42444999999998</v>
      </c>
      <c r="O526">
        <f t="shared" si="77"/>
        <v>597.69779999999992</v>
      </c>
      <c r="P526">
        <f t="shared" si="78"/>
        <v>149.42444999999998</v>
      </c>
      <c r="Q526">
        <f t="shared" si="79"/>
        <v>152.47270877999998</v>
      </c>
      <c r="R526">
        <f t="shared" si="80"/>
        <v>295.23200000000003</v>
      </c>
      <c r="S526">
        <f t="shared" si="73"/>
        <v>1146.6000000000001</v>
      </c>
    </row>
    <row r="527" spans="1:19" x14ac:dyDescent="0.25">
      <c r="A527">
        <v>657</v>
      </c>
      <c r="B527">
        <v>1304</v>
      </c>
      <c r="C527" t="s">
        <v>35</v>
      </c>
      <c r="D527" t="s">
        <v>172</v>
      </c>
      <c r="E527">
        <v>16</v>
      </c>
      <c r="F527">
        <v>18.32</v>
      </c>
      <c r="G527">
        <v>12.54</v>
      </c>
      <c r="H527">
        <v>31.43</v>
      </c>
      <c r="I527">
        <v>0.98</v>
      </c>
      <c r="J527">
        <v>378.38</v>
      </c>
      <c r="K527">
        <f t="shared" si="74"/>
        <v>6054.08</v>
      </c>
      <c r="L527">
        <f t="shared" si="75"/>
        <v>0</v>
      </c>
      <c r="M527">
        <f t="shared" si="72"/>
        <v>0</v>
      </c>
      <c r="N527">
        <f t="shared" si="76"/>
        <v>0</v>
      </c>
      <c r="O527">
        <f t="shared" si="77"/>
        <v>3675.7248</v>
      </c>
      <c r="P527">
        <f t="shared" si="78"/>
        <v>918.93119999999999</v>
      </c>
      <c r="Q527">
        <f t="shared" si="79"/>
        <v>937.67739647999997</v>
      </c>
      <c r="R527">
        <f t="shared" si="80"/>
        <v>492.82239999999996</v>
      </c>
      <c r="S527">
        <f t="shared" si="73"/>
        <v>6054.08</v>
      </c>
    </row>
    <row r="528" spans="1:19" x14ac:dyDescent="0.25">
      <c r="A528">
        <v>658</v>
      </c>
      <c r="B528">
        <v>1304</v>
      </c>
      <c r="C528" t="s">
        <v>35</v>
      </c>
      <c r="D528" t="s">
        <v>172</v>
      </c>
      <c r="E528">
        <v>10</v>
      </c>
      <c r="F528">
        <v>18.63</v>
      </c>
      <c r="G528">
        <v>10.54</v>
      </c>
      <c r="H528">
        <v>32.4</v>
      </c>
      <c r="I528">
        <v>0.95</v>
      </c>
      <c r="J528">
        <v>328.71</v>
      </c>
      <c r="K528">
        <f t="shared" si="74"/>
        <v>3287.1</v>
      </c>
      <c r="L528">
        <f t="shared" si="75"/>
        <v>0</v>
      </c>
      <c r="M528">
        <f t="shared" si="72"/>
        <v>0</v>
      </c>
      <c r="N528">
        <f t="shared" si="76"/>
        <v>0</v>
      </c>
      <c r="O528">
        <f t="shared" si="77"/>
        <v>1963.6019999999996</v>
      </c>
      <c r="P528">
        <f t="shared" si="78"/>
        <v>490.90049999999991</v>
      </c>
      <c r="Q528">
        <f t="shared" si="79"/>
        <v>500.91487019999988</v>
      </c>
      <c r="R528">
        <f t="shared" si="80"/>
        <v>307.8</v>
      </c>
      <c r="S528">
        <f t="shared" si="73"/>
        <v>3287.1</v>
      </c>
    </row>
    <row r="529" spans="1:19" x14ac:dyDescent="0.25">
      <c r="A529">
        <v>659</v>
      </c>
      <c r="B529">
        <v>1304</v>
      </c>
      <c r="C529" t="s">
        <v>35</v>
      </c>
      <c r="D529" t="s">
        <v>173</v>
      </c>
      <c r="E529">
        <v>13</v>
      </c>
      <c r="F529">
        <v>13.97</v>
      </c>
      <c r="G529">
        <v>2.92</v>
      </c>
      <c r="H529">
        <v>29.22</v>
      </c>
      <c r="I529">
        <v>0.78</v>
      </c>
      <c r="J529">
        <v>81.16</v>
      </c>
      <c r="K529">
        <f t="shared" si="74"/>
        <v>1055.08</v>
      </c>
      <c r="L529">
        <f t="shared" si="75"/>
        <v>1055.08</v>
      </c>
      <c r="M529">
        <f t="shared" si="72"/>
        <v>530.30119999999999</v>
      </c>
      <c r="N529">
        <f t="shared" si="76"/>
        <v>132.5753</v>
      </c>
      <c r="O529">
        <f t="shared" si="77"/>
        <v>530.30119999999999</v>
      </c>
      <c r="P529">
        <f t="shared" si="78"/>
        <v>132.5753</v>
      </c>
      <c r="Q529">
        <f t="shared" si="79"/>
        <v>135.27983612</v>
      </c>
      <c r="R529">
        <f t="shared" si="80"/>
        <v>296.29079999999999</v>
      </c>
      <c r="S529">
        <f t="shared" si="73"/>
        <v>1055.08</v>
      </c>
    </row>
    <row r="530" spans="1:19" x14ac:dyDescent="0.25">
      <c r="A530">
        <v>660</v>
      </c>
      <c r="B530">
        <v>1304</v>
      </c>
      <c r="C530" t="s">
        <v>35</v>
      </c>
      <c r="D530" t="s">
        <v>172</v>
      </c>
      <c r="E530">
        <v>8</v>
      </c>
      <c r="F530">
        <v>20.99</v>
      </c>
      <c r="G530">
        <v>10.92</v>
      </c>
      <c r="H530">
        <v>35</v>
      </c>
      <c r="I530">
        <v>0.98</v>
      </c>
      <c r="J530">
        <v>381.77</v>
      </c>
      <c r="K530">
        <f t="shared" si="74"/>
        <v>3054.16</v>
      </c>
      <c r="L530">
        <f t="shared" si="75"/>
        <v>0</v>
      </c>
      <c r="M530">
        <f t="shared" si="72"/>
        <v>0</v>
      </c>
      <c r="N530">
        <f t="shared" si="76"/>
        <v>0</v>
      </c>
      <c r="O530">
        <f t="shared" si="77"/>
        <v>1833.6863999999998</v>
      </c>
      <c r="P530">
        <f t="shared" si="78"/>
        <v>458.42159999999996</v>
      </c>
      <c r="Q530">
        <f t="shared" si="79"/>
        <v>467.77340063999992</v>
      </c>
      <c r="R530">
        <f t="shared" si="80"/>
        <v>274.39999999999998</v>
      </c>
      <c r="S530">
        <f t="shared" si="73"/>
        <v>3054.16</v>
      </c>
    </row>
    <row r="531" spans="1:19" x14ac:dyDescent="0.25">
      <c r="A531">
        <v>661</v>
      </c>
      <c r="B531">
        <v>1304</v>
      </c>
      <c r="C531" t="s">
        <v>35</v>
      </c>
      <c r="D531" t="s">
        <v>173</v>
      </c>
      <c r="E531">
        <v>11</v>
      </c>
      <c r="F531">
        <v>15.38</v>
      </c>
      <c r="G531">
        <v>2.56</v>
      </c>
      <c r="H531">
        <v>36.53</v>
      </c>
      <c r="I531">
        <v>0.76</v>
      </c>
      <c r="J531">
        <v>84.68</v>
      </c>
      <c r="K531">
        <f t="shared" si="74"/>
        <v>931.48</v>
      </c>
      <c r="L531">
        <f t="shared" si="75"/>
        <v>931.48</v>
      </c>
      <c r="M531">
        <f t="shared" si="72"/>
        <v>433.10080000000005</v>
      </c>
      <c r="N531">
        <f t="shared" si="76"/>
        <v>108.27520000000001</v>
      </c>
      <c r="O531">
        <f t="shared" si="77"/>
        <v>433.10080000000005</v>
      </c>
      <c r="P531">
        <f t="shared" si="78"/>
        <v>108.27520000000001</v>
      </c>
      <c r="Q531">
        <f t="shared" si="79"/>
        <v>110.48401408000001</v>
      </c>
      <c r="R531">
        <f t="shared" si="80"/>
        <v>305.39080000000001</v>
      </c>
      <c r="S531">
        <f t="shared" si="73"/>
        <v>931.48</v>
      </c>
    </row>
    <row r="532" spans="1:19" x14ac:dyDescent="0.25">
      <c r="A532">
        <v>662</v>
      </c>
      <c r="B532">
        <v>1304</v>
      </c>
      <c r="C532" t="s">
        <v>35</v>
      </c>
      <c r="D532" t="s">
        <v>172</v>
      </c>
      <c r="E532">
        <v>41</v>
      </c>
      <c r="F532">
        <v>19.11</v>
      </c>
      <c r="G532">
        <v>10.76</v>
      </c>
      <c r="H532">
        <v>30.05</v>
      </c>
      <c r="I532">
        <v>1.03</v>
      </c>
      <c r="J532">
        <v>342.7</v>
      </c>
      <c r="K532">
        <f t="shared" si="74"/>
        <v>14050.699999999999</v>
      </c>
      <c r="L532">
        <f t="shared" si="75"/>
        <v>0</v>
      </c>
      <c r="M532">
        <f t="shared" si="72"/>
        <v>0</v>
      </c>
      <c r="N532">
        <f t="shared" si="76"/>
        <v>0</v>
      </c>
      <c r="O532">
        <f t="shared" si="77"/>
        <v>8430.5675999999985</v>
      </c>
      <c r="P532">
        <f t="shared" si="78"/>
        <v>2107.6418999999996</v>
      </c>
      <c r="Q532">
        <f t="shared" si="79"/>
        <v>2150.6377947599995</v>
      </c>
      <c r="R532">
        <f t="shared" si="80"/>
        <v>1269.0115000000001</v>
      </c>
      <c r="S532">
        <f t="shared" si="73"/>
        <v>14050.699999999999</v>
      </c>
    </row>
    <row r="533" spans="1:19" x14ac:dyDescent="0.25">
      <c r="A533">
        <v>663</v>
      </c>
      <c r="B533">
        <v>1304</v>
      </c>
      <c r="C533" t="s">
        <v>35</v>
      </c>
      <c r="D533" t="s">
        <v>172</v>
      </c>
      <c r="E533">
        <v>13</v>
      </c>
      <c r="F533">
        <v>18.399999999999999</v>
      </c>
      <c r="G533">
        <v>10.91</v>
      </c>
      <c r="H533">
        <v>27.94</v>
      </c>
      <c r="I533">
        <v>1.02</v>
      </c>
      <c r="J533">
        <v>332.52</v>
      </c>
      <c r="K533">
        <f t="shared" si="74"/>
        <v>4322.76</v>
      </c>
      <c r="L533">
        <f t="shared" si="75"/>
        <v>0</v>
      </c>
      <c r="M533">
        <f t="shared" si="72"/>
        <v>0</v>
      </c>
      <c r="N533">
        <f t="shared" si="76"/>
        <v>0</v>
      </c>
      <c r="O533">
        <f t="shared" si="77"/>
        <v>2609.672</v>
      </c>
      <c r="P533">
        <f t="shared" si="78"/>
        <v>652.41800000000001</v>
      </c>
      <c r="Q533">
        <f t="shared" si="79"/>
        <v>665.72732719999999</v>
      </c>
      <c r="R533">
        <f t="shared" si="80"/>
        <v>370.48439999999999</v>
      </c>
      <c r="S533">
        <f t="shared" si="73"/>
        <v>4322.76</v>
      </c>
    </row>
    <row r="534" spans="1:19" x14ac:dyDescent="0.25">
      <c r="A534">
        <v>664</v>
      </c>
      <c r="B534">
        <v>1304</v>
      </c>
      <c r="C534" t="s">
        <v>35</v>
      </c>
      <c r="D534" t="s">
        <v>173</v>
      </c>
      <c r="E534">
        <v>23</v>
      </c>
      <c r="F534">
        <v>16.3</v>
      </c>
      <c r="G534">
        <v>2.92</v>
      </c>
      <c r="H534">
        <v>31.08</v>
      </c>
      <c r="I534">
        <v>0.81</v>
      </c>
      <c r="J534">
        <v>93.14</v>
      </c>
      <c r="K534">
        <f t="shared" si="74"/>
        <v>2142.2199999999998</v>
      </c>
      <c r="L534">
        <f t="shared" si="75"/>
        <v>2142.2199999999998</v>
      </c>
      <c r="M534">
        <f t="shared" si="72"/>
        <v>1094.7080000000001</v>
      </c>
      <c r="N534">
        <f t="shared" si="76"/>
        <v>273.67700000000002</v>
      </c>
      <c r="O534">
        <f t="shared" si="77"/>
        <v>1094.7080000000001</v>
      </c>
      <c r="P534">
        <f t="shared" si="78"/>
        <v>273.67700000000002</v>
      </c>
      <c r="Q534">
        <f t="shared" si="79"/>
        <v>279.26001080000003</v>
      </c>
      <c r="R534">
        <f t="shared" si="80"/>
        <v>579.0204</v>
      </c>
      <c r="S534">
        <f t="shared" si="73"/>
        <v>2142.2199999999998</v>
      </c>
    </row>
    <row r="535" spans="1:19" x14ac:dyDescent="0.25">
      <c r="A535">
        <v>665</v>
      </c>
      <c r="B535">
        <v>1305</v>
      </c>
      <c r="C535" t="s">
        <v>34</v>
      </c>
      <c r="D535" t="s">
        <v>172</v>
      </c>
      <c r="E535">
        <v>12</v>
      </c>
      <c r="F535">
        <v>19.260000000000002</v>
      </c>
      <c r="G535">
        <v>10.73</v>
      </c>
      <c r="H535">
        <v>29.45</v>
      </c>
      <c r="I535">
        <v>1.1100000000000001</v>
      </c>
      <c r="J535">
        <v>346.31</v>
      </c>
      <c r="K535">
        <f t="shared" si="74"/>
        <v>4155.72</v>
      </c>
      <c r="L535">
        <f t="shared" si="75"/>
        <v>0</v>
      </c>
      <c r="M535">
        <f t="shared" si="72"/>
        <v>0</v>
      </c>
      <c r="N535">
        <f t="shared" si="76"/>
        <v>0</v>
      </c>
      <c r="O535">
        <f t="shared" si="77"/>
        <v>2479.9176000000002</v>
      </c>
      <c r="P535">
        <f t="shared" si="78"/>
        <v>619.97940000000006</v>
      </c>
      <c r="Q535">
        <f t="shared" si="79"/>
        <v>632.62697976000004</v>
      </c>
      <c r="R535">
        <f t="shared" si="80"/>
        <v>392.274</v>
      </c>
      <c r="S535">
        <f t="shared" si="73"/>
        <v>4155.72</v>
      </c>
    </row>
    <row r="536" spans="1:19" x14ac:dyDescent="0.25">
      <c r="A536">
        <v>666</v>
      </c>
      <c r="B536">
        <v>1305</v>
      </c>
      <c r="C536" t="s">
        <v>34</v>
      </c>
      <c r="D536" t="s">
        <v>173</v>
      </c>
      <c r="E536">
        <v>19</v>
      </c>
      <c r="F536">
        <v>14.89</v>
      </c>
      <c r="G536">
        <v>2.86</v>
      </c>
      <c r="H536">
        <v>25.59</v>
      </c>
      <c r="I536">
        <v>0.77</v>
      </c>
      <c r="J536">
        <v>80.23</v>
      </c>
      <c r="K536">
        <f t="shared" si="74"/>
        <v>1524.3700000000001</v>
      </c>
      <c r="L536">
        <f t="shared" si="75"/>
        <v>1524.3700000000001</v>
      </c>
      <c r="M536">
        <f t="shared" si="72"/>
        <v>809.12259999999992</v>
      </c>
      <c r="N536">
        <f t="shared" si="76"/>
        <v>202.28064999999998</v>
      </c>
      <c r="O536">
        <f t="shared" si="77"/>
        <v>809.12259999999992</v>
      </c>
      <c r="P536">
        <f t="shared" si="78"/>
        <v>202.28064999999998</v>
      </c>
      <c r="Q536">
        <f t="shared" si="79"/>
        <v>206.40717525999997</v>
      </c>
      <c r="R536">
        <f t="shared" si="80"/>
        <v>374.38170000000002</v>
      </c>
      <c r="S536">
        <f t="shared" si="73"/>
        <v>1524.3700000000001</v>
      </c>
    </row>
    <row r="537" spans="1:19" x14ac:dyDescent="0.25">
      <c r="A537">
        <v>667</v>
      </c>
      <c r="B537">
        <v>1305</v>
      </c>
      <c r="C537" t="s">
        <v>34</v>
      </c>
      <c r="D537" t="s">
        <v>173</v>
      </c>
      <c r="E537">
        <v>12</v>
      </c>
      <c r="F537">
        <v>16.350000000000001</v>
      </c>
      <c r="G537">
        <v>2.92</v>
      </c>
      <c r="H537">
        <v>30.34</v>
      </c>
      <c r="I537">
        <v>0.79</v>
      </c>
      <c r="J537">
        <v>92.01</v>
      </c>
      <c r="K537">
        <f t="shared" si="74"/>
        <v>1104.1200000000001</v>
      </c>
      <c r="L537">
        <f t="shared" si="75"/>
        <v>1104.1200000000001</v>
      </c>
      <c r="M537">
        <f t="shared" si="72"/>
        <v>572.904</v>
      </c>
      <c r="N537">
        <f t="shared" si="76"/>
        <v>143.226</v>
      </c>
      <c r="O537">
        <f t="shared" si="77"/>
        <v>572.904</v>
      </c>
      <c r="P537">
        <f t="shared" si="78"/>
        <v>143.226</v>
      </c>
      <c r="Q537">
        <f t="shared" si="79"/>
        <v>146.1478104</v>
      </c>
      <c r="R537">
        <f t="shared" si="80"/>
        <v>287.6232</v>
      </c>
      <c r="S537">
        <f t="shared" si="73"/>
        <v>1104.1200000000001</v>
      </c>
    </row>
    <row r="538" spans="1:19" x14ac:dyDescent="0.25">
      <c r="A538">
        <v>668</v>
      </c>
      <c r="B538">
        <v>1305</v>
      </c>
      <c r="C538" t="s">
        <v>34</v>
      </c>
      <c r="D538" t="s">
        <v>173</v>
      </c>
      <c r="E538">
        <v>16</v>
      </c>
      <c r="F538">
        <v>15.25</v>
      </c>
      <c r="G538">
        <v>2.96</v>
      </c>
      <c r="H538">
        <v>30.52</v>
      </c>
      <c r="I538">
        <v>0.82</v>
      </c>
      <c r="J538">
        <v>79.819999999999993</v>
      </c>
      <c r="K538">
        <f t="shared" si="74"/>
        <v>1277.1199999999999</v>
      </c>
      <c r="L538">
        <f t="shared" si="75"/>
        <v>1277.1199999999999</v>
      </c>
      <c r="M538">
        <f t="shared" si="72"/>
        <v>722.24</v>
      </c>
      <c r="N538">
        <f t="shared" si="76"/>
        <v>180.56</v>
      </c>
      <c r="O538">
        <f t="shared" si="77"/>
        <v>722.24</v>
      </c>
      <c r="P538">
        <f t="shared" si="78"/>
        <v>180.56</v>
      </c>
      <c r="Q538">
        <f t="shared" si="79"/>
        <v>184.243424</v>
      </c>
      <c r="R538">
        <f t="shared" si="80"/>
        <v>400.42239999999998</v>
      </c>
      <c r="S538">
        <f t="shared" si="73"/>
        <v>1277.1199999999999</v>
      </c>
    </row>
    <row r="539" spans="1:19" x14ac:dyDescent="0.25">
      <c r="A539">
        <v>669</v>
      </c>
      <c r="B539">
        <v>1305</v>
      </c>
      <c r="C539" t="s">
        <v>34</v>
      </c>
      <c r="D539" t="s">
        <v>173</v>
      </c>
      <c r="E539">
        <v>26</v>
      </c>
      <c r="F539">
        <v>15.16</v>
      </c>
      <c r="G539">
        <v>2.82</v>
      </c>
      <c r="H539">
        <v>31.52</v>
      </c>
      <c r="I539">
        <v>0.81</v>
      </c>
      <c r="J539">
        <v>86.87</v>
      </c>
      <c r="K539">
        <f t="shared" si="74"/>
        <v>2258.62</v>
      </c>
      <c r="L539">
        <f t="shared" si="75"/>
        <v>2258.62</v>
      </c>
      <c r="M539">
        <f t="shared" si="72"/>
        <v>1111.5311999999999</v>
      </c>
      <c r="N539">
        <f t="shared" si="76"/>
        <v>277.88279999999997</v>
      </c>
      <c r="O539">
        <f t="shared" si="77"/>
        <v>1111.5311999999999</v>
      </c>
      <c r="P539">
        <f t="shared" si="78"/>
        <v>277.88279999999997</v>
      </c>
      <c r="Q539">
        <f t="shared" si="79"/>
        <v>283.55160911999997</v>
      </c>
      <c r="R539">
        <f t="shared" si="80"/>
        <v>663.8112000000001</v>
      </c>
      <c r="S539">
        <f t="shared" si="73"/>
        <v>2258.62</v>
      </c>
    </row>
    <row r="540" spans="1:19" x14ac:dyDescent="0.25">
      <c r="A540">
        <v>670</v>
      </c>
      <c r="B540">
        <v>1305</v>
      </c>
      <c r="C540" t="s">
        <v>34</v>
      </c>
      <c r="D540" t="s">
        <v>172</v>
      </c>
      <c r="E540">
        <v>11</v>
      </c>
      <c r="F540">
        <v>20.059999999999999</v>
      </c>
      <c r="G540">
        <v>11.21</v>
      </c>
      <c r="H540">
        <v>29.41</v>
      </c>
      <c r="I540">
        <v>1.08</v>
      </c>
      <c r="J540">
        <v>372.3</v>
      </c>
      <c r="K540">
        <f t="shared" si="74"/>
        <v>4095.3</v>
      </c>
      <c r="L540">
        <f t="shared" si="75"/>
        <v>0</v>
      </c>
      <c r="M540">
        <f t="shared" si="72"/>
        <v>0</v>
      </c>
      <c r="N540">
        <f t="shared" si="76"/>
        <v>0</v>
      </c>
      <c r="O540">
        <f t="shared" si="77"/>
        <v>2473.5985999999998</v>
      </c>
      <c r="P540">
        <f t="shared" si="78"/>
        <v>618.39964999999995</v>
      </c>
      <c r="Q540">
        <f t="shared" si="79"/>
        <v>631.01500285999998</v>
      </c>
      <c r="R540">
        <f t="shared" si="80"/>
        <v>349.39080000000001</v>
      </c>
      <c r="S540">
        <f t="shared" si="73"/>
        <v>4095.3</v>
      </c>
    </row>
    <row r="541" spans="1:19" x14ac:dyDescent="0.25">
      <c r="A541">
        <v>671</v>
      </c>
      <c r="B541">
        <v>1305</v>
      </c>
      <c r="C541" t="s">
        <v>34</v>
      </c>
      <c r="D541" t="s">
        <v>173</v>
      </c>
      <c r="E541">
        <v>19</v>
      </c>
      <c r="F541">
        <v>15.82</v>
      </c>
      <c r="G541">
        <v>2.94</v>
      </c>
      <c r="H541">
        <v>26.27</v>
      </c>
      <c r="I541">
        <v>0.77</v>
      </c>
      <c r="J541">
        <v>86.2</v>
      </c>
      <c r="K541">
        <f t="shared" si="74"/>
        <v>1637.8</v>
      </c>
      <c r="L541">
        <f t="shared" si="75"/>
        <v>1637.8</v>
      </c>
      <c r="M541">
        <f t="shared" si="72"/>
        <v>883.70519999999999</v>
      </c>
      <c r="N541">
        <f t="shared" si="76"/>
        <v>220.9263</v>
      </c>
      <c r="O541">
        <f t="shared" si="77"/>
        <v>883.70519999999999</v>
      </c>
      <c r="P541">
        <f t="shared" si="78"/>
        <v>220.9263</v>
      </c>
      <c r="Q541">
        <f t="shared" si="79"/>
        <v>225.43319652</v>
      </c>
      <c r="R541">
        <f t="shared" si="80"/>
        <v>384.33010000000002</v>
      </c>
      <c r="S541">
        <f t="shared" si="73"/>
        <v>1637.8</v>
      </c>
    </row>
    <row r="542" spans="1:19" x14ac:dyDescent="0.25">
      <c r="A542">
        <v>672</v>
      </c>
      <c r="B542">
        <v>1306</v>
      </c>
      <c r="C542" t="s">
        <v>34</v>
      </c>
      <c r="D542" t="s">
        <v>172</v>
      </c>
      <c r="E542">
        <v>17</v>
      </c>
      <c r="F542">
        <v>20.29</v>
      </c>
      <c r="G542">
        <v>10.16</v>
      </c>
      <c r="H542">
        <v>28.27</v>
      </c>
      <c r="I542">
        <v>0.9</v>
      </c>
      <c r="J542">
        <v>336.92</v>
      </c>
      <c r="K542">
        <f t="shared" si="74"/>
        <v>5727.64</v>
      </c>
      <c r="L542">
        <f t="shared" si="75"/>
        <v>0</v>
      </c>
      <c r="M542">
        <f t="shared" si="72"/>
        <v>0</v>
      </c>
      <c r="N542">
        <f t="shared" si="76"/>
        <v>0</v>
      </c>
      <c r="O542">
        <f t="shared" si="77"/>
        <v>3504.4887999999996</v>
      </c>
      <c r="P542">
        <f t="shared" si="78"/>
        <v>876.12219999999991</v>
      </c>
      <c r="Q542">
        <f t="shared" si="79"/>
        <v>893.9950928799999</v>
      </c>
      <c r="R542">
        <f t="shared" si="80"/>
        <v>432.53100000000001</v>
      </c>
      <c r="S542">
        <f t="shared" si="73"/>
        <v>5727.64</v>
      </c>
    </row>
    <row r="543" spans="1:19" x14ac:dyDescent="0.25">
      <c r="A543">
        <v>673</v>
      </c>
      <c r="B543">
        <v>1306</v>
      </c>
      <c r="C543" t="s">
        <v>34</v>
      </c>
      <c r="D543" t="s">
        <v>173</v>
      </c>
      <c r="E543">
        <v>15</v>
      </c>
      <c r="F543">
        <v>17.05</v>
      </c>
      <c r="G543">
        <v>2.5499999999999998</v>
      </c>
      <c r="H543">
        <v>28.17</v>
      </c>
      <c r="I543">
        <v>0.77</v>
      </c>
      <c r="J543">
        <v>83.64</v>
      </c>
      <c r="K543">
        <f t="shared" si="74"/>
        <v>1254.5999999999999</v>
      </c>
      <c r="L543">
        <f t="shared" si="75"/>
        <v>1254.5999999999999</v>
      </c>
      <c r="M543">
        <f t="shared" si="72"/>
        <v>652.16250000000002</v>
      </c>
      <c r="N543">
        <f t="shared" si="76"/>
        <v>163.04062500000001</v>
      </c>
      <c r="O543">
        <f t="shared" si="77"/>
        <v>652.16250000000002</v>
      </c>
      <c r="P543">
        <f t="shared" si="78"/>
        <v>163.04062500000001</v>
      </c>
      <c r="Q543">
        <f t="shared" si="79"/>
        <v>166.36665375000001</v>
      </c>
      <c r="R543">
        <f t="shared" si="80"/>
        <v>325.36350000000004</v>
      </c>
      <c r="S543">
        <f t="shared" si="73"/>
        <v>1254.5999999999999</v>
      </c>
    </row>
    <row r="544" spans="1:19" x14ac:dyDescent="0.25">
      <c r="A544">
        <v>674</v>
      </c>
      <c r="B544">
        <v>1306</v>
      </c>
      <c r="C544" t="s">
        <v>34</v>
      </c>
      <c r="D544" t="s">
        <v>173</v>
      </c>
      <c r="E544">
        <v>20</v>
      </c>
      <c r="F544">
        <v>15.57</v>
      </c>
      <c r="G544">
        <v>2.64</v>
      </c>
      <c r="H544">
        <v>31.87</v>
      </c>
      <c r="I544">
        <v>0.78</v>
      </c>
      <c r="J544">
        <v>83.86</v>
      </c>
      <c r="K544">
        <f t="shared" si="74"/>
        <v>1677.2</v>
      </c>
      <c r="L544">
        <f t="shared" si="75"/>
        <v>1677.2</v>
      </c>
      <c r="M544">
        <f t="shared" si="72"/>
        <v>822.09600000000012</v>
      </c>
      <c r="N544">
        <f t="shared" si="76"/>
        <v>205.52400000000003</v>
      </c>
      <c r="O544">
        <f t="shared" si="77"/>
        <v>822.09600000000012</v>
      </c>
      <c r="P544">
        <f t="shared" si="78"/>
        <v>205.52400000000003</v>
      </c>
      <c r="Q544">
        <f t="shared" si="79"/>
        <v>209.71668960000002</v>
      </c>
      <c r="R544">
        <f t="shared" si="80"/>
        <v>497.17200000000008</v>
      </c>
      <c r="S544">
        <f t="shared" si="73"/>
        <v>1677.2</v>
      </c>
    </row>
    <row r="545" spans="1:19" x14ac:dyDescent="0.25">
      <c r="A545">
        <v>675</v>
      </c>
      <c r="B545">
        <v>1306</v>
      </c>
      <c r="C545" t="s">
        <v>34</v>
      </c>
      <c r="D545" t="s">
        <v>173</v>
      </c>
      <c r="E545">
        <v>18</v>
      </c>
      <c r="F545">
        <v>12.8</v>
      </c>
      <c r="G545">
        <v>2.62</v>
      </c>
      <c r="H545">
        <v>33.200000000000003</v>
      </c>
      <c r="I545">
        <v>0.81</v>
      </c>
      <c r="J545">
        <v>75.69</v>
      </c>
      <c r="K545">
        <f t="shared" si="74"/>
        <v>1362.42</v>
      </c>
      <c r="L545">
        <f t="shared" si="75"/>
        <v>1362.42</v>
      </c>
      <c r="M545">
        <f t="shared" si="72"/>
        <v>603.64800000000002</v>
      </c>
      <c r="N545">
        <f t="shared" si="76"/>
        <v>150.91200000000001</v>
      </c>
      <c r="O545">
        <f t="shared" si="77"/>
        <v>603.64800000000002</v>
      </c>
      <c r="P545">
        <f t="shared" si="78"/>
        <v>150.91200000000001</v>
      </c>
      <c r="Q545">
        <f t="shared" si="79"/>
        <v>153.9906048</v>
      </c>
      <c r="R545">
        <f t="shared" si="80"/>
        <v>484.0560000000001</v>
      </c>
      <c r="S545">
        <f t="shared" si="73"/>
        <v>1362.42</v>
      </c>
    </row>
    <row r="546" spans="1:19" x14ac:dyDescent="0.25">
      <c r="A546">
        <v>676</v>
      </c>
      <c r="B546">
        <v>1306</v>
      </c>
      <c r="C546" t="s">
        <v>34</v>
      </c>
      <c r="D546" t="s">
        <v>173</v>
      </c>
      <c r="E546">
        <v>13</v>
      </c>
      <c r="F546">
        <v>16.7</v>
      </c>
      <c r="G546">
        <v>2.92</v>
      </c>
      <c r="H546">
        <v>30.92</v>
      </c>
      <c r="I546">
        <v>0.82</v>
      </c>
      <c r="J546">
        <v>94.94</v>
      </c>
      <c r="K546">
        <f t="shared" si="74"/>
        <v>1234.22</v>
      </c>
      <c r="L546">
        <f t="shared" si="75"/>
        <v>1234.22</v>
      </c>
      <c r="M546">
        <f t="shared" si="72"/>
        <v>633.93200000000002</v>
      </c>
      <c r="N546">
        <f t="shared" si="76"/>
        <v>158.483</v>
      </c>
      <c r="O546">
        <f t="shared" si="77"/>
        <v>633.93200000000002</v>
      </c>
      <c r="P546">
        <f t="shared" si="78"/>
        <v>158.483</v>
      </c>
      <c r="Q546">
        <f t="shared" si="79"/>
        <v>161.7160532</v>
      </c>
      <c r="R546">
        <f t="shared" si="80"/>
        <v>329.60720000000003</v>
      </c>
      <c r="S546">
        <f t="shared" si="73"/>
        <v>1234.22</v>
      </c>
    </row>
    <row r="547" spans="1:19" x14ac:dyDescent="0.25">
      <c r="A547">
        <v>677</v>
      </c>
      <c r="B547">
        <v>1306</v>
      </c>
      <c r="C547" t="s">
        <v>34</v>
      </c>
      <c r="D547" t="s">
        <v>173</v>
      </c>
      <c r="E547">
        <v>18</v>
      </c>
      <c r="F547">
        <v>13.2</v>
      </c>
      <c r="G547">
        <v>3.19</v>
      </c>
      <c r="H547">
        <v>29.6</v>
      </c>
      <c r="I547">
        <v>0.78</v>
      </c>
      <c r="J547">
        <v>74.97</v>
      </c>
      <c r="K547">
        <f t="shared" si="74"/>
        <v>1349.46</v>
      </c>
      <c r="L547">
        <f t="shared" si="75"/>
        <v>1349.46</v>
      </c>
      <c r="M547">
        <f t="shared" si="72"/>
        <v>757.94399999999996</v>
      </c>
      <c r="N547">
        <f t="shared" si="76"/>
        <v>189.48599999999999</v>
      </c>
      <c r="O547">
        <f t="shared" si="77"/>
        <v>757.94399999999996</v>
      </c>
      <c r="P547">
        <f t="shared" si="78"/>
        <v>189.48599999999999</v>
      </c>
      <c r="Q547">
        <f t="shared" si="79"/>
        <v>193.35151439999999</v>
      </c>
      <c r="R547">
        <f t="shared" si="80"/>
        <v>415.58400000000006</v>
      </c>
      <c r="S547">
        <f t="shared" si="73"/>
        <v>1349.46</v>
      </c>
    </row>
    <row r="548" spans="1:19" x14ac:dyDescent="0.25">
      <c r="A548">
        <v>678</v>
      </c>
      <c r="B548">
        <v>1306</v>
      </c>
      <c r="C548" t="s">
        <v>34</v>
      </c>
      <c r="D548" t="s">
        <v>172</v>
      </c>
      <c r="E548">
        <v>14</v>
      </c>
      <c r="F548">
        <v>19.12</v>
      </c>
      <c r="G548">
        <v>11.41</v>
      </c>
      <c r="H548">
        <v>23.95</v>
      </c>
      <c r="I548">
        <v>1.1100000000000001</v>
      </c>
      <c r="J548">
        <v>356.15</v>
      </c>
      <c r="K548">
        <f t="shared" si="74"/>
        <v>4986.0999999999995</v>
      </c>
      <c r="L548">
        <f t="shared" si="75"/>
        <v>0</v>
      </c>
      <c r="M548">
        <f t="shared" si="72"/>
        <v>0</v>
      </c>
      <c r="N548">
        <f t="shared" si="76"/>
        <v>0</v>
      </c>
      <c r="O548">
        <f t="shared" si="77"/>
        <v>3054.2288000000003</v>
      </c>
      <c r="P548">
        <f t="shared" si="78"/>
        <v>763.55720000000008</v>
      </c>
      <c r="Q548">
        <f t="shared" si="79"/>
        <v>779.13376688000005</v>
      </c>
      <c r="R548">
        <f t="shared" si="80"/>
        <v>372.18299999999999</v>
      </c>
      <c r="S548">
        <f t="shared" si="73"/>
        <v>4986.0999999999995</v>
      </c>
    </row>
    <row r="549" spans="1:19" x14ac:dyDescent="0.25">
      <c r="A549">
        <v>679</v>
      </c>
      <c r="B549">
        <v>1306</v>
      </c>
      <c r="C549" t="s">
        <v>34</v>
      </c>
      <c r="D549" t="s">
        <v>172</v>
      </c>
      <c r="E549">
        <v>14</v>
      </c>
      <c r="F549">
        <v>20.16</v>
      </c>
      <c r="G549">
        <v>10.220000000000001</v>
      </c>
      <c r="H549">
        <v>26.81</v>
      </c>
      <c r="I549">
        <v>0.91</v>
      </c>
      <c r="J549">
        <v>335.51</v>
      </c>
      <c r="K549">
        <f t="shared" si="74"/>
        <v>4697.1399999999994</v>
      </c>
      <c r="L549">
        <f t="shared" si="75"/>
        <v>0</v>
      </c>
      <c r="M549">
        <f t="shared" si="72"/>
        <v>0</v>
      </c>
      <c r="N549">
        <f t="shared" si="76"/>
        <v>0</v>
      </c>
      <c r="O549">
        <f t="shared" si="77"/>
        <v>2884.4928000000004</v>
      </c>
      <c r="P549">
        <f t="shared" si="78"/>
        <v>721.12320000000011</v>
      </c>
      <c r="Q549">
        <f t="shared" si="79"/>
        <v>735.83411328000011</v>
      </c>
      <c r="R549">
        <f t="shared" si="80"/>
        <v>341.55939999999998</v>
      </c>
      <c r="S549">
        <f t="shared" si="73"/>
        <v>4697.1399999999994</v>
      </c>
    </row>
    <row r="550" spans="1:19" x14ac:dyDescent="0.25">
      <c r="A550">
        <v>680</v>
      </c>
      <c r="B550">
        <v>1306</v>
      </c>
      <c r="C550" t="s">
        <v>34</v>
      </c>
      <c r="D550" t="s">
        <v>172</v>
      </c>
      <c r="E550">
        <v>9</v>
      </c>
      <c r="F550">
        <v>18.989999999999998</v>
      </c>
      <c r="G550">
        <v>9.69</v>
      </c>
      <c r="H550">
        <v>31.37</v>
      </c>
      <c r="I550">
        <v>0.99</v>
      </c>
      <c r="J550">
        <v>310.68</v>
      </c>
      <c r="K550">
        <f t="shared" si="74"/>
        <v>2796.12</v>
      </c>
      <c r="L550">
        <f t="shared" si="75"/>
        <v>0</v>
      </c>
      <c r="M550">
        <f t="shared" si="72"/>
        <v>0</v>
      </c>
      <c r="N550">
        <f t="shared" si="76"/>
        <v>0</v>
      </c>
      <c r="O550">
        <f t="shared" si="77"/>
        <v>1656.1178999999997</v>
      </c>
      <c r="P550">
        <f t="shared" si="78"/>
        <v>414.02947499999993</v>
      </c>
      <c r="Q550">
        <f t="shared" si="79"/>
        <v>422.47567628999991</v>
      </c>
      <c r="R550">
        <f t="shared" si="80"/>
        <v>279.50670000000002</v>
      </c>
      <c r="S550">
        <f t="shared" si="73"/>
        <v>2796.12</v>
      </c>
    </row>
    <row r="551" spans="1:19" x14ac:dyDescent="0.25">
      <c r="A551">
        <v>681</v>
      </c>
      <c r="B551">
        <v>1306</v>
      </c>
      <c r="C551" t="s">
        <v>34</v>
      </c>
      <c r="D551" t="s">
        <v>173</v>
      </c>
      <c r="E551">
        <v>13</v>
      </c>
      <c r="F551">
        <v>14.5</v>
      </c>
      <c r="G551">
        <v>2.42</v>
      </c>
      <c r="H551">
        <v>26.96</v>
      </c>
      <c r="I551">
        <v>0.83</v>
      </c>
      <c r="J551">
        <v>72.86</v>
      </c>
      <c r="K551">
        <f t="shared" si="74"/>
        <v>947.18</v>
      </c>
      <c r="L551">
        <f t="shared" si="75"/>
        <v>947.18</v>
      </c>
      <c r="M551">
        <f t="shared" si="72"/>
        <v>456.17</v>
      </c>
      <c r="N551">
        <f t="shared" si="76"/>
        <v>114.0425</v>
      </c>
      <c r="O551">
        <f t="shared" si="77"/>
        <v>456.17</v>
      </c>
      <c r="P551">
        <f t="shared" si="78"/>
        <v>114.0425</v>
      </c>
      <c r="Q551">
        <f t="shared" si="79"/>
        <v>116.368967</v>
      </c>
      <c r="R551">
        <f t="shared" si="80"/>
        <v>290.89839999999998</v>
      </c>
      <c r="S551">
        <f t="shared" si="73"/>
        <v>947.18</v>
      </c>
    </row>
    <row r="552" spans="1:19" x14ac:dyDescent="0.25">
      <c r="A552">
        <v>682</v>
      </c>
      <c r="B552">
        <v>1307</v>
      </c>
      <c r="C552" t="s">
        <v>35</v>
      </c>
      <c r="D552" t="s">
        <v>173</v>
      </c>
      <c r="E552">
        <v>13</v>
      </c>
      <c r="F552">
        <v>16.64</v>
      </c>
      <c r="G552">
        <v>2.75</v>
      </c>
      <c r="H552">
        <v>33.130000000000003</v>
      </c>
      <c r="I552">
        <v>0.78</v>
      </c>
      <c r="J552">
        <v>91.35</v>
      </c>
      <c r="K552">
        <f t="shared" si="74"/>
        <v>1187.55</v>
      </c>
      <c r="L552">
        <f t="shared" si="75"/>
        <v>1187.55</v>
      </c>
      <c r="M552">
        <f t="shared" si="72"/>
        <v>594.88</v>
      </c>
      <c r="N552">
        <f t="shared" si="76"/>
        <v>148.72</v>
      </c>
      <c r="O552">
        <f t="shared" si="77"/>
        <v>594.88</v>
      </c>
      <c r="P552">
        <f t="shared" si="78"/>
        <v>148.72</v>
      </c>
      <c r="Q552">
        <f t="shared" si="79"/>
        <v>151.75388799999999</v>
      </c>
      <c r="R552">
        <f t="shared" si="80"/>
        <v>335.93820000000005</v>
      </c>
      <c r="S552">
        <f t="shared" si="73"/>
        <v>1187.55</v>
      </c>
    </row>
    <row r="553" spans="1:19" x14ac:dyDescent="0.25">
      <c r="A553">
        <v>683</v>
      </c>
      <c r="B553">
        <v>1307</v>
      </c>
      <c r="C553" t="s">
        <v>35</v>
      </c>
      <c r="D553" t="s">
        <v>172</v>
      </c>
      <c r="E553">
        <v>29</v>
      </c>
      <c r="F553">
        <v>18.010000000000002</v>
      </c>
      <c r="G553">
        <v>10.72</v>
      </c>
      <c r="H553">
        <v>36.03</v>
      </c>
      <c r="I553">
        <v>1.0900000000000001</v>
      </c>
      <c r="J553">
        <v>333.92</v>
      </c>
      <c r="K553">
        <f t="shared" si="74"/>
        <v>9683.68</v>
      </c>
      <c r="L553">
        <f t="shared" si="75"/>
        <v>0</v>
      </c>
      <c r="M553">
        <f t="shared" si="72"/>
        <v>0</v>
      </c>
      <c r="N553">
        <f t="shared" si="76"/>
        <v>0</v>
      </c>
      <c r="O553">
        <f t="shared" si="77"/>
        <v>5598.9488000000001</v>
      </c>
      <c r="P553">
        <f t="shared" si="78"/>
        <v>1399.7372</v>
      </c>
      <c r="Q553">
        <f t="shared" si="79"/>
        <v>1428.2918388799999</v>
      </c>
      <c r="R553">
        <f t="shared" si="80"/>
        <v>1138.9083000000001</v>
      </c>
      <c r="S553">
        <f t="shared" si="73"/>
        <v>9683.68</v>
      </c>
    </row>
    <row r="554" spans="1:19" x14ac:dyDescent="0.25">
      <c r="A554">
        <v>684</v>
      </c>
      <c r="B554">
        <v>1307</v>
      </c>
      <c r="C554" t="s">
        <v>35</v>
      </c>
      <c r="D554" t="s">
        <v>172</v>
      </c>
      <c r="E554">
        <v>13</v>
      </c>
      <c r="F554">
        <v>19.16</v>
      </c>
      <c r="G554">
        <v>11.54</v>
      </c>
      <c r="H554">
        <v>36.700000000000003</v>
      </c>
      <c r="I554">
        <v>1.02</v>
      </c>
      <c r="J554">
        <v>373.44</v>
      </c>
      <c r="K554">
        <f t="shared" si="74"/>
        <v>4854.72</v>
      </c>
      <c r="L554">
        <f t="shared" si="75"/>
        <v>0</v>
      </c>
      <c r="M554">
        <f t="shared" si="72"/>
        <v>0</v>
      </c>
      <c r="N554">
        <f t="shared" si="76"/>
        <v>0</v>
      </c>
      <c r="O554">
        <f t="shared" si="77"/>
        <v>2874.3831999999998</v>
      </c>
      <c r="P554">
        <f t="shared" si="78"/>
        <v>718.59579999999994</v>
      </c>
      <c r="Q554">
        <f t="shared" si="79"/>
        <v>733.25515431999997</v>
      </c>
      <c r="R554">
        <f t="shared" si="80"/>
        <v>486.64200000000005</v>
      </c>
      <c r="S554">
        <f t="shared" si="73"/>
        <v>4854.72</v>
      </c>
    </row>
    <row r="555" spans="1:19" x14ac:dyDescent="0.25">
      <c r="A555">
        <v>685</v>
      </c>
      <c r="B555">
        <v>1307</v>
      </c>
      <c r="C555" t="s">
        <v>35</v>
      </c>
      <c r="D555" t="s">
        <v>173</v>
      </c>
      <c r="E555">
        <v>18</v>
      </c>
      <c r="F555">
        <v>12.98</v>
      </c>
      <c r="G555">
        <v>2.8</v>
      </c>
      <c r="H555">
        <v>29.81</v>
      </c>
      <c r="I555">
        <v>0.79</v>
      </c>
      <c r="J555">
        <v>75.88</v>
      </c>
      <c r="K555">
        <f t="shared" si="74"/>
        <v>1365.84</v>
      </c>
      <c r="L555">
        <f t="shared" si="75"/>
        <v>1365.84</v>
      </c>
      <c r="M555">
        <f t="shared" si="72"/>
        <v>654.19200000000001</v>
      </c>
      <c r="N555">
        <f t="shared" si="76"/>
        <v>163.548</v>
      </c>
      <c r="O555">
        <f t="shared" si="77"/>
        <v>654.19200000000001</v>
      </c>
      <c r="P555">
        <f t="shared" si="78"/>
        <v>163.548</v>
      </c>
      <c r="Q555">
        <f t="shared" si="79"/>
        <v>166.88437919999998</v>
      </c>
      <c r="R555">
        <f t="shared" si="80"/>
        <v>423.89819999999997</v>
      </c>
      <c r="S555">
        <f t="shared" si="73"/>
        <v>1365.84</v>
      </c>
    </row>
    <row r="556" spans="1:19" x14ac:dyDescent="0.25">
      <c r="A556">
        <v>686</v>
      </c>
      <c r="B556">
        <v>1307</v>
      </c>
      <c r="C556" t="s">
        <v>35</v>
      </c>
      <c r="D556" t="s">
        <v>172</v>
      </c>
      <c r="E556">
        <v>10</v>
      </c>
      <c r="F556">
        <v>18.62</v>
      </c>
      <c r="G556">
        <v>11.47</v>
      </c>
      <c r="H556">
        <v>31.99</v>
      </c>
      <c r="I556">
        <v>0.97</v>
      </c>
      <c r="J556">
        <v>354.61</v>
      </c>
      <c r="K556">
        <f t="shared" si="74"/>
        <v>3546.1000000000004</v>
      </c>
      <c r="L556">
        <f t="shared" si="75"/>
        <v>0</v>
      </c>
      <c r="M556">
        <f t="shared" si="72"/>
        <v>0</v>
      </c>
      <c r="N556">
        <f t="shared" si="76"/>
        <v>0</v>
      </c>
      <c r="O556">
        <f t="shared" si="77"/>
        <v>2135.7139999999999</v>
      </c>
      <c r="P556">
        <f t="shared" si="78"/>
        <v>533.92849999999999</v>
      </c>
      <c r="Q556">
        <f t="shared" si="79"/>
        <v>544.8206414</v>
      </c>
      <c r="R556">
        <f t="shared" si="80"/>
        <v>310.30299999999994</v>
      </c>
      <c r="S556">
        <f t="shared" si="73"/>
        <v>3546.1000000000004</v>
      </c>
    </row>
    <row r="557" spans="1:19" x14ac:dyDescent="0.25">
      <c r="A557">
        <v>687</v>
      </c>
      <c r="B557">
        <v>1307</v>
      </c>
      <c r="C557" t="s">
        <v>35</v>
      </c>
      <c r="D557" t="s">
        <v>172</v>
      </c>
      <c r="E557">
        <v>14</v>
      </c>
      <c r="F557">
        <v>19.420000000000002</v>
      </c>
      <c r="G557">
        <v>10.68</v>
      </c>
      <c r="H557">
        <v>24.72</v>
      </c>
      <c r="I557">
        <v>1.01</v>
      </c>
      <c r="J557">
        <v>338.23</v>
      </c>
      <c r="K557">
        <f t="shared" si="74"/>
        <v>4735.22</v>
      </c>
      <c r="L557">
        <f t="shared" si="75"/>
        <v>0</v>
      </c>
      <c r="M557">
        <f t="shared" si="72"/>
        <v>0</v>
      </c>
      <c r="N557">
        <f t="shared" si="76"/>
        <v>0</v>
      </c>
      <c r="O557">
        <f t="shared" si="77"/>
        <v>2903.6783999999998</v>
      </c>
      <c r="P557">
        <f t="shared" si="78"/>
        <v>725.91959999999995</v>
      </c>
      <c r="Q557">
        <f t="shared" si="79"/>
        <v>740.72835983999994</v>
      </c>
      <c r="R557">
        <f t="shared" si="80"/>
        <v>349.54079999999999</v>
      </c>
      <c r="S557">
        <f t="shared" si="73"/>
        <v>4735.22</v>
      </c>
    </row>
    <row r="558" spans="1:19" x14ac:dyDescent="0.25">
      <c r="A558">
        <v>688</v>
      </c>
      <c r="B558">
        <v>1307</v>
      </c>
      <c r="C558" t="s">
        <v>35</v>
      </c>
      <c r="D558" t="s">
        <v>173</v>
      </c>
      <c r="E558">
        <v>9</v>
      </c>
      <c r="F558">
        <v>14.39</v>
      </c>
      <c r="G558">
        <v>2.96</v>
      </c>
      <c r="H558">
        <v>31.13</v>
      </c>
      <c r="I558">
        <v>0.78</v>
      </c>
      <c r="J558">
        <v>85.28</v>
      </c>
      <c r="K558">
        <f t="shared" si="74"/>
        <v>767.52</v>
      </c>
      <c r="L558">
        <f t="shared" si="75"/>
        <v>767.52</v>
      </c>
      <c r="M558">
        <f t="shared" si="72"/>
        <v>383.34960000000001</v>
      </c>
      <c r="N558">
        <f t="shared" si="76"/>
        <v>95.837400000000002</v>
      </c>
      <c r="O558">
        <f t="shared" si="77"/>
        <v>383.34960000000001</v>
      </c>
      <c r="P558">
        <f t="shared" si="78"/>
        <v>95.837400000000002</v>
      </c>
      <c r="Q558">
        <f t="shared" si="79"/>
        <v>97.792482960000001</v>
      </c>
      <c r="R558">
        <f t="shared" si="80"/>
        <v>218.5326</v>
      </c>
      <c r="S558">
        <f t="shared" si="73"/>
        <v>767.52</v>
      </c>
    </row>
    <row r="559" spans="1:19" x14ac:dyDescent="0.25">
      <c r="A559">
        <v>689</v>
      </c>
      <c r="B559">
        <v>1307</v>
      </c>
      <c r="C559" t="s">
        <v>35</v>
      </c>
      <c r="D559" t="s">
        <v>173</v>
      </c>
      <c r="E559">
        <v>9</v>
      </c>
      <c r="F559">
        <v>13.71</v>
      </c>
      <c r="G559">
        <v>2.69</v>
      </c>
      <c r="H559">
        <v>33.909999999999997</v>
      </c>
      <c r="I559">
        <v>0.8</v>
      </c>
      <c r="J559">
        <v>80.55</v>
      </c>
      <c r="K559">
        <f t="shared" si="74"/>
        <v>724.94999999999993</v>
      </c>
      <c r="L559">
        <f t="shared" si="75"/>
        <v>724.94999999999993</v>
      </c>
      <c r="M559">
        <f t="shared" si="72"/>
        <v>331.91910000000001</v>
      </c>
      <c r="N559">
        <f t="shared" si="76"/>
        <v>82.979775000000004</v>
      </c>
      <c r="O559">
        <f t="shared" si="77"/>
        <v>331.91910000000001</v>
      </c>
      <c r="P559">
        <f t="shared" si="78"/>
        <v>82.979775000000004</v>
      </c>
      <c r="Q559">
        <f t="shared" si="79"/>
        <v>84.672562409999998</v>
      </c>
      <c r="R559">
        <f t="shared" si="80"/>
        <v>244.15199999999999</v>
      </c>
      <c r="S559">
        <f t="shared" si="73"/>
        <v>724.94999999999993</v>
      </c>
    </row>
    <row r="560" spans="1:19" x14ac:dyDescent="0.25">
      <c r="A560">
        <v>690</v>
      </c>
      <c r="B560">
        <v>1308</v>
      </c>
      <c r="C560" t="s">
        <v>33</v>
      </c>
      <c r="D560" t="s">
        <v>172</v>
      </c>
      <c r="E560">
        <v>26</v>
      </c>
      <c r="F560">
        <v>19.87</v>
      </c>
      <c r="G560">
        <v>11.42</v>
      </c>
      <c r="H560">
        <v>32.06</v>
      </c>
      <c r="I560">
        <v>1</v>
      </c>
      <c r="J560">
        <v>375.69</v>
      </c>
      <c r="K560">
        <f t="shared" si="74"/>
        <v>9767.94</v>
      </c>
      <c r="L560">
        <f t="shared" si="75"/>
        <v>0</v>
      </c>
      <c r="M560">
        <f t="shared" si="72"/>
        <v>0</v>
      </c>
      <c r="N560">
        <f t="shared" si="76"/>
        <v>0</v>
      </c>
      <c r="O560">
        <f t="shared" si="77"/>
        <v>5899.800400000001</v>
      </c>
      <c r="P560">
        <f t="shared" si="78"/>
        <v>1474.9501000000002</v>
      </c>
      <c r="Q560">
        <f t="shared" si="79"/>
        <v>1505.0390820400003</v>
      </c>
      <c r="R560">
        <f t="shared" si="80"/>
        <v>833.56000000000006</v>
      </c>
      <c r="S560">
        <f t="shared" si="73"/>
        <v>9767.94</v>
      </c>
    </row>
    <row r="561" spans="1:19" x14ac:dyDescent="0.25">
      <c r="A561">
        <v>691</v>
      </c>
      <c r="B561">
        <v>1308</v>
      </c>
      <c r="C561" t="s">
        <v>33</v>
      </c>
      <c r="D561" t="s">
        <v>172</v>
      </c>
      <c r="E561">
        <v>14</v>
      </c>
      <c r="F561">
        <v>19.68</v>
      </c>
      <c r="G561">
        <v>11.4</v>
      </c>
      <c r="H561">
        <v>28.91</v>
      </c>
      <c r="I561">
        <v>1.06</v>
      </c>
      <c r="J561">
        <v>370.19</v>
      </c>
      <c r="K561">
        <f t="shared" si="74"/>
        <v>5182.66</v>
      </c>
      <c r="L561">
        <f t="shared" si="75"/>
        <v>0</v>
      </c>
      <c r="M561">
        <f t="shared" si="72"/>
        <v>0</v>
      </c>
      <c r="N561">
        <f t="shared" si="76"/>
        <v>0</v>
      </c>
      <c r="O561">
        <f t="shared" si="77"/>
        <v>3140.9279999999999</v>
      </c>
      <c r="P561">
        <f t="shared" si="78"/>
        <v>785.23199999999997</v>
      </c>
      <c r="Q561">
        <f t="shared" si="79"/>
        <v>801.25073279999992</v>
      </c>
      <c r="R561">
        <f t="shared" si="80"/>
        <v>429.02440000000001</v>
      </c>
      <c r="S561">
        <f t="shared" si="73"/>
        <v>5182.66</v>
      </c>
    </row>
    <row r="562" spans="1:19" x14ac:dyDescent="0.25">
      <c r="A562">
        <v>692</v>
      </c>
      <c r="B562">
        <v>1308</v>
      </c>
      <c r="C562" t="s">
        <v>33</v>
      </c>
      <c r="D562" t="s">
        <v>172</v>
      </c>
      <c r="E562">
        <v>12</v>
      </c>
      <c r="F562">
        <v>20.34</v>
      </c>
      <c r="G562">
        <v>10.45</v>
      </c>
      <c r="H562">
        <v>35.659999999999997</v>
      </c>
      <c r="I562">
        <v>1.04</v>
      </c>
      <c r="J562">
        <v>360.31</v>
      </c>
      <c r="K562">
        <f t="shared" si="74"/>
        <v>4323.72</v>
      </c>
      <c r="L562">
        <f t="shared" si="75"/>
        <v>0</v>
      </c>
      <c r="M562">
        <f t="shared" si="72"/>
        <v>0</v>
      </c>
      <c r="N562">
        <f t="shared" si="76"/>
        <v>0</v>
      </c>
      <c r="O562">
        <f t="shared" si="77"/>
        <v>2550.636</v>
      </c>
      <c r="P562">
        <f t="shared" si="78"/>
        <v>637.65899999999999</v>
      </c>
      <c r="Q562">
        <f t="shared" si="79"/>
        <v>650.66724360000001</v>
      </c>
      <c r="R562">
        <f t="shared" si="80"/>
        <v>445.03679999999997</v>
      </c>
      <c r="S562">
        <f t="shared" si="73"/>
        <v>4323.72</v>
      </c>
    </row>
    <row r="563" spans="1:19" x14ac:dyDescent="0.25">
      <c r="A563">
        <v>693</v>
      </c>
      <c r="B563">
        <v>1308</v>
      </c>
      <c r="C563" t="s">
        <v>33</v>
      </c>
      <c r="D563" t="s">
        <v>173</v>
      </c>
      <c r="E563">
        <v>7</v>
      </c>
      <c r="F563">
        <v>15.3</v>
      </c>
      <c r="G563">
        <v>2.89</v>
      </c>
      <c r="H563">
        <v>34.57</v>
      </c>
      <c r="I563">
        <v>0.81</v>
      </c>
      <c r="J563">
        <v>91.6</v>
      </c>
      <c r="K563">
        <f t="shared" si="74"/>
        <v>641.19999999999993</v>
      </c>
      <c r="L563">
        <f t="shared" si="75"/>
        <v>641.19999999999993</v>
      </c>
      <c r="M563">
        <f t="shared" si="72"/>
        <v>309.51900000000001</v>
      </c>
      <c r="N563">
        <f t="shared" si="76"/>
        <v>77.379750000000001</v>
      </c>
      <c r="O563">
        <f t="shared" si="77"/>
        <v>309.51900000000001</v>
      </c>
      <c r="P563">
        <f t="shared" si="78"/>
        <v>77.379750000000001</v>
      </c>
      <c r="Q563">
        <f t="shared" si="79"/>
        <v>78.958296899999993</v>
      </c>
      <c r="R563">
        <f t="shared" si="80"/>
        <v>196.0119</v>
      </c>
      <c r="S563">
        <f t="shared" si="73"/>
        <v>641.19999999999993</v>
      </c>
    </row>
    <row r="564" spans="1:19" x14ac:dyDescent="0.25">
      <c r="A564">
        <v>694</v>
      </c>
      <c r="B564">
        <v>1308</v>
      </c>
      <c r="C564" t="s">
        <v>33</v>
      </c>
      <c r="D564" t="s">
        <v>173</v>
      </c>
      <c r="E564">
        <v>40</v>
      </c>
      <c r="F564">
        <v>14.58</v>
      </c>
      <c r="G564">
        <v>3.07</v>
      </c>
      <c r="H564">
        <v>34.07</v>
      </c>
      <c r="I564">
        <v>0.82</v>
      </c>
      <c r="J564">
        <v>83.05</v>
      </c>
      <c r="K564">
        <f t="shared" si="74"/>
        <v>3322</v>
      </c>
      <c r="L564">
        <f t="shared" si="75"/>
        <v>3322</v>
      </c>
      <c r="M564">
        <f t="shared" si="72"/>
        <v>1790.424</v>
      </c>
      <c r="N564">
        <f t="shared" si="76"/>
        <v>447.60599999999999</v>
      </c>
      <c r="O564">
        <f t="shared" si="77"/>
        <v>1790.424</v>
      </c>
      <c r="P564">
        <f t="shared" si="78"/>
        <v>447.60599999999999</v>
      </c>
      <c r="Q564">
        <f t="shared" si="79"/>
        <v>456.73716239999999</v>
      </c>
      <c r="R564">
        <f t="shared" si="80"/>
        <v>1117.4959999999999</v>
      </c>
      <c r="S564">
        <f t="shared" si="73"/>
        <v>3322</v>
      </c>
    </row>
    <row r="565" spans="1:19" x14ac:dyDescent="0.25">
      <c r="A565">
        <v>695</v>
      </c>
      <c r="B565">
        <v>1308</v>
      </c>
      <c r="C565" t="s">
        <v>33</v>
      </c>
      <c r="D565" t="s">
        <v>172</v>
      </c>
      <c r="E565">
        <v>14</v>
      </c>
      <c r="F565">
        <v>19.16</v>
      </c>
      <c r="G565">
        <v>11.64</v>
      </c>
      <c r="H565">
        <v>26.65</v>
      </c>
      <c r="I565">
        <v>1.02</v>
      </c>
      <c r="J565">
        <v>364.09</v>
      </c>
      <c r="K565">
        <f t="shared" si="74"/>
        <v>5097.2599999999993</v>
      </c>
      <c r="L565">
        <f t="shared" si="75"/>
        <v>0</v>
      </c>
      <c r="M565">
        <f t="shared" si="72"/>
        <v>0</v>
      </c>
      <c r="N565">
        <f t="shared" si="76"/>
        <v>0</v>
      </c>
      <c r="O565">
        <f t="shared" si="77"/>
        <v>3122.3136</v>
      </c>
      <c r="P565">
        <f t="shared" si="78"/>
        <v>780.57839999999999</v>
      </c>
      <c r="Q565">
        <f t="shared" si="79"/>
        <v>796.50219935999996</v>
      </c>
      <c r="R565">
        <f t="shared" si="80"/>
        <v>380.56200000000001</v>
      </c>
      <c r="S565">
        <f t="shared" si="73"/>
        <v>5097.2599999999993</v>
      </c>
    </row>
    <row r="566" spans="1:19" x14ac:dyDescent="0.25">
      <c r="A566">
        <v>696</v>
      </c>
      <c r="B566">
        <v>1308</v>
      </c>
      <c r="C566" t="s">
        <v>33</v>
      </c>
      <c r="D566" t="s">
        <v>172</v>
      </c>
      <c r="E566">
        <v>19</v>
      </c>
      <c r="F566">
        <v>18.420000000000002</v>
      </c>
      <c r="G566">
        <v>10.24</v>
      </c>
      <c r="H566">
        <v>31.67</v>
      </c>
      <c r="I566">
        <v>1.08</v>
      </c>
      <c r="J566">
        <v>321.27999999999997</v>
      </c>
      <c r="K566">
        <f t="shared" si="74"/>
        <v>6104.32</v>
      </c>
      <c r="L566">
        <f t="shared" si="75"/>
        <v>0</v>
      </c>
      <c r="M566">
        <f t="shared" si="72"/>
        <v>0</v>
      </c>
      <c r="N566">
        <f t="shared" si="76"/>
        <v>0</v>
      </c>
      <c r="O566">
        <f t="shared" si="77"/>
        <v>3583.7952000000005</v>
      </c>
      <c r="P566">
        <f t="shared" si="78"/>
        <v>895.94880000000012</v>
      </c>
      <c r="Q566">
        <f t="shared" si="79"/>
        <v>914.22615552000013</v>
      </c>
      <c r="R566">
        <f t="shared" si="80"/>
        <v>649.86840000000018</v>
      </c>
      <c r="S566">
        <f t="shared" si="73"/>
        <v>6104.32</v>
      </c>
    </row>
    <row r="567" spans="1:19" x14ac:dyDescent="0.25">
      <c r="A567">
        <v>697</v>
      </c>
      <c r="B567">
        <v>1308</v>
      </c>
      <c r="C567" t="s">
        <v>33</v>
      </c>
      <c r="D567" t="s">
        <v>173</v>
      </c>
      <c r="E567">
        <v>10</v>
      </c>
      <c r="F567">
        <v>15.52</v>
      </c>
      <c r="G567">
        <v>2.8</v>
      </c>
      <c r="H567">
        <v>35.11</v>
      </c>
      <c r="I567">
        <v>0.83</v>
      </c>
      <c r="J567">
        <v>82.63</v>
      </c>
      <c r="K567">
        <f t="shared" si="74"/>
        <v>826.3</v>
      </c>
      <c r="L567">
        <f t="shared" si="75"/>
        <v>826.3</v>
      </c>
      <c r="M567">
        <f t="shared" si="72"/>
        <v>434.56</v>
      </c>
      <c r="N567">
        <f t="shared" si="76"/>
        <v>108.64</v>
      </c>
      <c r="O567">
        <f t="shared" si="77"/>
        <v>434.56</v>
      </c>
      <c r="P567">
        <f t="shared" si="78"/>
        <v>108.64</v>
      </c>
      <c r="Q567">
        <f t="shared" si="79"/>
        <v>110.856256</v>
      </c>
      <c r="R567">
        <f t="shared" si="80"/>
        <v>291.41299999999995</v>
      </c>
      <c r="S567">
        <f t="shared" si="73"/>
        <v>826.3</v>
      </c>
    </row>
    <row r="568" spans="1:19" x14ac:dyDescent="0.25">
      <c r="A568">
        <v>698</v>
      </c>
      <c r="B568">
        <v>1309</v>
      </c>
      <c r="C568" t="s">
        <v>35</v>
      </c>
      <c r="D568" t="s">
        <v>173</v>
      </c>
      <c r="E568">
        <v>8</v>
      </c>
      <c r="F568">
        <v>12.95</v>
      </c>
      <c r="G568">
        <v>2.99</v>
      </c>
      <c r="H568">
        <v>33.06</v>
      </c>
      <c r="I568">
        <v>0.79</v>
      </c>
      <c r="J568">
        <v>73.03</v>
      </c>
      <c r="K568">
        <f t="shared" si="74"/>
        <v>584.24</v>
      </c>
      <c r="L568">
        <f t="shared" si="75"/>
        <v>584.24</v>
      </c>
      <c r="M568">
        <f t="shared" si="72"/>
        <v>309.76400000000001</v>
      </c>
      <c r="N568">
        <f t="shared" si="76"/>
        <v>77.441000000000003</v>
      </c>
      <c r="O568">
        <f t="shared" si="77"/>
        <v>309.76400000000001</v>
      </c>
      <c r="P568">
        <f t="shared" si="78"/>
        <v>77.441000000000003</v>
      </c>
      <c r="Q568">
        <f t="shared" si="79"/>
        <v>79.020796399999995</v>
      </c>
      <c r="R568">
        <f t="shared" si="80"/>
        <v>208.93920000000003</v>
      </c>
      <c r="S568">
        <f t="shared" si="73"/>
        <v>584.24</v>
      </c>
    </row>
    <row r="569" spans="1:19" x14ac:dyDescent="0.25">
      <c r="A569">
        <v>699</v>
      </c>
      <c r="B569">
        <v>1309</v>
      </c>
      <c r="C569" t="s">
        <v>35</v>
      </c>
      <c r="D569" t="s">
        <v>172</v>
      </c>
      <c r="E569">
        <v>17</v>
      </c>
      <c r="F569">
        <v>18.47</v>
      </c>
      <c r="G569">
        <v>11.45</v>
      </c>
      <c r="H569">
        <v>33.9</v>
      </c>
      <c r="I569">
        <v>1.07</v>
      </c>
      <c r="J569">
        <v>357.74</v>
      </c>
      <c r="K569">
        <f t="shared" si="74"/>
        <v>6081.58</v>
      </c>
      <c r="L569">
        <f t="shared" si="75"/>
        <v>0</v>
      </c>
      <c r="M569">
        <f t="shared" si="72"/>
        <v>0</v>
      </c>
      <c r="N569">
        <f t="shared" si="76"/>
        <v>0</v>
      </c>
      <c r="O569">
        <f t="shared" si="77"/>
        <v>3595.1854999999991</v>
      </c>
      <c r="P569">
        <f t="shared" si="78"/>
        <v>898.79637499999978</v>
      </c>
      <c r="Q569">
        <f t="shared" si="79"/>
        <v>917.13182104999976</v>
      </c>
      <c r="R569">
        <f t="shared" si="80"/>
        <v>616.64099999999996</v>
      </c>
      <c r="S569">
        <f t="shared" si="73"/>
        <v>6081.58</v>
      </c>
    </row>
    <row r="570" spans="1:19" x14ac:dyDescent="0.25">
      <c r="A570">
        <v>700</v>
      </c>
      <c r="B570">
        <v>1309</v>
      </c>
      <c r="C570" t="s">
        <v>35</v>
      </c>
      <c r="D570" t="s">
        <v>172</v>
      </c>
      <c r="E570">
        <v>23</v>
      </c>
      <c r="F570">
        <v>19.29</v>
      </c>
      <c r="G570">
        <v>9.65</v>
      </c>
      <c r="H570">
        <v>25.83</v>
      </c>
      <c r="I570">
        <v>0.97</v>
      </c>
      <c r="J570">
        <v>306.70999999999998</v>
      </c>
      <c r="K570">
        <f t="shared" si="74"/>
        <v>7054.33</v>
      </c>
      <c r="L570">
        <f t="shared" si="75"/>
        <v>0</v>
      </c>
      <c r="M570">
        <f t="shared" si="72"/>
        <v>0</v>
      </c>
      <c r="N570">
        <f t="shared" si="76"/>
        <v>0</v>
      </c>
      <c r="O570">
        <f t="shared" si="77"/>
        <v>4281.4155000000001</v>
      </c>
      <c r="P570">
        <f t="shared" si="78"/>
        <v>1070.353875</v>
      </c>
      <c r="Q570">
        <f t="shared" si="79"/>
        <v>1092.18909405</v>
      </c>
      <c r="R570">
        <f t="shared" si="80"/>
        <v>576.26729999999998</v>
      </c>
      <c r="S570">
        <f t="shared" si="73"/>
        <v>7054.33</v>
      </c>
    </row>
    <row r="571" spans="1:19" x14ac:dyDescent="0.25">
      <c r="A571">
        <v>701</v>
      </c>
      <c r="B571">
        <v>1309</v>
      </c>
      <c r="C571" t="s">
        <v>35</v>
      </c>
      <c r="D571" t="s">
        <v>172</v>
      </c>
      <c r="E571">
        <v>15</v>
      </c>
      <c r="F571">
        <v>19.96</v>
      </c>
      <c r="G571">
        <v>10.36</v>
      </c>
      <c r="H571">
        <v>34.04</v>
      </c>
      <c r="I571">
        <v>1.08</v>
      </c>
      <c r="J571">
        <v>351.34</v>
      </c>
      <c r="K571">
        <f t="shared" si="74"/>
        <v>5270.0999999999995</v>
      </c>
      <c r="L571">
        <f t="shared" si="75"/>
        <v>0</v>
      </c>
      <c r="M571">
        <f t="shared" si="72"/>
        <v>0</v>
      </c>
      <c r="N571">
        <f t="shared" si="76"/>
        <v>0</v>
      </c>
      <c r="O571">
        <f t="shared" si="77"/>
        <v>3101.7839999999997</v>
      </c>
      <c r="P571">
        <f t="shared" si="78"/>
        <v>775.44599999999991</v>
      </c>
      <c r="Q571">
        <f t="shared" si="79"/>
        <v>791.26509839999994</v>
      </c>
      <c r="R571">
        <f t="shared" si="80"/>
        <v>551.44800000000009</v>
      </c>
      <c r="S571">
        <f t="shared" si="73"/>
        <v>5270.0999999999995</v>
      </c>
    </row>
    <row r="572" spans="1:19" x14ac:dyDescent="0.25">
      <c r="A572">
        <v>702</v>
      </c>
      <c r="B572">
        <v>1309</v>
      </c>
      <c r="C572" t="s">
        <v>35</v>
      </c>
      <c r="D572" t="s">
        <v>172</v>
      </c>
      <c r="E572">
        <v>15</v>
      </c>
      <c r="F572">
        <v>20.75</v>
      </c>
      <c r="G572">
        <v>11.53</v>
      </c>
      <c r="H572">
        <v>29.93</v>
      </c>
      <c r="I572">
        <v>1.02</v>
      </c>
      <c r="J572">
        <v>392.21</v>
      </c>
      <c r="K572">
        <f t="shared" si="74"/>
        <v>5883.15</v>
      </c>
      <c r="L572">
        <f t="shared" si="75"/>
        <v>0</v>
      </c>
      <c r="M572">
        <f t="shared" si="72"/>
        <v>0</v>
      </c>
      <c r="N572">
        <f t="shared" si="76"/>
        <v>0</v>
      </c>
      <c r="O572">
        <f t="shared" si="77"/>
        <v>3588.7124999999996</v>
      </c>
      <c r="P572">
        <f t="shared" si="78"/>
        <v>897.17812499999991</v>
      </c>
      <c r="Q572">
        <f t="shared" si="79"/>
        <v>915.48055874999989</v>
      </c>
      <c r="R572">
        <f t="shared" si="80"/>
        <v>457.92900000000003</v>
      </c>
      <c r="S572">
        <f t="shared" si="73"/>
        <v>5883.15</v>
      </c>
    </row>
    <row r="573" spans="1:19" x14ac:dyDescent="0.25">
      <c r="A573">
        <v>703</v>
      </c>
      <c r="B573">
        <v>1309</v>
      </c>
      <c r="C573" t="s">
        <v>35</v>
      </c>
      <c r="D573" t="s">
        <v>172</v>
      </c>
      <c r="E573">
        <v>10</v>
      </c>
      <c r="F573">
        <v>19.91</v>
      </c>
      <c r="G573">
        <v>11.26</v>
      </c>
      <c r="H573">
        <v>32.71</v>
      </c>
      <c r="I573">
        <v>1.08</v>
      </c>
      <c r="J573">
        <v>375.52</v>
      </c>
      <c r="K573">
        <f t="shared" si="74"/>
        <v>3755.2</v>
      </c>
      <c r="L573">
        <f t="shared" si="75"/>
        <v>0</v>
      </c>
      <c r="M573">
        <f t="shared" si="72"/>
        <v>0</v>
      </c>
      <c r="N573">
        <f t="shared" si="76"/>
        <v>0</v>
      </c>
      <c r="O573">
        <f t="shared" si="77"/>
        <v>2241.866</v>
      </c>
      <c r="P573">
        <f t="shared" si="78"/>
        <v>560.4665</v>
      </c>
      <c r="Q573">
        <f t="shared" si="79"/>
        <v>571.90001659999996</v>
      </c>
      <c r="R573">
        <f t="shared" si="80"/>
        <v>353.26800000000003</v>
      </c>
      <c r="S573">
        <f t="shared" si="73"/>
        <v>3755.2</v>
      </c>
    </row>
    <row r="574" spans="1:19" x14ac:dyDescent="0.25">
      <c r="A574">
        <v>704</v>
      </c>
      <c r="B574">
        <v>1309</v>
      </c>
      <c r="C574" t="s">
        <v>35</v>
      </c>
      <c r="D574" t="s">
        <v>172</v>
      </c>
      <c r="E574">
        <v>14</v>
      </c>
      <c r="F574">
        <v>18.440000000000001</v>
      </c>
      <c r="G574">
        <v>11.13</v>
      </c>
      <c r="H574">
        <v>29.29</v>
      </c>
      <c r="I574">
        <v>1.03</v>
      </c>
      <c r="J574">
        <v>341.19</v>
      </c>
      <c r="K574">
        <f t="shared" si="74"/>
        <v>4776.66</v>
      </c>
      <c r="L574">
        <f t="shared" si="75"/>
        <v>0</v>
      </c>
      <c r="M574">
        <f t="shared" si="72"/>
        <v>0</v>
      </c>
      <c r="N574">
        <f t="shared" si="76"/>
        <v>0</v>
      </c>
      <c r="O574">
        <f t="shared" si="77"/>
        <v>2873.3208000000004</v>
      </c>
      <c r="P574">
        <f t="shared" si="78"/>
        <v>718.3302000000001</v>
      </c>
      <c r="Q574">
        <f t="shared" si="79"/>
        <v>732.9841360800001</v>
      </c>
      <c r="R574">
        <f t="shared" si="80"/>
        <v>422.36179999999996</v>
      </c>
      <c r="S574">
        <f t="shared" si="73"/>
        <v>4776.66</v>
      </c>
    </row>
    <row r="575" spans="1:19" x14ac:dyDescent="0.25">
      <c r="A575">
        <v>705</v>
      </c>
      <c r="B575">
        <v>1309</v>
      </c>
      <c r="C575" t="s">
        <v>35</v>
      </c>
      <c r="D575" t="s">
        <v>173</v>
      </c>
      <c r="E575">
        <v>17</v>
      </c>
      <c r="F575">
        <v>14.11</v>
      </c>
      <c r="G575">
        <v>3.15</v>
      </c>
      <c r="H575">
        <v>29.64</v>
      </c>
      <c r="I575">
        <v>0.82</v>
      </c>
      <c r="J575">
        <v>87.85</v>
      </c>
      <c r="K575">
        <f t="shared" si="74"/>
        <v>1493.4499999999998</v>
      </c>
      <c r="L575">
        <f t="shared" si="75"/>
        <v>1493.4499999999998</v>
      </c>
      <c r="M575">
        <f t="shared" si="72"/>
        <v>755.59049999999991</v>
      </c>
      <c r="N575">
        <f t="shared" si="76"/>
        <v>188.89762499999998</v>
      </c>
      <c r="O575">
        <f t="shared" si="77"/>
        <v>755.59049999999991</v>
      </c>
      <c r="P575">
        <f t="shared" si="78"/>
        <v>188.89762499999998</v>
      </c>
      <c r="Q575">
        <f t="shared" si="79"/>
        <v>192.75113654999998</v>
      </c>
      <c r="R575">
        <f t="shared" si="80"/>
        <v>413.1816</v>
      </c>
      <c r="S575">
        <f t="shared" si="73"/>
        <v>1493.4499999999998</v>
      </c>
    </row>
    <row r="576" spans="1:19" x14ac:dyDescent="0.25">
      <c r="A576">
        <v>706</v>
      </c>
      <c r="B576">
        <v>1309</v>
      </c>
      <c r="C576" t="s">
        <v>35</v>
      </c>
      <c r="D576" t="s">
        <v>172</v>
      </c>
      <c r="E576">
        <v>54</v>
      </c>
      <c r="F576">
        <v>20.170000000000002</v>
      </c>
      <c r="G576">
        <v>10.67</v>
      </c>
      <c r="H576">
        <v>29.35</v>
      </c>
      <c r="I576">
        <v>1.04</v>
      </c>
      <c r="J576">
        <v>356.45</v>
      </c>
      <c r="K576">
        <f t="shared" si="74"/>
        <v>19248.3</v>
      </c>
      <c r="L576">
        <f t="shared" si="75"/>
        <v>0</v>
      </c>
      <c r="M576">
        <f t="shared" si="72"/>
        <v>0</v>
      </c>
      <c r="N576">
        <f t="shared" si="76"/>
        <v>0</v>
      </c>
      <c r="O576">
        <f t="shared" si="77"/>
        <v>11621.5506</v>
      </c>
      <c r="P576">
        <f t="shared" si="78"/>
        <v>2905.3876500000001</v>
      </c>
      <c r="Q576">
        <f t="shared" si="79"/>
        <v>2964.6575580600002</v>
      </c>
      <c r="R576">
        <f t="shared" si="80"/>
        <v>1648.2960000000003</v>
      </c>
      <c r="S576">
        <f t="shared" si="73"/>
        <v>19248.3</v>
      </c>
    </row>
    <row r="577" spans="1:19" x14ac:dyDescent="0.25">
      <c r="A577">
        <v>707</v>
      </c>
      <c r="B577">
        <v>1309</v>
      </c>
      <c r="C577" t="s">
        <v>35</v>
      </c>
      <c r="D577" t="s">
        <v>173</v>
      </c>
      <c r="E577">
        <v>10</v>
      </c>
      <c r="F577">
        <v>14.93</v>
      </c>
      <c r="G577">
        <v>2.93</v>
      </c>
      <c r="H577">
        <v>37.28</v>
      </c>
      <c r="I577">
        <v>0.82</v>
      </c>
      <c r="J577">
        <v>93.78</v>
      </c>
      <c r="K577">
        <f t="shared" si="74"/>
        <v>937.8</v>
      </c>
      <c r="L577">
        <f t="shared" si="75"/>
        <v>937.8</v>
      </c>
      <c r="M577">
        <f t="shared" si="72"/>
        <v>437.44900000000001</v>
      </c>
      <c r="N577">
        <f t="shared" si="76"/>
        <v>109.36225</v>
      </c>
      <c r="O577">
        <f t="shared" si="77"/>
        <v>437.44900000000001</v>
      </c>
      <c r="P577">
        <f t="shared" si="78"/>
        <v>109.36225</v>
      </c>
      <c r="Q577">
        <f t="shared" si="79"/>
        <v>111.5932399</v>
      </c>
      <c r="R577">
        <f t="shared" si="80"/>
        <v>305.69599999999997</v>
      </c>
      <c r="S577">
        <f t="shared" si="73"/>
        <v>937.8</v>
      </c>
    </row>
    <row r="578" spans="1:19" x14ac:dyDescent="0.25">
      <c r="A578">
        <v>708</v>
      </c>
      <c r="B578">
        <v>1309</v>
      </c>
      <c r="C578" t="s">
        <v>35</v>
      </c>
      <c r="D578" t="s">
        <v>172</v>
      </c>
      <c r="E578">
        <v>11</v>
      </c>
      <c r="F578">
        <v>19.46</v>
      </c>
      <c r="G578">
        <v>11.84</v>
      </c>
      <c r="H578">
        <v>28.96</v>
      </c>
      <c r="I578">
        <v>1.08</v>
      </c>
      <c r="J578">
        <v>379.95</v>
      </c>
      <c r="K578">
        <f t="shared" si="74"/>
        <v>4179.45</v>
      </c>
      <c r="L578">
        <f t="shared" si="75"/>
        <v>0</v>
      </c>
      <c r="M578">
        <f t="shared" ref="M578:M641" si="81">IF(D578="SHOES",O578,0)</f>
        <v>0</v>
      </c>
      <c r="N578">
        <f t="shared" si="76"/>
        <v>0</v>
      </c>
      <c r="O578">
        <f t="shared" si="77"/>
        <v>2534.4704000000002</v>
      </c>
      <c r="P578">
        <f t="shared" si="78"/>
        <v>633.61760000000004</v>
      </c>
      <c r="Q578">
        <f t="shared" si="79"/>
        <v>646.54339904000005</v>
      </c>
      <c r="R578">
        <f t="shared" si="80"/>
        <v>344.04480000000001</v>
      </c>
      <c r="S578">
        <f t="shared" ref="S578:S641" si="82">PRODUCT(J578,E578)</f>
        <v>4179.45</v>
      </c>
    </row>
    <row r="579" spans="1:19" x14ac:dyDescent="0.25">
      <c r="A579">
        <v>709</v>
      </c>
      <c r="B579">
        <v>1309</v>
      </c>
      <c r="C579" t="s">
        <v>35</v>
      </c>
      <c r="D579" t="s">
        <v>173</v>
      </c>
      <c r="E579">
        <v>13</v>
      </c>
      <c r="F579">
        <v>16.27</v>
      </c>
      <c r="G579">
        <v>2.61</v>
      </c>
      <c r="H579">
        <v>32.96</v>
      </c>
      <c r="I579">
        <v>0.79</v>
      </c>
      <c r="J579">
        <v>87.03</v>
      </c>
      <c r="K579">
        <f t="shared" ref="K579:K642" si="83">E579*J579</f>
        <v>1131.3900000000001</v>
      </c>
      <c r="L579">
        <f t="shared" ref="L579:L642" si="84">IF(D579="SHOES",E579*J579,0)</f>
        <v>1131.3900000000001</v>
      </c>
      <c r="M579">
        <f t="shared" si="81"/>
        <v>552.04110000000003</v>
      </c>
      <c r="N579">
        <f t="shared" ref="N579:N642" si="85">IF(D579="SHOES",P579,0)</f>
        <v>138.01027500000001</v>
      </c>
      <c r="O579">
        <f t="shared" ref="O579:O642" si="86">PRODUCT(E579,G579,F579)</f>
        <v>552.04110000000003</v>
      </c>
      <c r="P579">
        <f t="shared" ref="P579:P642" si="87">PRODUCT(O579,0.25)</f>
        <v>138.01027500000001</v>
      </c>
      <c r="Q579">
        <f t="shared" ref="Q579:Q642" si="88">PRODUCT(O579,0.2551)</f>
        <v>140.82568461</v>
      </c>
      <c r="R579">
        <f t="shared" si="80"/>
        <v>338.49919999999997</v>
      </c>
      <c r="S579">
        <f t="shared" si="82"/>
        <v>1131.3900000000001</v>
      </c>
    </row>
    <row r="580" spans="1:19" x14ac:dyDescent="0.25">
      <c r="A580">
        <v>710</v>
      </c>
      <c r="B580">
        <v>1309</v>
      </c>
      <c r="C580" t="s">
        <v>35</v>
      </c>
      <c r="D580" t="s">
        <v>173</v>
      </c>
      <c r="E580">
        <v>9</v>
      </c>
      <c r="F580">
        <v>13.83</v>
      </c>
      <c r="G580">
        <v>3.09</v>
      </c>
      <c r="H580">
        <v>29.14</v>
      </c>
      <c r="I580">
        <v>0.82</v>
      </c>
      <c r="J580">
        <v>85.04</v>
      </c>
      <c r="K580">
        <f t="shared" si="83"/>
        <v>765.36</v>
      </c>
      <c r="L580">
        <f t="shared" si="84"/>
        <v>765.36</v>
      </c>
      <c r="M580">
        <f t="shared" si="81"/>
        <v>384.6123</v>
      </c>
      <c r="N580">
        <f t="shared" si="85"/>
        <v>96.153075000000001</v>
      </c>
      <c r="O580">
        <f t="shared" si="86"/>
        <v>384.6123</v>
      </c>
      <c r="P580">
        <f t="shared" si="87"/>
        <v>96.153075000000001</v>
      </c>
      <c r="Q580">
        <f t="shared" si="88"/>
        <v>98.11459773</v>
      </c>
      <c r="R580">
        <f t="shared" ref="R580:R643" si="89">PRODUCT(E580,I580,H580)</f>
        <v>215.0532</v>
      </c>
      <c r="S580">
        <f t="shared" si="82"/>
        <v>765.36</v>
      </c>
    </row>
    <row r="581" spans="1:19" x14ac:dyDescent="0.25">
      <c r="A581">
        <v>711</v>
      </c>
      <c r="B581">
        <v>1310</v>
      </c>
      <c r="C581" t="s">
        <v>33</v>
      </c>
      <c r="D581" t="s">
        <v>172</v>
      </c>
      <c r="E581">
        <v>22</v>
      </c>
      <c r="F581">
        <v>19.45</v>
      </c>
      <c r="G581">
        <v>10.51</v>
      </c>
      <c r="H581">
        <v>32.51</v>
      </c>
      <c r="I581">
        <v>0.96</v>
      </c>
      <c r="J581">
        <v>341.21</v>
      </c>
      <c r="K581">
        <f t="shared" si="83"/>
        <v>7506.62</v>
      </c>
      <c r="L581">
        <f t="shared" si="84"/>
        <v>0</v>
      </c>
      <c r="M581">
        <f t="shared" si="81"/>
        <v>0</v>
      </c>
      <c r="N581">
        <f t="shared" si="85"/>
        <v>0</v>
      </c>
      <c r="O581">
        <f t="shared" si="86"/>
        <v>4497.2289999999994</v>
      </c>
      <c r="P581">
        <f t="shared" si="87"/>
        <v>1124.3072499999998</v>
      </c>
      <c r="Q581">
        <f t="shared" si="88"/>
        <v>1147.2431178999998</v>
      </c>
      <c r="R581">
        <f t="shared" si="89"/>
        <v>686.61119999999983</v>
      </c>
      <c r="S581">
        <f t="shared" si="82"/>
        <v>7506.62</v>
      </c>
    </row>
    <row r="582" spans="1:19" x14ac:dyDescent="0.25">
      <c r="A582">
        <v>712</v>
      </c>
      <c r="B582">
        <v>1310</v>
      </c>
      <c r="C582" t="s">
        <v>33</v>
      </c>
      <c r="D582" t="s">
        <v>173</v>
      </c>
      <c r="E582">
        <v>17</v>
      </c>
      <c r="F582">
        <v>14.65</v>
      </c>
      <c r="G582">
        <v>2.92</v>
      </c>
      <c r="H582">
        <v>28.11</v>
      </c>
      <c r="I582">
        <v>0.78</v>
      </c>
      <c r="J582">
        <v>82.94</v>
      </c>
      <c r="K582">
        <f t="shared" si="83"/>
        <v>1409.98</v>
      </c>
      <c r="L582">
        <f t="shared" si="84"/>
        <v>1409.98</v>
      </c>
      <c r="M582">
        <f t="shared" si="81"/>
        <v>727.226</v>
      </c>
      <c r="N582">
        <f t="shared" si="85"/>
        <v>181.8065</v>
      </c>
      <c r="O582">
        <f t="shared" si="86"/>
        <v>727.226</v>
      </c>
      <c r="P582">
        <f t="shared" si="87"/>
        <v>181.8065</v>
      </c>
      <c r="Q582">
        <f t="shared" si="88"/>
        <v>185.5153526</v>
      </c>
      <c r="R582">
        <f t="shared" si="89"/>
        <v>372.73859999999996</v>
      </c>
      <c r="S582">
        <f t="shared" si="82"/>
        <v>1409.98</v>
      </c>
    </row>
    <row r="583" spans="1:19" x14ac:dyDescent="0.25">
      <c r="A583">
        <v>713</v>
      </c>
      <c r="B583">
        <v>1310</v>
      </c>
      <c r="C583" t="s">
        <v>33</v>
      </c>
      <c r="D583" t="s">
        <v>172</v>
      </c>
      <c r="E583">
        <v>12</v>
      </c>
      <c r="F583">
        <v>21.31</v>
      </c>
      <c r="G583">
        <v>10.42</v>
      </c>
      <c r="H583">
        <v>28.21</v>
      </c>
      <c r="I583">
        <v>0.89</v>
      </c>
      <c r="J583">
        <v>360.18</v>
      </c>
      <c r="K583">
        <f t="shared" si="83"/>
        <v>4322.16</v>
      </c>
      <c r="L583">
        <f t="shared" si="84"/>
        <v>0</v>
      </c>
      <c r="M583">
        <f t="shared" si="81"/>
        <v>0</v>
      </c>
      <c r="N583">
        <f t="shared" si="85"/>
        <v>0</v>
      </c>
      <c r="O583">
        <f t="shared" si="86"/>
        <v>2664.6023999999998</v>
      </c>
      <c r="P583">
        <f t="shared" si="87"/>
        <v>666.15059999999994</v>
      </c>
      <c r="Q583">
        <f t="shared" si="88"/>
        <v>679.7400722399999</v>
      </c>
      <c r="R583">
        <f t="shared" si="89"/>
        <v>301.28280000000001</v>
      </c>
      <c r="S583">
        <f t="shared" si="82"/>
        <v>4322.16</v>
      </c>
    </row>
    <row r="584" spans="1:19" x14ac:dyDescent="0.25">
      <c r="A584">
        <v>714</v>
      </c>
      <c r="B584">
        <v>1310</v>
      </c>
      <c r="C584" t="s">
        <v>33</v>
      </c>
      <c r="D584" t="s">
        <v>173</v>
      </c>
      <c r="E584">
        <v>17</v>
      </c>
      <c r="F584">
        <v>14.3</v>
      </c>
      <c r="G584">
        <v>2.8</v>
      </c>
      <c r="H584">
        <v>31.98</v>
      </c>
      <c r="I584">
        <v>0.81</v>
      </c>
      <c r="J584">
        <v>83.55</v>
      </c>
      <c r="K584">
        <f t="shared" si="83"/>
        <v>1420.35</v>
      </c>
      <c r="L584">
        <f t="shared" si="84"/>
        <v>1420.35</v>
      </c>
      <c r="M584">
        <f t="shared" si="81"/>
        <v>680.68</v>
      </c>
      <c r="N584">
        <f t="shared" si="85"/>
        <v>170.17</v>
      </c>
      <c r="O584">
        <f t="shared" si="86"/>
        <v>680.68</v>
      </c>
      <c r="P584">
        <f t="shared" si="87"/>
        <v>170.17</v>
      </c>
      <c r="Q584">
        <f t="shared" si="88"/>
        <v>173.64146799999997</v>
      </c>
      <c r="R584">
        <f t="shared" si="89"/>
        <v>440.36460000000005</v>
      </c>
      <c r="S584">
        <f t="shared" si="82"/>
        <v>1420.35</v>
      </c>
    </row>
    <row r="585" spans="1:19" x14ac:dyDescent="0.25">
      <c r="A585">
        <v>715</v>
      </c>
      <c r="B585">
        <v>1310</v>
      </c>
      <c r="C585" t="s">
        <v>33</v>
      </c>
      <c r="D585" t="s">
        <v>172</v>
      </c>
      <c r="E585">
        <v>46</v>
      </c>
      <c r="F585">
        <v>19.75</v>
      </c>
      <c r="G585">
        <v>11.91</v>
      </c>
      <c r="H585">
        <v>35.159999999999997</v>
      </c>
      <c r="I585">
        <v>1.08</v>
      </c>
      <c r="J585">
        <v>395.08</v>
      </c>
      <c r="K585">
        <f t="shared" si="83"/>
        <v>18173.68</v>
      </c>
      <c r="L585">
        <f t="shared" si="84"/>
        <v>0</v>
      </c>
      <c r="M585">
        <f t="shared" si="81"/>
        <v>0</v>
      </c>
      <c r="N585">
        <f t="shared" si="85"/>
        <v>0</v>
      </c>
      <c r="O585">
        <f t="shared" si="86"/>
        <v>10820.235000000001</v>
      </c>
      <c r="P585">
        <f t="shared" si="87"/>
        <v>2705.0587500000001</v>
      </c>
      <c r="Q585">
        <f t="shared" si="88"/>
        <v>2760.2419485</v>
      </c>
      <c r="R585">
        <f t="shared" si="89"/>
        <v>1746.7488000000001</v>
      </c>
      <c r="S585">
        <f t="shared" si="82"/>
        <v>18173.68</v>
      </c>
    </row>
    <row r="586" spans="1:19" x14ac:dyDescent="0.25">
      <c r="A586">
        <v>716</v>
      </c>
      <c r="B586">
        <v>1310</v>
      </c>
      <c r="C586" t="s">
        <v>33</v>
      </c>
      <c r="D586" t="s">
        <v>173</v>
      </c>
      <c r="E586">
        <v>19</v>
      </c>
      <c r="F586">
        <v>14.5</v>
      </c>
      <c r="G586">
        <v>2.99</v>
      </c>
      <c r="H586">
        <v>31.98</v>
      </c>
      <c r="I586">
        <v>0.79</v>
      </c>
      <c r="J586">
        <v>87.4</v>
      </c>
      <c r="K586">
        <f t="shared" si="83"/>
        <v>1660.6000000000001</v>
      </c>
      <c r="L586">
        <f t="shared" si="84"/>
        <v>1660.6000000000001</v>
      </c>
      <c r="M586">
        <f t="shared" si="81"/>
        <v>823.745</v>
      </c>
      <c r="N586">
        <f t="shared" si="85"/>
        <v>205.93625</v>
      </c>
      <c r="O586">
        <f t="shared" si="86"/>
        <v>823.745</v>
      </c>
      <c r="P586">
        <f t="shared" si="87"/>
        <v>205.93625</v>
      </c>
      <c r="Q586">
        <f t="shared" si="88"/>
        <v>210.1373495</v>
      </c>
      <c r="R586">
        <f t="shared" si="89"/>
        <v>480.01980000000003</v>
      </c>
      <c r="S586">
        <f t="shared" si="82"/>
        <v>1660.6000000000001</v>
      </c>
    </row>
    <row r="587" spans="1:19" x14ac:dyDescent="0.25">
      <c r="A587">
        <v>717</v>
      </c>
      <c r="B587">
        <v>1310</v>
      </c>
      <c r="C587" t="s">
        <v>33</v>
      </c>
      <c r="D587" t="s">
        <v>172</v>
      </c>
      <c r="E587">
        <v>17</v>
      </c>
      <c r="F587">
        <v>19.27</v>
      </c>
      <c r="G587">
        <v>11.34</v>
      </c>
      <c r="H587">
        <v>30.75</v>
      </c>
      <c r="I587">
        <v>0.93</v>
      </c>
      <c r="J587">
        <v>359.08</v>
      </c>
      <c r="K587">
        <f t="shared" si="83"/>
        <v>6104.36</v>
      </c>
      <c r="L587">
        <f t="shared" si="84"/>
        <v>0</v>
      </c>
      <c r="M587">
        <f t="shared" si="81"/>
        <v>0</v>
      </c>
      <c r="N587">
        <f t="shared" si="85"/>
        <v>0</v>
      </c>
      <c r="O587">
        <f t="shared" si="86"/>
        <v>3714.8705999999997</v>
      </c>
      <c r="P587">
        <f t="shared" si="87"/>
        <v>928.71764999999994</v>
      </c>
      <c r="Q587">
        <f t="shared" si="88"/>
        <v>947.66349005999996</v>
      </c>
      <c r="R587">
        <f t="shared" si="89"/>
        <v>486.15750000000003</v>
      </c>
      <c r="S587">
        <f t="shared" si="82"/>
        <v>6104.36</v>
      </c>
    </row>
    <row r="588" spans="1:19" x14ac:dyDescent="0.25">
      <c r="A588">
        <v>718</v>
      </c>
      <c r="B588">
        <v>1311</v>
      </c>
      <c r="C588" t="s">
        <v>34</v>
      </c>
      <c r="D588" t="s">
        <v>172</v>
      </c>
      <c r="E588">
        <v>48</v>
      </c>
      <c r="F588">
        <v>20.11</v>
      </c>
      <c r="G588">
        <v>10.87</v>
      </c>
      <c r="H588">
        <v>29.08</v>
      </c>
      <c r="I588">
        <v>1.07</v>
      </c>
      <c r="J588">
        <v>362.19</v>
      </c>
      <c r="K588">
        <f t="shared" si="83"/>
        <v>17385.12</v>
      </c>
      <c r="L588">
        <f t="shared" si="84"/>
        <v>0</v>
      </c>
      <c r="M588">
        <f t="shared" si="81"/>
        <v>0</v>
      </c>
      <c r="N588">
        <f t="shared" si="85"/>
        <v>0</v>
      </c>
      <c r="O588">
        <f t="shared" si="86"/>
        <v>10492.5936</v>
      </c>
      <c r="P588">
        <f t="shared" si="87"/>
        <v>2623.1484</v>
      </c>
      <c r="Q588">
        <f t="shared" si="88"/>
        <v>2676.66062736</v>
      </c>
      <c r="R588">
        <f t="shared" si="89"/>
        <v>1493.5487999999998</v>
      </c>
      <c r="S588">
        <f t="shared" si="82"/>
        <v>17385.12</v>
      </c>
    </row>
    <row r="589" spans="1:19" x14ac:dyDescent="0.25">
      <c r="A589">
        <v>719</v>
      </c>
      <c r="B589">
        <v>1311</v>
      </c>
      <c r="C589" t="s">
        <v>34</v>
      </c>
      <c r="D589" t="s">
        <v>173</v>
      </c>
      <c r="E589">
        <v>15</v>
      </c>
      <c r="F589">
        <v>14.13</v>
      </c>
      <c r="G589">
        <v>2.98</v>
      </c>
      <c r="H589">
        <v>29.74</v>
      </c>
      <c r="I589">
        <v>0.81</v>
      </c>
      <c r="J589">
        <v>84.4</v>
      </c>
      <c r="K589">
        <f t="shared" si="83"/>
        <v>1266</v>
      </c>
      <c r="L589">
        <f t="shared" si="84"/>
        <v>1266</v>
      </c>
      <c r="M589">
        <f t="shared" si="81"/>
        <v>631.6110000000001</v>
      </c>
      <c r="N589">
        <f t="shared" si="85"/>
        <v>157.90275000000003</v>
      </c>
      <c r="O589">
        <f t="shared" si="86"/>
        <v>631.6110000000001</v>
      </c>
      <c r="P589">
        <f t="shared" si="87"/>
        <v>157.90275000000003</v>
      </c>
      <c r="Q589">
        <f t="shared" si="88"/>
        <v>161.12396610000002</v>
      </c>
      <c r="R589">
        <f t="shared" si="89"/>
        <v>361.34100000000001</v>
      </c>
      <c r="S589">
        <f t="shared" si="82"/>
        <v>1266</v>
      </c>
    </row>
    <row r="590" spans="1:19" x14ac:dyDescent="0.25">
      <c r="A590">
        <v>720</v>
      </c>
      <c r="B590">
        <v>1311</v>
      </c>
      <c r="C590" t="s">
        <v>34</v>
      </c>
      <c r="D590" t="s">
        <v>173</v>
      </c>
      <c r="E590">
        <v>5</v>
      </c>
      <c r="F590">
        <v>15.36</v>
      </c>
      <c r="G590">
        <v>2.91</v>
      </c>
      <c r="H590">
        <v>30.89</v>
      </c>
      <c r="I590">
        <v>0.78</v>
      </c>
      <c r="J590">
        <v>87.96</v>
      </c>
      <c r="K590">
        <f t="shared" si="83"/>
        <v>439.79999999999995</v>
      </c>
      <c r="L590">
        <f t="shared" si="84"/>
        <v>439.79999999999995</v>
      </c>
      <c r="M590">
        <f t="shared" si="81"/>
        <v>223.488</v>
      </c>
      <c r="N590">
        <f t="shared" si="85"/>
        <v>55.872</v>
      </c>
      <c r="O590">
        <f t="shared" si="86"/>
        <v>223.488</v>
      </c>
      <c r="P590">
        <f t="shared" si="87"/>
        <v>55.872</v>
      </c>
      <c r="Q590">
        <f t="shared" si="88"/>
        <v>57.011788799999998</v>
      </c>
      <c r="R590">
        <f t="shared" si="89"/>
        <v>120.47100000000002</v>
      </c>
      <c r="S590">
        <f t="shared" si="82"/>
        <v>439.79999999999995</v>
      </c>
    </row>
    <row r="591" spans="1:19" x14ac:dyDescent="0.25">
      <c r="A591">
        <v>721</v>
      </c>
      <c r="B591">
        <v>1311</v>
      </c>
      <c r="C591" t="s">
        <v>34</v>
      </c>
      <c r="D591" t="s">
        <v>172</v>
      </c>
      <c r="E591">
        <v>18</v>
      </c>
      <c r="F591">
        <v>18.899999999999999</v>
      </c>
      <c r="G591">
        <v>11.21</v>
      </c>
      <c r="H591">
        <v>31.34</v>
      </c>
      <c r="I591">
        <v>1.08</v>
      </c>
      <c r="J591">
        <v>287.33</v>
      </c>
      <c r="K591">
        <f t="shared" si="83"/>
        <v>5171.9399999999996</v>
      </c>
      <c r="L591">
        <f t="shared" si="84"/>
        <v>0</v>
      </c>
      <c r="M591">
        <f t="shared" si="81"/>
        <v>0</v>
      </c>
      <c r="N591">
        <f t="shared" si="85"/>
        <v>0</v>
      </c>
      <c r="O591">
        <f t="shared" si="86"/>
        <v>3813.6420000000003</v>
      </c>
      <c r="P591">
        <f t="shared" si="87"/>
        <v>953.41050000000007</v>
      </c>
      <c r="Q591">
        <f t="shared" si="88"/>
        <v>972.8600742000001</v>
      </c>
      <c r="R591">
        <f t="shared" si="89"/>
        <v>609.24959999999999</v>
      </c>
      <c r="S591">
        <f t="shared" si="82"/>
        <v>5171.9399999999996</v>
      </c>
    </row>
    <row r="592" spans="1:19" x14ac:dyDescent="0.25">
      <c r="A592">
        <v>722</v>
      </c>
      <c r="B592">
        <v>1311</v>
      </c>
      <c r="C592" t="s">
        <v>34</v>
      </c>
      <c r="D592" t="s">
        <v>172</v>
      </c>
      <c r="E592">
        <v>5</v>
      </c>
      <c r="F592">
        <v>20.12</v>
      </c>
      <c r="G592">
        <v>11.15</v>
      </c>
      <c r="H592">
        <v>31.3</v>
      </c>
      <c r="I592">
        <v>1.01</v>
      </c>
      <c r="J592">
        <v>371.32</v>
      </c>
      <c r="K592">
        <f t="shared" si="83"/>
        <v>1856.6</v>
      </c>
      <c r="L592">
        <f t="shared" si="84"/>
        <v>0</v>
      </c>
      <c r="M592">
        <f t="shared" si="81"/>
        <v>0</v>
      </c>
      <c r="N592">
        <f t="shared" si="85"/>
        <v>0</v>
      </c>
      <c r="O592">
        <f t="shared" si="86"/>
        <v>1121.69</v>
      </c>
      <c r="P592">
        <f t="shared" si="87"/>
        <v>280.42250000000001</v>
      </c>
      <c r="Q592">
        <f t="shared" si="88"/>
        <v>286.14311900000001</v>
      </c>
      <c r="R592">
        <f t="shared" si="89"/>
        <v>158.065</v>
      </c>
      <c r="S592">
        <f t="shared" si="82"/>
        <v>1856.6</v>
      </c>
    </row>
    <row r="593" spans="1:19" x14ac:dyDescent="0.25">
      <c r="A593">
        <v>723</v>
      </c>
      <c r="B593">
        <v>1311</v>
      </c>
      <c r="C593" t="s">
        <v>34</v>
      </c>
      <c r="D593" t="s">
        <v>172</v>
      </c>
      <c r="E593">
        <v>22</v>
      </c>
      <c r="F593">
        <v>19.73</v>
      </c>
      <c r="G593">
        <v>10.08</v>
      </c>
      <c r="H593">
        <v>34.01</v>
      </c>
      <c r="I593">
        <v>0.98</v>
      </c>
      <c r="J593">
        <v>335.49</v>
      </c>
      <c r="K593">
        <f t="shared" si="83"/>
        <v>7380.7800000000007</v>
      </c>
      <c r="L593">
        <f t="shared" si="84"/>
        <v>0</v>
      </c>
      <c r="M593">
        <f t="shared" si="81"/>
        <v>0</v>
      </c>
      <c r="N593">
        <f t="shared" si="85"/>
        <v>0</v>
      </c>
      <c r="O593">
        <f t="shared" si="86"/>
        <v>4375.3248000000003</v>
      </c>
      <c r="P593">
        <f t="shared" si="87"/>
        <v>1093.8312000000001</v>
      </c>
      <c r="Q593">
        <f t="shared" si="88"/>
        <v>1116.1453564800001</v>
      </c>
      <c r="R593">
        <f t="shared" si="89"/>
        <v>733.25559999999996</v>
      </c>
      <c r="S593">
        <f t="shared" si="82"/>
        <v>7380.7800000000007</v>
      </c>
    </row>
    <row r="594" spans="1:19" x14ac:dyDescent="0.25">
      <c r="A594">
        <v>724</v>
      </c>
      <c r="B594">
        <v>1311</v>
      </c>
      <c r="C594" t="s">
        <v>34</v>
      </c>
      <c r="D594" t="s">
        <v>173</v>
      </c>
      <c r="E594">
        <v>14</v>
      </c>
      <c r="F594">
        <v>15.58</v>
      </c>
      <c r="G594">
        <v>2.5</v>
      </c>
      <c r="H594">
        <v>31.47</v>
      </c>
      <c r="I594">
        <v>0.82</v>
      </c>
      <c r="J594">
        <v>81.94</v>
      </c>
      <c r="K594">
        <f t="shared" si="83"/>
        <v>1147.1599999999999</v>
      </c>
      <c r="L594">
        <f t="shared" si="84"/>
        <v>1147.1599999999999</v>
      </c>
      <c r="M594">
        <f t="shared" si="81"/>
        <v>545.29999999999995</v>
      </c>
      <c r="N594">
        <f t="shared" si="85"/>
        <v>136.32499999999999</v>
      </c>
      <c r="O594">
        <f t="shared" si="86"/>
        <v>545.29999999999995</v>
      </c>
      <c r="P594">
        <f t="shared" si="87"/>
        <v>136.32499999999999</v>
      </c>
      <c r="Q594">
        <f t="shared" si="88"/>
        <v>139.10602999999998</v>
      </c>
      <c r="R594">
        <f t="shared" si="89"/>
        <v>361.27559999999994</v>
      </c>
      <c r="S594">
        <f t="shared" si="82"/>
        <v>1147.1599999999999</v>
      </c>
    </row>
    <row r="595" spans="1:19" x14ac:dyDescent="0.25">
      <c r="A595">
        <v>725</v>
      </c>
      <c r="B595">
        <v>1311</v>
      </c>
      <c r="C595" t="s">
        <v>34</v>
      </c>
      <c r="D595" t="s">
        <v>173</v>
      </c>
      <c r="E595">
        <v>10</v>
      </c>
      <c r="F595">
        <v>13.28</v>
      </c>
      <c r="G595">
        <v>2.8</v>
      </c>
      <c r="H595">
        <v>33.35</v>
      </c>
      <c r="I595">
        <v>0.81</v>
      </c>
      <c r="J595">
        <v>80.84</v>
      </c>
      <c r="K595">
        <f t="shared" si="83"/>
        <v>808.40000000000009</v>
      </c>
      <c r="L595">
        <f t="shared" si="84"/>
        <v>808.40000000000009</v>
      </c>
      <c r="M595">
        <f t="shared" si="81"/>
        <v>371.84</v>
      </c>
      <c r="N595">
        <f t="shared" si="85"/>
        <v>92.96</v>
      </c>
      <c r="O595">
        <f t="shared" si="86"/>
        <v>371.84</v>
      </c>
      <c r="P595">
        <f t="shared" si="87"/>
        <v>92.96</v>
      </c>
      <c r="Q595">
        <f t="shared" si="88"/>
        <v>94.856383999999991</v>
      </c>
      <c r="R595">
        <f t="shared" si="89"/>
        <v>270.13500000000005</v>
      </c>
      <c r="S595">
        <f t="shared" si="82"/>
        <v>808.40000000000009</v>
      </c>
    </row>
    <row r="596" spans="1:19" x14ac:dyDescent="0.25">
      <c r="A596">
        <v>726</v>
      </c>
      <c r="B596">
        <v>1312</v>
      </c>
      <c r="C596" t="s">
        <v>35</v>
      </c>
      <c r="D596" t="s">
        <v>172</v>
      </c>
      <c r="E596">
        <v>13</v>
      </c>
      <c r="F596">
        <v>21.37</v>
      </c>
      <c r="G596">
        <v>10.85</v>
      </c>
      <c r="H596">
        <v>30.63</v>
      </c>
      <c r="I596">
        <v>0.98</v>
      </c>
      <c r="J596">
        <v>380.62</v>
      </c>
      <c r="K596">
        <f t="shared" si="83"/>
        <v>4948.0600000000004</v>
      </c>
      <c r="L596">
        <f t="shared" si="84"/>
        <v>0</v>
      </c>
      <c r="M596">
        <f t="shared" si="81"/>
        <v>0</v>
      </c>
      <c r="N596">
        <f t="shared" si="85"/>
        <v>0</v>
      </c>
      <c r="O596">
        <f t="shared" si="86"/>
        <v>3014.2384999999999</v>
      </c>
      <c r="P596">
        <f t="shared" si="87"/>
        <v>753.55962499999998</v>
      </c>
      <c r="Q596">
        <f t="shared" si="88"/>
        <v>768.93224134999991</v>
      </c>
      <c r="R596">
        <f t="shared" si="89"/>
        <v>390.22620000000001</v>
      </c>
      <c r="S596">
        <f t="shared" si="82"/>
        <v>4948.0600000000004</v>
      </c>
    </row>
    <row r="597" spans="1:19" x14ac:dyDescent="0.25">
      <c r="A597">
        <v>727</v>
      </c>
      <c r="B597">
        <v>1312</v>
      </c>
      <c r="C597" t="s">
        <v>35</v>
      </c>
      <c r="D597" t="s">
        <v>173</v>
      </c>
      <c r="E597">
        <v>15</v>
      </c>
      <c r="F597">
        <v>16.53</v>
      </c>
      <c r="G597">
        <v>2.78</v>
      </c>
      <c r="H597">
        <v>32.15</v>
      </c>
      <c r="I597">
        <v>0.81</v>
      </c>
      <c r="J597">
        <v>91.83</v>
      </c>
      <c r="K597">
        <f t="shared" si="83"/>
        <v>1377.45</v>
      </c>
      <c r="L597">
        <f t="shared" si="84"/>
        <v>1377.45</v>
      </c>
      <c r="M597">
        <f t="shared" si="81"/>
        <v>689.30099999999993</v>
      </c>
      <c r="N597">
        <f t="shared" si="85"/>
        <v>172.32524999999998</v>
      </c>
      <c r="O597">
        <f t="shared" si="86"/>
        <v>689.30099999999993</v>
      </c>
      <c r="P597">
        <f t="shared" si="87"/>
        <v>172.32524999999998</v>
      </c>
      <c r="Q597">
        <f t="shared" si="88"/>
        <v>175.84068509999997</v>
      </c>
      <c r="R597">
        <f t="shared" si="89"/>
        <v>390.6225</v>
      </c>
      <c r="S597">
        <f t="shared" si="82"/>
        <v>1377.45</v>
      </c>
    </row>
    <row r="598" spans="1:19" x14ac:dyDescent="0.25">
      <c r="A598">
        <v>728</v>
      </c>
      <c r="B598">
        <v>1312</v>
      </c>
      <c r="C598" t="s">
        <v>35</v>
      </c>
      <c r="D598" t="s">
        <v>172</v>
      </c>
      <c r="E598">
        <v>8</v>
      </c>
      <c r="F598">
        <v>18.28</v>
      </c>
      <c r="G598">
        <v>10.7</v>
      </c>
      <c r="H598">
        <v>29.91</v>
      </c>
      <c r="I598">
        <v>1.05</v>
      </c>
      <c r="J598">
        <v>265.42</v>
      </c>
      <c r="K598">
        <f t="shared" si="83"/>
        <v>2123.36</v>
      </c>
      <c r="L598">
        <f t="shared" si="84"/>
        <v>0</v>
      </c>
      <c r="M598">
        <f t="shared" si="81"/>
        <v>0</v>
      </c>
      <c r="N598">
        <f t="shared" si="85"/>
        <v>0</v>
      </c>
      <c r="O598">
        <f t="shared" si="86"/>
        <v>1564.768</v>
      </c>
      <c r="P598">
        <f t="shared" si="87"/>
        <v>391.19200000000001</v>
      </c>
      <c r="Q598">
        <f t="shared" si="88"/>
        <v>399.17231679999998</v>
      </c>
      <c r="R598">
        <f t="shared" si="89"/>
        <v>251.244</v>
      </c>
      <c r="S598">
        <f t="shared" si="82"/>
        <v>2123.36</v>
      </c>
    </row>
    <row r="599" spans="1:19" x14ac:dyDescent="0.25">
      <c r="A599">
        <v>729</v>
      </c>
      <c r="B599">
        <v>1312</v>
      </c>
      <c r="C599" t="s">
        <v>35</v>
      </c>
      <c r="D599" t="s">
        <v>172</v>
      </c>
      <c r="E599">
        <v>19</v>
      </c>
      <c r="F599">
        <v>20.59</v>
      </c>
      <c r="G599">
        <v>10.220000000000001</v>
      </c>
      <c r="H599">
        <v>30.48</v>
      </c>
      <c r="I599">
        <v>1</v>
      </c>
      <c r="J599">
        <v>287.94</v>
      </c>
      <c r="K599">
        <f t="shared" si="83"/>
        <v>5470.86</v>
      </c>
      <c r="L599">
        <f t="shared" si="84"/>
        <v>0</v>
      </c>
      <c r="M599">
        <f t="shared" si="81"/>
        <v>0</v>
      </c>
      <c r="N599">
        <f t="shared" si="85"/>
        <v>0</v>
      </c>
      <c r="O599">
        <f t="shared" si="86"/>
        <v>3998.1662000000001</v>
      </c>
      <c r="P599">
        <f t="shared" si="87"/>
        <v>999.54155000000003</v>
      </c>
      <c r="Q599">
        <f t="shared" si="88"/>
        <v>1019.93219762</v>
      </c>
      <c r="R599">
        <f t="shared" si="89"/>
        <v>579.12</v>
      </c>
      <c r="S599">
        <f t="shared" si="82"/>
        <v>5470.86</v>
      </c>
    </row>
    <row r="600" spans="1:19" x14ac:dyDescent="0.25">
      <c r="A600">
        <v>730</v>
      </c>
      <c r="B600">
        <v>1312</v>
      </c>
      <c r="C600" t="s">
        <v>35</v>
      </c>
      <c r="D600" t="s">
        <v>173</v>
      </c>
      <c r="E600">
        <v>16</v>
      </c>
      <c r="F600">
        <v>14.05</v>
      </c>
      <c r="G600">
        <v>2.58</v>
      </c>
      <c r="H600">
        <v>29.47</v>
      </c>
      <c r="I600">
        <v>0.8</v>
      </c>
      <c r="J600">
        <v>75.78</v>
      </c>
      <c r="K600">
        <f t="shared" si="83"/>
        <v>1212.48</v>
      </c>
      <c r="L600">
        <f t="shared" si="84"/>
        <v>1212.48</v>
      </c>
      <c r="M600">
        <f t="shared" si="81"/>
        <v>579.98400000000004</v>
      </c>
      <c r="N600">
        <f t="shared" si="85"/>
        <v>144.99600000000001</v>
      </c>
      <c r="O600">
        <f t="shared" si="86"/>
        <v>579.98400000000004</v>
      </c>
      <c r="P600">
        <f t="shared" si="87"/>
        <v>144.99600000000001</v>
      </c>
      <c r="Q600">
        <f t="shared" si="88"/>
        <v>147.95391839999999</v>
      </c>
      <c r="R600">
        <f t="shared" si="89"/>
        <v>377.21600000000001</v>
      </c>
      <c r="S600">
        <f t="shared" si="82"/>
        <v>1212.48</v>
      </c>
    </row>
    <row r="601" spans="1:19" x14ac:dyDescent="0.25">
      <c r="A601">
        <v>731</v>
      </c>
      <c r="B601">
        <v>1312</v>
      </c>
      <c r="C601" t="s">
        <v>35</v>
      </c>
      <c r="D601" t="s">
        <v>173</v>
      </c>
      <c r="E601">
        <v>10</v>
      </c>
      <c r="F601">
        <v>15.27</v>
      </c>
      <c r="G601">
        <v>2.99</v>
      </c>
      <c r="H601">
        <v>33.61</v>
      </c>
      <c r="I601">
        <v>0.81</v>
      </c>
      <c r="J601">
        <v>92.72</v>
      </c>
      <c r="K601">
        <f t="shared" si="83"/>
        <v>927.2</v>
      </c>
      <c r="L601">
        <f t="shared" si="84"/>
        <v>927.2</v>
      </c>
      <c r="M601">
        <f t="shared" si="81"/>
        <v>456.57300000000004</v>
      </c>
      <c r="N601">
        <f t="shared" si="85"/>
        <v>114.14325000000001</v>
      </c>
      <c r="O601">
        <f t="shared" si="86"/>
        <v>456.57300000000004</v>
      </c>
      <c r="P601">
        <f t="shared" si="87"/>
        <v>114.14325000000001</v>
      </c>
      <c r="Q601">
        <f t="shared" si="88"/>
        <v>116.47177230000001</v>
      </c>
      <c r="R601">
        <f t="shared" si="89"/>
        <v>272.24100000000004</v>
      </c>
      <c r="S601">
        <f t="shared" si="82"/>
        <v>927.2</v>
      </c>
    </row>
    <row r="602" spans="1:19" x14ac:dyDescent="0.25">
      <c r="A602">
        <v>732</v>
      </c>
      <c r="B602">
        <v>1312</v>
      </c>
      <c r="C602" t="s">
        <v>35</v>
      </c>
      <c r="D602" t="s">
        <v>172</v>
      </c>
      <c r="E602">
        <v>14</v>
      </c>
      <c r="F602">
        <v>19.5</v>
      </c>
      <c r="G602">
        <v>10.26</v>
      </c>
      <c r="H602">
        <v>31.75</v>
      </c>
      <c r="I602">
        <v>0.91</v>
      </c>
      <c r="J602">
        <v>331.99</v>
      </c>
      <c r="K602">
        <f t="shared" si="83"/>
        <v>4647.8600000000006</v>
      </c>
      <c r="L602">
        <f t="shared" si="84"/>
        <v>0</v>
      </c>
      <c r="M602">
        <f t="shared" si="81"/>
        <v>0</v>
      </c>
      <c r="N602">
        <f t="shared" si="85"/>
        <v>0</v>
      </c>
      <c r="O602">
        <f t="shared" si="86"/>
        <v>2800.9799999999996</v>
      </c>
      <c r="P602">
        <f t="shared" si="87"/>
        <v>700.24499999999989</v>
      </c>
      <c r="Q602">
        <f t="shared" si="88"/>
        <v>714.52999799999986</v>
      </c>
      <c r="R602">
        <f t="shared" si="89"/>
        <v>404.495</v>
      </c>
      <c r="S602">
        <f t="shared" si="82"/>
        <v>4647.8600000000006</v>
      </c>
    </row>
    <row r="603" spans="1:19" x14ac:dyDescent="0.25">
      <c r="A603">
        <v>733</v>
      </c>
      <c r="B603">
        <v>1312</v>
      </c>
      <c r="C603" t="s">
        <v>35</v>
      </c>
      <c r="D603" t="s">
        <v>173</v>
      </c>
      <c r="E603">
        <v>18</v>
      </c>
      <c r="F603">
        <v>16.440000000000001</v>
      </c>
      <c r="G603">
        <v>2.81</v>
      </c>
      <c r="H603">
        <v>31.21</v>
      </c>
      <c r="I603">
        <v>0.77</v>
      </c>
      <c r="J603">
        <v>89.96</v>
      </c>
      <c r="K603">
        <f t="shared" si="83"/>
        <v>1619.28</v>
      </c>
      <c r="L603">
        <f t="shared" si="84"/>
        <v>1619.28</v>
      </c>
      <c r="M603">
        <f t="shared" si="81"/>
        <v>831.53520000000003</v>
      </c>
      <c r="N603">
        <f t="shared" si="85"/>
        <v>207.88380000000001</v>
      </c>
      <c r="O603">
        <f t="shared" si="86"/>
        <v>831.53520000000003</v>
      </c>
      <c r="P603">
        <f t="shared" si="87"/>
        <v>207.88380000000001</v>
      </c>
      <c r="Q603">
        <f t="shared" si="88"/>
        <v>212.12462952000001</v>
      </c>
      <c r="R603">
        <f t="shared" si="89"/>
        <v>432.57060000000001</v>
      </c>
      <c r="S603">
        <f t="shared" si="82"/>
        <v>1619.28</v>
      </c>
    </row>
    <row r="604" spans="1:19" x14ac:dyDescent="0.25">
      <c r="A604">
        <v>734</v>
      </c>
      <c r="B604">
        <v>1312</v>
      </c>
      <c r="C604" t="s">
        <v>35</v>
      </c>
      <c r="D604" t="s">
        <v>172</v>
      </c>
      <c r="E604">
        <v>9</v>
      </c>
      <c r="F604">
        <v>19.72</v>
      </c>
      <c r="G604">
        <v>11.24</v>
      </c>
      <c r="H604">
        <v>30.61</v>
      </c>
      <c r="I604">
        <v>1.05</v>
      </c>
      <c r="J604">
        <v>367.96</v>
      </c>
      <c r="K604">
        <f t="shared" si="83"/>
        <v>3311.64</v>
      </c>
      <c r="L604">
        <f t="shared" si="84"/>
        <v>0</v>
      </c>
      <c r="M604">
        <f t="shared" si="81"/>
        <v>0</v>
      </c>
      <c r="N604">
        <f t="shared" si="85"/>
        <v>0</v>
      </c>
      <c r="O604">
        <f t="shared" si="86"/>
        <v>1994.8751999999997</v>
      </c>
      <c r="P604">
        <f t="shared" si="87"/>
        <v>498.71879999999993</v>
      </c>
      <c r="Q604">
        <f t="shared" si="88"/>
        <v>508.89266351999993</v>
      </c>
      <c r="R604">
        <f t="shared" si="89"/>
        <v>289.26450000000006</v>
      </c>
      <c r="S604">
        <f t="shared" si="82"/>
        <v>3311.64</v>
      </c>
    </row>
    <row r="605" spans="1:19" x14ac:dyDescent="0.25">
      <c r="A605">
        <v>735</v>
      </c>
      <c r="B605">
        <v>1313</v>
      </c>
      <c r="C605" t="s">
        <v>32</v>
      </c>
      <c r="D605" t="s">
        <v>172</v>
      </c>
      <c r="E605">
        <v>9</v>
      </c>
      <c r="F605">
        <v>19.02</v>
      </c>
      <c r="G605">
        <v>11.39</v>
      </c>
      <c r="H605">
        <v>30.9</v>
      </c>
      <c r="I605">
        <v>0.97</v>
      </c>
      <c r="J605">
        <v>357.92</v>
      </c>
      <c r="K605">
        <f t="shared" si="83"/>
        <v>3221.28</v>
      </c>
      <c r="L605">
        <f t="shared" si="84"/>
        <v>0</v>
      </c>
      <c r="M605">
        <f t="shared" si="81"/>
        <v>0</v>
      </c>
      <c r="N605">
        <f t="shared" si="85"/>
        <v>0</v>
      </c>
      <c r="O605">
        <f t="shared" si="86"/>
        <v>1949.7402</v>
      </c>
      <c r="P605">
        <f t="shared" si="87"/>
        <v>487.43504999999999</v>
      </c>
      <c r="Q605">
        <f t="shared" si="88"/>
        <v>497.37872501999999</v>
      </c>
      <c r="R605">
        <f t="shared" si="89"/>
        <v>269.75700000000001</v>
      </c>
      <c r="S605">
        <f t="shared" si="82"/>
        <v>3221.28</v>
      </c>
    </row>
    <row r="606" spans="1:19" x14ac:dyDescent="0.25">
      <c r="A606">
        <v>736</v>
      </c>
      <c r="B606">
        <v>1313</v>
      </c>
      <c r="C606" t="s">
        <v>32</v>
      </c>
      <c r="D606" t="s">
        <v>172</v>
      </c>
      <c r="E606">
        <v>12</v>
      </c>
      <c r="F606">
        <v>20.29</v>
      </c>
      <c r="G606">
        <v>11.35</v>
      </c>
      <c r="H606">
        <v>33.56</v>
      </c>
      <c r="I606">
        <v>1</v>
      </c>
      <c r="J606">
        <v>382.49</v>
      </c>
      <c r="K606">
        <f t="shared" si="83"/>
        <v>4589.88</v>
      </c>
      <c r="L606">
        <f t="shared" si="84"/>
        <v>0</v>
      </c>
      <c r="M606">
        <f t="shared" si="81"/>
        <v>0</v>
      </c>
      <c r="N606">
        <f t="shared" si="85"/>
        <v>0</v>
      </c>
      <c r="O606">
        <f t="shared" si="86"/>
        <v>2763.4979999999996</v>
      </c>
      <c r="P606">
        <f t="shared" si="87"/>
        <v>690.8744999999999</v>
      </c>
      <c r="Q606">
        <f t="shared" si="88"/>
        <v>704.96833979999985</v>
      </c>
      <c r="R606">
        <f t="shared" si="89"/>
        <v>402.72</v>
      </c>
      <c r="S606">
        <f t="shared" si="82"/>
        <v>4589.88</v>
      </c>
    </row>
    <row r="607" spans="1:19" x14ac:dyDescent="0.25">
      <c r="A607">
        <v>737</v>
      </c>
      <c r="B607">
        <v>1313</v>
      </c>
      <c r="C607" t="s">
        <v>32</v>
      </c>
      <c r="D607" t="s">
        <v>172</v>
      </c>
      <c r="E607">
        <v>11</v>
      </c>
      <c r="F607">
        <v>18.760000000000002</v>
      </c>
      <c r="G607">
        <v>10.16</v>
      </c>
      <c r="H607">
        <v>33.67</v>
      </c>
      <c r="I607">
        <v>1.05</v>
      </c>
      <c r="J607">
        <v>325.58999999999997</v>
      </c>
      <c r="K607">
        <f t="shared" si="83"/>
        <v>3581.49</v>
      </c>
      <c r="L607">
        <f t="shared" si="84"/>
        <v>0</v>
      </c>
      <c r="M607">
        <f t="shared" si="81"/>
        <v>0</v>
      </c>
      <c r="N607">
        <f t="shared" si="85"/>
        <v>0</v>
      </c>
      <c r="O607">
        <f t="shared" si="86"/>
        <v>2096.6176000000005</v>
      </c>
      <c r="P607">
        <f t="shared" si="87"/>
        <v>524.15440000000012</v>
      </c>
      <c r="Q607">
        <f t="shared" si="88"/>
        <v>534.84714976000009</v>
      </c>
      <c r="R607">
        <f t="shared" si="89"/>
        <v>388.88850000000002</v>
      </c>
      <c r="S607">
        <f t="shared" si="82"/>
        <v>3581.49</v>
      </c>
    </row>
    <row r="608" spans="1:19" x14ac:dyDescent="0.25">
      <c r="A608">
        <v>738</v>
      </c>
      <c r="B608">
        <v>1313</v>
      </c>
      <c r="C608" t="s">
        <v>32</v>
      </c>
      <c r="D608" t="s">
        <v>172</v>
      </c>
      <c r="E608">
        <v>9</v>
      </c>
      <c r="F608">
        <v>18.52</v>
      </c>
      <c r="G608">
        <v>9.9700000000000006</v>
      </c>
      <c r="H608">
        <v>32.57</v>
      </c>
      <c r="I608">
        <v>1</v>
      </c>
      <c r="J608">
        <v>313.42</v>
      </c>
      <c r="K608">
        <f t="shared" si="83"/>
        <v>2820.78</v>
      </c>
      <c r="L608">
        <f t="shared" si="84"/>
        <v>0</v>
      </c>
      <c r="M608">
        <f t="shared" si="81"/>
        <v>0</v>
      </c>
      <c r="N608">
        <f t="shared" si="85"/>
        <v>0</v>
      </c>
      <c r="O608">
        <f t="shared" si="86"/>
        <v>1661.7996000000001</v>
      </c>
      <c r="P608">
        <f t="shared" si="87"/>
        <v>415.44990000000001</v>
      </c>
      <c r="Q608">
        <f t="shared" si="88"/>
        <v>423.92507796000001</v>
      </c>
      <c r="R608">
        <f t="shared" si="89"/>
        <v>293.13</v>
      </c>
      <c r="S608">
        <f t="shared" si="82"/>
        <v>2820.78</v>
      </c>
    </row>
    <row r="609" spans="1:19" x14ac:dyDescent="0.25">
      <c r="A609">
        <v>739</v>
      </c>
      <c r="B609">
        <v>1313</v>
      </c>
      <c r="C609" t="s">
        <v>32</v>
      </c>
      <c r="D609" t="s">
        <v>173</v>
      </c>
      <c r="E609">
        <v>41</v>
      </c>
      <c r="F609">
        <v>16.48</v>
      </c>
      <c r="G609">
        <v>2.88</v>
      </c>
      <c r="H609">
        <v>30.71</v>
      </c>
      <c r="I609">
        <v>0.83</v>
      </c>
      <c r="J609">
        <v>93.3</v>
      </c>
      <c r="K609">
        <f t="shared" si="83"/>
        <v>3825.2999999999997</v>
      </c>
      <c r="L609">
        <f t="shared" si="84"/>
        <v>3825.2999999999997</v>
      </c>
      <c r="M609">
        <f t="shared" si="81"/>
        <v>1945.9584</v>
      </c>
      <c r="N609">
        <f t="shared" si="85"/>
        <v>486.4896</v>
      </c>
      <c r="O609">
        <f t="shared" si="86"/>
        <v>1945.9584</v>
      </c>
      <c r="P609">
        <f t="shared" si="87"/>
        <v>486.4896</v>
      </c>
      <c r="Q609">
        <f t="shared" si="88"/>
        <v>496.41398784</v>
      </c>
      <c r="R609">
        <f t="shared" si="89"/>
        <v>1045.0613000000001</v>
      </c>
      <c r="S609">
        <f t="shared" si="82"/>
        <v>3825.2999999999997</v>
      </c>
    </row>
    <row r="610" spans="1:19" x14ac:dyDescent="0.25">
      <c r="A610">
        <v>740</v>
      </c>
      <c r="B610">
        <v>1313</v>
      </c>
      <c r="C610" t="s">
        <v>32</v>
      </c>
      <c r="D610" t="s">
        <v>172</v>
      </c>
      <c r="E610">
        <v>38</v>
      </c>
      <c r="F610">
        <v>19.649999999999999</v>
      </c>
      <c r="G610">
        <v>11.72</v>
      </c>
      <c r="H610">
        <v>25.52</v>
      </c>
      <c r="I610">
        <v>1.06</v>
      </c>
      <c r="J610">
        <v>374.76</v>
      </c>
      <c r="K610">
        <f t="shared" si="83"/>
        <v>14240.88</v>
      </c>
      <c r="L610">
        <f t="shared" si="84"/>
        <v>0</v>
      </c>
      <c r="M610">
        <f t="shared" si="81"/>
        <v>0</v>
      </c>
      <c r="N610">
        <f t="shared" si="85"/>
        <v>0</v>
      </c>
      <c r="O610">
        <f t="shared" si="86"/>
        <v>8751.3240000000005</v>
      </c>
      <c r="P610">
        <f t="shared" si="87"/>
        <v>2187.8310000000001</v>
      </c>
      <c r="Q610">
        <f t="shared" si="88"/>
        <v>2232.4627524000002</v>
      </c>
      <c r="R610">
        <f t="shared" si="89"/>
        <v>1027.9456</v>
      </c>
      <c r="S610">
        <f t="shared" si="82"/>
        <v>14240.88</v>
      </c>
    </row>
    <row r="611" spans="1:19" x14ac:dyDescent="0.25">
      <c r="A611">
        <v>741</v>
      </c>
      <c r="B611">
        <v>1313</v>
      </c>
      <c r="C611" t="s">
        <v>32</v>
      </c>
      <c r="D611" t="s">
        <v>173</v>
      </c>
      <c r="E611">
        <v>40</v>
      </c>
      <c r="F611">
        <v>12.65</v>
      </c>
      <c r="G611">
        <v>2.85</v>
      </c>
      <c r="H611">
        <v>28.29</v>
      </c>
      <c r="I611">
        <v>0.79</v>
      </c>
      <c r="J611">
        <v>74.16</v>
      </c>
      <c r="K611">
        <f t="shared" si="83"/>
        <v>2966.3999999999996</v>
      </c>
      <c r="L611">
        <f t="shared" si="84"/>
        <v>2966.3999999999996</v>
      </c>
      <c r="M611">
        <f t="shared" si="81"/>
        <v>1442.1000000000001</v>
      </c>
      <c r="N611">
        <f t="shared" si="85"/>
        <v>360.52500000000003</v>
      </c>
      <c r="O611">
        <f t="shared" si="86"/>
        <v>1442.1000000000001</v>
      </c>
      <c r="P611">
        <f t="shared" si="87"/>
        <v>360.52500000000003</v>
      </c>
      <c r="Q611">
        <f t="shared" si="88"/>
        <v>367.87971000000005</v>
      </c>
      <c r="R611">
        <f t="shared" si="89"/>
        <v>893.96400000000006</v>
      </c>
      <c r="S611">
        <f t="shared" si="82"/>
        <v>2966.3999999999996</v>
      </c>
    </row>
    <row r="612" spans="1:19" x14ac:dyDescent="0.25">
      <c r="A612">
        <v>742</v>
      </c>
      <c r="B612">
        <v>1313</v>
      </c>
      <c r="C612" t="s">
        <v>32</v>
      </c>
      <c r="D612" t="s">
        <v>172</v>
      </c>
      <c r="E612">
        <v>20</v>
      </c>
      <c r="F612">
        <v>19.23</v>
      </c>
      <c r="G612">
        <v>11.92</v>
      </c>
      <c r="H612">
        <v>29.14</v>
      </c>
      <c r="I612">
        <v>1.01</v>
      </c>
      <c r="J612">
        <v>375.99</v>
      </c>
      <c r="K612">
        <f t="shared" si="83"/>
        <v>7519.8</v>
      </c>
      <c r="L612">
        <f t="shared" si="84"/>
        <v>0</v>
      </c>
      <c r="M612">
        <f t="shared" si="81"/>
        <v>0</v>
      </c>
      <c r="N612">
        <f t="shared" si="85"/>
        <v>0</v>
      </c>
      <c r="O612">
        <f t="shared" si="86"/>
        <v>4584.4319999999998</v>
      </c>
      <c r="P612">
        <f t="shared" si="87"/>
        <v>1146.1079999999999</v>
      </c>
      <c r="Q612">
        <f t="shared" si="88"/>
        <v>1169.4886031999999</v>
      </c>
      <c r="R612">
        <f t="shared" si="89"/>
        <v>588.62800000000004</v>
      </c>
      <c r="S612">
        <f t="shared" si="82"/>
        <v>7519.8</v>
      </c>
    </row>
    <row r="613" spans="1:19" x14ac:dyDescent="0.25">
      <c r="A613">
        <v>743</v>
      </c>
      <c r="B613">
        <v>1314</v>
      </c>
      <c r="C613" t="s">
        <v>35</v>
      </c>
      <c r="D613" t="s">
        <v>172</v>
      </c>
      <c r="E613">
        <v>12</v>
      </c>
      <c r="F613">
        <v>20.77</v>
      </c>
      <c r="G613">
        <v>11.9</v>
      </c>
      <c r="H613">
        <v>31.55</v>
      </c>
      <c r="I613">
        <v>0.98</v>
      </c>
      <c r="J613">
        <v>404.45</v>
      </c>
      <c r="K613">
        <f t="shared" si="83"/>
        <v>4853.3999999999996</v>
      </c>
      <c r="L613">
        <f t="shared" si="84"/>
        <v>0</v>
      </c>
      <c r="M613">
        <f t="shared" si="81"/>
        <v>0</v>
      </c>
      <c r="N613">
        <f t="shared" si="85"/>
        <v>0</v>
      </c>
      <c r="O613">
        <f t="shared" si="86"/>
        <v>2965.9560000000001</v>
      </c>
      <c r="P613">
        <f t="shared" si="87"/>
        <v>741.48900000000003</v>
      </c>
      <c r="Q613">
        <f t="shared" si="88"/>
        <v>756.61537559999999</v>
      </c>
      <c r="R613">
        <f t="shared" si="89"/>
        <v>371.02800000000002</v>
      </c>
      <c r="S613">
        <f t="shared" si="82"/>
        <v>4853.3999999999996</v>
      </c>
    </row>
    <row r="614" spans="1:19" x14ac:dyDescent="0.25">
      <c r="A614">
        <v>744</v>
      </c>
      <c r="B614">
        <v>1314</v>
      </c>
      <c r="C614" t="s">
        <v>35</v>
      </c>
      <c r="D614" t="s">
        <v>173</v>
      </c>
      <c r="E614">
        <v>32</v>
      </c>
      <c r="F614">
        <v>15.29</v>
      </c>
      <c r="G614">
        <v>3.05</v>
      </c>
      <c r="H614">
        <v>26.53</v>
      </c>
      <c r="I614">
        <v>0.81</v>
      </c>
      <c r="J614">
        <v>87.76</v>
      </c>
      <c r="K614">
        <f t="shared" si="83"/>
        <v>2808.32</v>
      </c>
      <c r="L614">
        <f t="shared" si="84"/>
        <v>2808.32</v>
      </c>
      <c r="M614">
        <f t="shared" si="81"/>
        <v>1492.3039999999999</v>
      </c>
      <c r="N614">
        <f t="shared" si="85"/>
        <v>373.07599999999996</v>
      </c>
      <c r="O614">
        <f t="shared" si="86"/>
        <v>1492.3039999999999</v>
      </c>
      <c r="P614">
        <f t="shared" si="87"/>
        <v>373.07599999999996</v>
      </c>
      <c r="Q614">
        <f t="shared" si="88"/>
        <v>380.68675039999994</v>
      </c>
      <c r="R614">
        <f t="shared" si="89"/>
        <v>687.65760000000012</v>
      </c>
      <c r="S614">
        <f t="shared" si="82"/>
        <v>2808.32</v>
      </c>
    </row>
    <row r="615" spans="1:19" x14ac:dyDescent="0.25">
      <c r="A615">
        <v>745</v>
      </c>
      <c r="B615">
        <v>1314</v>
      </c>
      <c r="C615" t="s">
        <v>35</v>
      </c>
      <c r="D615" t="s">
        <v>173</v>
      </c>
      <c r="E615">
        <v>10</v>
      </c>
      <c r="F615">
        <v>14.71</v>
      </c>
      <c r="G615">
        <v>2.86</v>
      </c>
      <c r="H615">
        <v>28.65</v>
      </c>
      <c r="I615">
        <v>0.76</v>
      </c>
      <c r="J615">
        <v>81.8</v>
      </c>
      <c r="K615">
        <f t="shared" si="83"/>
        <v>818</v>
      </c>
      <c r="L615">
        <f t="shared" si="84"/>
        <v>818</v>
      </c>
      <c r="M615">
        <f t="shared" si="81"/>
        <v>420.70600000000002</v>
      </c>
      <c r="N615">
        <f t="shared" si="85"/>
        <v>105.1765</v>
      </c>
      <c r="O615">
        <f t="shared" si="86"/>
        <v>420.70600000000002</v>
      </c>
      <c r="P615">
        <f t="shared" si="87"/>
        <v>105.1765</v>
      </c>
      <c r="Q615">
        <f t="shared" si="88"/>
        <v>107.3221006</v>
      </c>
      <c r="R615">
        <f t="shared" si="89"/>
        <v>217.73999999999998</v>
      </c>
      <c r="S615">
        <f t="shared" si="82"/>
        <v>818</v>
      </c>
    </row>
    <row r="616" spans="1:19" x14ac:dyDescent="0.25">
      <c r="A616">
        <v>746</v>
      </c>
      <c r="B616">
        <v>1314</v>
      </c>
      <c r="C616" t="s">
        <v>35</v>
      </c>
      <c r="D616" t="s">
        <v>173</v>
      </c>
      <c r="E616">
        <v>18</v>
      </c>
      <c r="F616">
        <v>16.79</v>
      </c>
      <c r="G616">
        <v>3</v>
      </c>
      <c r="H616">
        <v>35.43</v>
      </c>
      <c r="I616">
        <v>0.79</v>
      </c>
      <c r="J616">
        <v>100.05</v>
      </c>
      <c r="K616">
        <f t="shared" si="83"/>
        <v>1800.8999999999999</v>
      </c>
      <c r="L616">
        <f t="shared" si="84"/>
        <v>1800.8999999999999</v>
      </c>
      <c r="M616">
        <f t="shared" si="81"/>
        <v>906.66</v>
      </c>
      <c r="N616">
        <f t="shared" si="85"/>
        <v>226.66499999999999</v>
      </c>
      <c r="O616">
        <f t="shared" si="86"/>
        <v>906.66</v>
      </c>
      <c r="P616">
        <f t="shared" si="87"/>
        <v>226.66499999999999</v>
      </c>
      <c r="Q616">
        <f t="shared" si="88"/>
        <v>231.28896599999999</v>
      </c>
      <c r="R616">
        <f t="shared" si="89"/>
        <v>503.81460000000004</v>
      </c>
      <c r="S616">
        <f t="shared" si="82"/>
        <v>1800.8999999999999</v>
      </c>
    </row>
    <row r="617" spans="1:19" x14ac:dyDescent="0.25">
      <c r="A617">
        <v>747</v>
      </c>
      <c r="B617">
        <v>1314</v>
      </c>
      <c r="C617" t="s">
        <v>35</v>
      </c>
      <c r="D617" t="s">
        <v>172</v>
      </c>
      <c r="E617">
        <v>25</v>
      </c>
      <c r="F617">
        <v>19.14</v>
      </c>
      <c r="G617">
        <v>11.23</v>
      </c>
      <c r="H617">
        <v>31.94</v>
      </c>
      <c r="I617">
        <v>0.96</v>
      </c>
      <c r="J617">
        <v>356.22</v>
      </c>
      <c r="K617">
        <f t="shared" si="83"/>
        <v>8905.5</v>
      </c>
      <c r="L617">
        <f t="shared" si="84"/>
        <v>0</v>
      </c>
      <c r="M617">
        <f t="shared" si="81"/>
        <v>0</v>
      </c>
      <c r="N617">
        <f t="shared" si="85"/>
        <v>0</v>
      </c>
      <c r="O617">
        <f t="shared" si="86"/>
        <v>5373.5550000000003</v>
      </c>
      <c r="P617">
        <f t="shared" si="87"/>
        <v>1343.3887500000001</v>
      </c>
      <c r="Q617">
        <f t="shared" si="88"/>
        <v>1370.7938805000001</v>
      </c>
      <c r="R617">
        <f t="shared" si="89"/>
        <v>766.56000000000006</v>
      </c>
      <c r="S617">
        <f t="shared" si="82"/>
        <v>8905.5</v>
      </c>
    </row>
    <row r="618" spans="1:19" x14ac:dyDescent="0.25">
      <c r="A618">
        <v>748</v>
      </c>
      <c r="B618">
        <v>1314</v>
      </c>
      <c r="C618" t="s">
        <v>35</v>
      </c>
      <c r="D618" t="s">
        <v>172</v>
      </c>
      <c r="E618">
        <v>11</v>
      </c>
      <c r="F618">
        <v>18.239999999999998</v>
      </c>
      <c r="G618">
        <v>10.050000000000001</v>
      </c>
      <c r="H618">
        <v>26.96</v>
      </c>
      <c r="I618">
        <v>1.02</v>
      </c>
      <c r="J618">
        <v>305.39999999999998</v>
      </c>
      <c r="K618">
        <f t="shared" si="83"/>
        <v>3359.3999999999996</v>
      </c>
      <c r="L618">
        <f t="shared" si="84"/>
        <v>0</v>
      </c>
      <c r="M618">
        <f t="shared" si="81"/>
        <v>0</v>
      </c>
      <c r="N618">
        <f t="shared" si="85"/>
        <v>0</v>
      </c>
      <c r="O618">
        <f t="shared" si="86"/>
        <v>2016.432</v>
      </c>
      <c r="P618">
        <f t="shared" si="87"/>
        <v>504.108</v>
      </c>
      <c r="Q618">
        <f t="shared" si="88"/>
        <v>514.39180320000003</v>
      </c>
      <c r="R618">
        <f t="shared" si="89"/>
        <v>302.49120000000005</v>
      </c>
      <c r="S618">
        <f t="shared" si="82"/>
        <v>3359.3999999999996</v>
      </c>
    </row>
    <row r="619" spans="1:19" x14ac:dyDescent="0.25">
      <c r="A619">
        <v>749</v>
      </c>
      <c r="B619">
        <v>1314</v>
      </c>
      <c r="C619" t="s">
        <v>35</v>
      </c>
      <c r="D619" t="s">
        <v>173</v>
      </c>
      <c r="E619">
        <v>49</v>
      </c>
      <c r="F619">
        <v>15.01</v>
      </c>
      <c r="G619">
        <v>2.82</v>
      </c>
      <c r="H619">
        <v>36.44</v>
      </c>
      <c r="I619">
        <v>0.84</v>
      </c>
      <c r="J619">
        <v>91.87</v>
      </c>
      <c r="K619">
        <f t="shared" si="83"/>
        <v>4501.63</v>
      </c>
      <c r="L619">
        <f t="shared" si="84"/>
        <v>4501.63</v>
      </c>
      <c r="M619">
        <f t="shared" si="81"/>
        <v>2074.0817999999995</v>
      </c>
      <c r="N619">
        <f t="shared" si="85"/>
        <v>518.52044999999987</v>
      </c>
      <c r="O619">
        <f t="shared" si="86"/>
        <v>2074.0817999999995</v>
      </c>
      <c r="P619">
        <f t="shared" si="87"/>
        <v>518.52044999999987</v>
      </c>
      <c r="Q619">
        <f t="shared" si="88"/>
        <v>529.09826717999988</v>
      </c>
      <c r="R619">
        <f t="shared" si="89"/>
        <v>1499.8703999999998</v>
      </c>
      <c r="S619">
        <f t="shared" si="82"/>
        <v>4501.63</v>
      </c>
    </row>
    <row r="620" spans="1:19" x14ac:dyDescent="0.25">
      <c r="A620">
        <v>750</v>
      </c>
      <c r="B620">
        <v>1315</v>
      </c>
      <c r="C620" t="s">
        <v>32</v>
      </c>
      <c r="D620" t="s">
        <v>172</v>
      </c>
      <c r="E620">
        <v>24</v>
      </c>
      <c r="F620">
        <v>19.32</v>
      </c>
      <c r="G620">
        <v>10.47</v>
      </c>
      <c r="H620">
        <v>31.76</v>
      </c>
      <c r="I620">
        <v>1.0900000000000001</v>
      </c>
      <c r="J620">
        <v>342.09</v>
      </c>
      <c r="K620">
        <f t="shared" si="83"/>
        <v>8210.16</v>
      </c>
      <c r="L620">
        <f t="shared" si="84"/>
        <v>0</v>
      </c>
      <c r="M620">
        <f t="shared" si="81"/>
        <v>0</v>
      </c>
      <c r="N620">
        <f t="shared" si="85"/>
        <v>0</v>
      </c>
      <c r="O620">
        <f t="shared" si="86"/>
        <v>4854.7296000000006</v>
      </c>
      <c r="P620">
        <f t="shared" si="87"/>
        <v>1213.6824000000001</v>
      </c>
      <c r="Q620">
        <f t="shared" si="88"/>
        <v>1238.4415209600002</v>
      </c>
      <c r="R620">
        <f t="shared" si="89"/>
        <v>830.8416000000002</v>
      </c>
      <c r="S620">
        <f t="shared" si="82"/>
        <v>8210.16</v>
      </c>
    </row>
    <row r="621" spans="1:19" x14ac:dyDescent="0.25">
      <c r="A621">
        <v>751</v>
      </c>
      <c r="B621">
        <v>1315</v>
      </c>
      <c r="C621" t="s">
        <v>32</v>
      </c>
      <c r="D621" t="s">
        <v>172</v>
      </c>
      <c r="E621">
        <v>12</v>
      </c>
      <c r="F621">
        <v>17.93</v>
      </c>
      <c r="G621">
        <v>10.15</v>
      </c>
      <c r="H621">
        <v>28.91</v>
      </c>
      <c r="I621">
        <v>1.03</v>
      </c>
      <c r="J621">
        <v>306.14</v>
      </c>
      <c r="K621">
        <f t="shared" si="83"/>
        <v>3673.68</v>
      </c>
      <c r="L621">
        <f t="shared" si="84"/>
        <v>0</v>
      </c>
      <c r="M621">
        <f t="shared" si="81"/>
        <v>0</v>
      </c>
      <c r="N621">
        <f t="shared" si="85"/>
        <v>0</v>
      </c>
      <c r="O621">
        <f t="shared" si="86"/>
        <v>2183.8740000000003</v>
      </c>
      <c r="P621">
        <f t="shared" si="87"/>
        <v>545.96850000000006</v>
      </c>
      <c r="Q621">
        <f t="shared" si="88"/>
        <v>557.1062574</v>
      </c>
      <c r="R621">
        <f t="shared" si="89"/>
        <v>357.32759999999996</v>
      </c>
      <c r="S621">
        <f t="shared" si="82"/>
        <v>3673.68</v>
      </c>
    </row>
    <row r="622" spans="1:19" x14ac:dyDescent="0.25">
      <c r="A622">
        <v>752</v>
      </c>
      <c r="B622">
        <v>1315</v>
      </c>
      <c r="C622" t="s">
        <v>32</v>
      </c>
      <c r="D622" t="s">
        <v>172</v>
      </c>
      <c r="E622">
        <v>21</v>
      </c>
      <c r="F622">
        <v>20.100000000000001</v>
      </c>
      <c r="G622">
        <v>11.23</v>
      </c>
      <c r="H622">
        <v>29.25</v>
      </c>
      <c r="I622">
        <v>0.97</v>
      </c>
      <c r="J622">
        <v>369.53</v>
      </c>
      <c r="K622">
        <f t="shared" si="83"/>
        <v>7760.1299999999992</v>
      </c>
      <c r="L622">
        <f t="shared" si="84"/>
        <v>0</v>
      </c>
      <c r="M622">
        <f t="shared" si="81"/>
        <v>0</v>
      </c>
      <c r="N622">
        <f t="shared" si="85"/>
        <v>0</v>
      </c>
      <c r="O622">
        <f t="shared" si="86"/>
        <v>4740.1830000000009</v>
      </c>
      <c r="P622">
        <f t="shared" si="87"/>
        <v>1185.0457500000002</v>
      </c>
      <c r="Q622">
        <f t="shared" si="88"/>
        <v>1209.2206833000002</v>
      </c>
      <c r="R622">
        <f t="shared" si="89"/>
        <v>595.82249999999999</v>
      </c>
      <c r="S622">
        <f t="shared" si="82"/>
        <v>7760.1299999999992</v>
      </c>
    </row>
    <row r="623" spans="1:19" x14ac:dyDescent="0.25">
      <c r="A623">
        <v>753</v>
      </c>
      <c r="B623">
        <v>1315</v>
      </c>
      <c r="C623" t="s">
        <v>32</v>
      </c>
      <c r="D623" t="s">
        <v>173</v>
      </c>
      <c r="E623">
        <v>15</v>
      </c>
      <c r="F623">
        <v>14.21</v>
      </c>
      <c r="G623">
        <v>3.32</v>
      </c>
      <c r="H623">
        <v>29.04</v>
      </c>
      <c r="I623">
        <v>0.79</v>
      </c>
      <c r="J623">
        <v>90.1</v>
      </c>
      <c r="K623">
        <f t="shared" si="83"/>
        <v>1351.5</v>
      </c>
      <c r="L623">
        <f t="shared" si="84"/>
        <v>1351.5</v>
      </c>
      <c r="M623">
        <f t="shared" si="81"/>
        <v>707.65800000000002</v>
      </c>
      <c r="N623">
        <f t="shared" si="85"/>
        <v>176.9145</v>
      </c>
      <c r="O623">
        <f t="shared" si="86"/>
        <v>707.65800000000002</v>
      </c>
      <c r="P623">
        <f t="shared" si="87"/>
        <v>176.9145</v>
      </c>
      <c r="Q623">
        <f t="shared" si="88"/>
        <v>180.5235558</v>
      </c>
      <c r="R623">
        <f t="shared" si="89"/>
        <v>344.12400000000002</v>
      </c>
      <c r="S623">
        <f t="shared" si="82"/>
        <v>1351.5</v>
      </c>
    </row>
    <row r="624" spans="1:19" x14ac:dyDescent="0.25">
      <c r="A624">
        <v>754</v>
      </c>
      <c r="B624">
        <v>1315</v>
      </c>
      <c r="C624" t="s">
        <v>32</v>
      </c>
      <c r="D624" t="s">
        <v>173</v>
      </c>
      <c r="E624">
        <v>8</v>
      </c>
      <c r="F624">
        <v>15.51</v>
      </c>
      <c r="G624">
        <v>2.94</v>
      </c>
      <c r="H624">
        <v>30.91</v>
      </c>
      <c r="I624">
        <v>0.81</v>
      </c>
      <c r="J624">
        <v>90.24</v>
      </c>
      <c r="K624">
        <f t="shared" si="83"/>
        <v>721.92</v>
      </c>
      <c r="L624">
        <f t="shared" si="84"/>
        <v>721.92</v>
      </c>
      <c r="M624">
        <f t="shared" si="81"/>
        <v>364.79519999999997</v>
      </c>
      <c r="N624">
        <f t="shared" si="85"/>
        <v>91.198799999999991</v>
      </c>
      <c r="O624">
        <f t="shared" si="86"/>
        <v>364.79519999999997</v>
      </c>
      <c r="P624">
        <f t="shared" si="87"/>
        <v>91.198799999999991</v>
      </c>
      <c r="Q624">
        <f t="shared" si="88"/>
        <v>93.059255519999994</v>
      </c>
      <c r="R624">
        <f t="shared" si="89"/>
        <v>200.29680000000002</v>
      </c>
      <c r="S624">
        <f t="shared" si="82"/>
        <v>721.92</v>
      </c>
    </row>
    <row r="625" spans="1:19" x14ac:dyDescent="0.25">
      <c r="A625">
        <v>755</v>
      </c>
      <c r="B625">
        <v>1315</v>
      </c>
      <c r="C625" t="s">
        <v>32</v>
      </c>
      <c r="D625" t="s">
        <v>172</v>
      </c>
      <c r="E625">
        <v>9</v>
      </c>
      <c r="F625">
        <v>18.45</v>
      </c>
      <c r="G625">
        <v>9.9700000000000006</v>
      </c>
      <c r="H625">
        <v>34.61</v>
      </c>
      <c r="I625">
        <v>1.02</v>
      </c>
      <c r="J625">
        <v>315.63</v>
      </c>
      <c r="K625">
        <f t="shared" si="83"/>
        <v>2840.67</v>
      </c>
      <c r="L625">
        <f t="shared" si="84"/>
        <v>0</v>
      </c>
      <c r="M625">
        <f t="shared" si="81"/>
        <v>0</v>
      </c>
      <c r="N625">
        <f t="shared" si="85"/>
        <v>0</v>
      </c>
      <c r="O625">
        <f t="shared" si="86"/>
        <v>1655.5184999999999</v>
      </c>
      <c r="P625">
        <f t="shared" si="87"/>
        <v>413.87962499999998</v>
      </c>
      <c r="Q625">
        <f t="shared" si="88"/>
        <v>422.32276934999999</v>
      </c>
      <c r="R625">
        <f t="shared" si="89"/>
        <v>317.71979999999996</v>
      </c>
      <c r="S625">
        <f t="shared" si="82"/>
        <v>2840.67</v>
      </c>
    </row>
    <row r="626" spans="1:19" x14ac:dyDescent="0.25">
      <c r="A626">
        <v>756</v>
      </c>
      <c r="B626">
        <v>1315</v>
      </c>
      <c r="C626" t="s">
        <v>32</v>
      </c>
      <c r="D626" t="s">
        <v>172</v>
      </c>
      <c r="E626">
        <v>36</v>
      </c>
      <c r="F626">
        <v>17.54</v>
      </c>
      <c r="G626">
        <v>11.52</v>
      </c>
      <c r="H626">
        <v>34.85</v>
      </c>
      <c r="I626">
        <v>1.01</v>
      </c>
      <c r="J626">
        <v>342.45</v>
      </c>
      <c r="K626">
        <f t="shared" si="83"/>
        <v>12328.199999999999</v>
      </c>
      <c r="L626">
        <f t="shared" si="84"/>
        <v>0</v>
      </c>
      <c r="M626">
        <f t="shared" si="81"/>
        <v>0</v>
      </c>
      <c r="N626">
        <f t="shared" si="85"/>
        <v>0</v>
      </c>
      <c r="O626">
        <f t="shared" si="86"/>
        <v>7274.188799999999</v>
      </c>
      <c r="P626">
        <f t="shared" si="87"/>
        <v>1818.5471999999997</v>
      </c>
      <c r="Q626">
        <f t="shared" si="88"/>
        <v>1855.6455628799997</v>
      </c>
      <c r="R626">
        <f t="shared" si="89"/>
        <v>1267.146</v>
      </c>
      <c r="S626">
        <f t="shared" si="82"/>
        <v>12328.199999999999</v>
      </c>
    </row>
    <row r="627" spans="1:19" x14ac:dyDescent="0.25">
      <c r="A627">
        <v>757</v>
      </c>
      <c r="B627">
        <v>1315</v>
      </c>
      <c r="C627" t="s">
        <v>32</v>
      </c>
      <c r="D627" t="s">
        <v>172</v>
      </c>
      <c r="E627">
        <v>12</v>
      </c>
      <c r="F627">
        <v>18.440000000000001</v>
      </c>
      <c r="G627">
        <v>11.35</v>
      </c>
      <c r="H627">
        <v>32.9</v>
      </c>
      <c r="I627">
        <v>0.93</v>
      </c>
      <c r="J627">
        <v>347.73</v>
      </c>
      <c r="K627">
        <f t="shared" si="83"/>
        <v>4172.76</v>
      </c>
      <c r="L627">
        <f t="shared" si="84"/>
        <v>0</v>
      </c>
      <c r="M627">
        <f t="shared" si="81"/>
        <v>0</v>
      </c>
      <c r="N627">
        <f t="shared" si="85"/>
        <v>0</v>
      </c>
      <c r="O627">
        <f t="shared" si="86"/>
        <v>2511.5279999999998</v>
      </c>
      <c r="P627">
        <f t="shared" si="87"/>
        <v>627.88199999999995</v>
      </c>
      <c r="Q627">
        <f t="shared" si="88"/>
        <v>640.69079279999994</v>
      </c>
      <c r="R627">
        <f t="shared" si="89"/>
        <v>367.16399999999999</v>
      </c>
      <c r="S627">
        <f t="shared" si="82"/>
        <v>4172.76</v>
      </c>
    </row>
    <row r="628" spans="1:19" x14ac:dyDescent="0.25">
      <c r="A628">
        <v>758</v>
      </c>
      <c r="B628">
        <v>1315</v>
      </c>
      <c r="C628" t="s">
        <v>32</v>
      </c>
      <c r="D628" t="s">
        <v>172</v>
      </c>
      <c r="E628">
        <v>12</v>
      </c>
      <c r="F628">
        <v>19.18</v>
      </c>
      <c r="G628">
        <v>11.3</v>
      </c>
      <c r="H628">
        <v>32.5</v>
      </c>
      <c r="I628">
        <v>1.07</v>
      </c>
      <c r="J628">
        <v>363.77</v>
      </c>
      <c r="K628">
        <f t="shared" si="83"/>
        <v>4365.24</v>
      </c>
      <c r="L628">
        <f t="shared" si="84"/>
        <v>0</v>
      </c>
      <c r="M628">
        <f t="shared" si="81"/>
        <v>0</v>
      </c>
      <c r="N628">
        <f t="shared" si="85"/>
        <v>0</v>
      </c>
      <c r="O628">
        <f t="shared" si="86"/>
        <v>2600.8080000000004</v>
      </c>
      <c r="P628">
        <f t="shared" si="87"/>
        <v>650.20200000000011</v>
      </c>
      <c r="Q628">
        <f t="shared" si="88"/>
        <v>663.46612080000011</v>
      </c>
      <c r="R628">
        <f t="shared" si="89"/>
        <v>417.3</v>
      </c>
      <c r="S628">
        <f t="shared" si="82"/>
        <v>4365.24</v>
      </c>
    </row>
    <row r="629" spans="1:19" x14ac:dyDescent="0.25">
      <c r="A629">
        <v>759</v>
      </c>
      <c r="B629">
        <v>1315</v>
      </c>
      <c r="C629" t="s">
        <v>32</v>
      </c>
      <c r="D629" t="s">
        <v>172</v>
      </c>
      <c r="E629">
        <v>11</v>
      </c>
      <c r="F629">
        <v>17.88</v>
      </c>
      <c r="G629">
        <v>10.4</v>
      </c>
      <c r="H629">
        <v>30.67</v>
      </c>
      <c r="I629">
        <v>0.94</v>
      </c>
      <c r="J629">
        <v>310.91000000000003</v>
      </c>
      <c r="K629">
        <f t="shared" si="83"/>
        <v>3420.01</v>
      </c>
      <c r="L629">
        <f t="shared" si="84"/>
        <v>0</v>
      </c>
      <c r="M629">
        <f t="shared" si="81"/>
        <v>0</v>
      </c>
      <c r="N629">
        <f t="shared" si="85"/>
        <v>0</v>
      </c>
      <c r="O629">
        <f t="shared" si="86"/>
        <v>2045.472</v>
      </c>
      <c r="P629">
        <f t="shared" si="87"/>
        <v>511.36799999999999</v>
      </c>
      <c r="Q629">
        <f t="shared" si="88"/>
        <v>521.79990720000001</v>
      </c>
      <c r="R629">
        <f t="shared" si="89"/>
        <v>317.12780000000004</v>
      </c>
      <c r="S629">
        <f t="shared" si="82"/>
        <v>3420.01</v>
      </c>
    </row>
    <row r="630" spans="1:19" x14ac:dyDescent="0.25">
      <c r="A630">
        <v>760</v>
      </c>
      <c r="B630">
        <v>1316</v>
      </c>
      <c r="C630" t="s">
        <v>32</v>
      </c>
      <c r="D630" t="s">
        <v>172</v>
      </c>
      <c r="E630">
        <v>13</v>
      </c>
      <c r="F630">
        <v>20.82</v>
      </c>
      <c r="G630">
        <v>11.22</v>
      </c>
      <c r="H630">
        <v>25.28</v>
      </c>
      <c r="I630">
        <v>1.1299999999999999</v>
      </c>
      <c r="J630">
        <v>381.47</v>
      </c>
      <c r="K630">
        <f t="shared" si="83"/>
        <v>4959.1100000000006</v>
      </c>
      <c r="L630">
        <f t="shared" si="84"/>
        <v>0</v>
      </c>
      <c r="M630">
        <f t="shared" si="81"/>
        <v>0</v>
      </c>
      <c r="N630">
        <f t="shared" si="85"/>
        <v>0</v>
      </c>
      <c r="O630">
        <f t="shared" si="86"/>
        <v>3036.8052000000002</v>
      </c>
      <c r="P630">
        <f t="shared" si="87"/>
        <v>759.20130000000006</v>
      </c>
      <c r="Q630">
        <f t="shared" si="88"/>
        <v>774.68900652000002</v>
      </c>
      <c r="R630">
        <f t="shared" si="89"/>
        <v>371.36319999999995</v>
      </c>
      <c r="S630">
        <f t="shared" si="82"/>
        <v>4959.1100000000006</v>
      </c>
    </row>
    <row r="631" spans="1:19" x14ac:dyDescent="0.25">
      <c r="A631">
        <v>761</v>
      </c>
      <c r="B631">
        <v>1316</v>
      </c>
      <c r="C631" t="s">
        <v>32</v>
      </c>
      <c r="D631" t="s">
        <v>173</v>
      </c>
      <c r="E631">
        <v>13</v>
      </c>
      <c r="F631">
        <v>15.42</v>
      </c>
      <c r="G631">
        <v>2.74</v>
      </c>
      <c r="H631">
        <v>33.71</v>
      </c>
      <c r="I631">
        <v>0.79</v>
      </c>
      <c r="J631">
        <v>87.39</v>
      </c>
      <c r="K631">
        <f t="shared" si="83"/>
        <v>1136.07</v>
      </c>
      <c r="L631">
        <f t="shared" si="84"/>
        <v>1136.07</v>
      </c>
      <c r="M631">
        <f t="shared" si="81"/>
        <v>549.26040000000012</v>
      </c>
      <c r="N631">
        <f t="shared" si="85"/>
        <v>137.31510000000003</v>
      </c>
      <c r="O631">
        <f t="shared" si="86"/>
        <v>549.26040000000012</v>
      </c>
      <c r="P631">
        <f t="shared" si="87"/>
        <v>137.31510000000003</v>
      </c>
      <c r="Q631">
        <f t="shared" si="88"/>
        <v>140.11632804000001</v>
      </c>
      <c r="R631">
        <f t="shared" si="89"/>
        <v>346.20170000000002</v>
      </c>
      <c r="S631">
        <f t="shared" si="82"/>
        <v>1136.07</v>
      </c>
    </row>
    <row r="632" spans="1:19" x14ac:dyDescent="0.25">
      <c r="A632">
        <v>762</v>
      </c>
      <c r="B632">
        <v>1316</v>
      </c>
      <c r="C632" t="s">
        <v>32</v>
      </c>
      <c r="D632" t="s">
        <v>172</v>
      </c>
      <c r="E632">
        <v>39</v>
      </c>
      <c r="F632">
        <v>18.38</v>
      </c>
      <c r="G632">
        <v>10.58</v>
      </c>
      <c r="H632">
        <v>32.659999999999997</v>
      </c>
      <c r="I632">
        <v>1.06</v>
      </c>
      <c r="J632">
        <v>330.46</v>
      </c>
      <c r="K632">
        <f t="shared" si="83"/>
        <v>12887.939999999999</v>
      </c>
      <c r="L632">
        <f t="shared" si="84"/>
        <v>0</v>
      </c>
      <c r="M632">
        <f t="shared" si="81"/>
        <v>0</v>
      </c>
      <c r="N632">
        <f t="shared" si="85"/>
        <v>0</v>
      </c>
      <c r="O632">
        <f t="shared" si="86"/>
        <v>7583.9555999999993</v>
      </c>
      <c r="P632">
        <f t="shared" si="87"/>
        <v>1895.9888999999998</v>
      </c>
      <c r="Q632">
        <f t="shared" si="88"/>
        <v>1934.6670735599998</v>
      </c>
      <c r="R632">
        <f t="shared" si="89"/>
        <v>1350.1643999999999</v>
      </c>
      <c r="S632">
        <f t="shared" si="82"/>
        <v>12887.939999999999</v>
      </c>
    </row>
    <row r="633" spans="1:19" x14ac:dyDescent="0.25">
      <c r="A633">
        <v>763</v>
      </c>
      <c r="B633">
        <v>1316</v>
      </c>
      <c r="C633" t="s">
        <v>32</v>
      </c>
      <c r="D633" t="s">
        <v>172</v>
      </c>
      <c r="E633">
        <v>105</v>
      </c>
      <c r="F633">
        <v>20.21</v>
      </c>
      <c r="G633">
        <v>11</v>
      </c>
      <c r="H633">
        <v>28.45</v>
      </c>
      <c r="I633">
        <v>0.95</v>
      </c>
      <c r="J633">
        <v>362.85</v>
      </c>
      <c r="K633">
        <f t="shared" si="83"/>
        <v>38099.25</v>
      </c>
      <c r="L633">
        <f t="shared" si="84"/>
        <v>0</v>
      </c>
      <c r="M633">
        <f t="shared" si="81"/>
        <v>0</v>
      </c>
      <c r="N633">
        <f t="shared" si="85"/>
        <v>0</v>
      </c>
      <c r="O633">
        <f t="shared" si="86"/>
        <v>23342.55</v>
      </c>
      <c r="P633">
        <f t="shared" si="87"/>
        <v>5835.6374999999998</v>
      </c>
      <c r="Q633">
        <f t="shared" si="88"/>
        <v>5954.6845049999993</v>
      </c>
      <c r="R633">
        <f t="shared" si="89"/>
        <v>2837.8874999999998</v>
      </c>
      <c r="S633">
        <f t="shared" si="82"/>
        <v>38099.25</v>
      </c>
    </row>
    <row r="634" spans="1:19" x14ac:dyDescent="0.25">
      <c r="A634">
        <v>764</v>
      </c>
      <c r="B634">
        <v>1316</v>
      </c>
      <c r="C634" t="s">
        <v>32</v>
      </c>
      <c r="D634" t="s">
        <v>173</v>
      </c>
      <c r="E634">
        <v>9</v>
      </c>
      <c r="F634">
        <v>14.2</v>
      </c>
      <c r="G634">
        <v>2.94</v>
      </c>
      <c r="H634">
        <v>29.2</v>
      </c>
      <c r="I634">
        <v>0.79</v>
      </c>
      <c r="J634">
        <v>82.78</v>
      </c>
      <c r="K634">
        <f t="shared" si="83"/>
        <v>745.02</v>
      </c>
      <c r="L634">
        <f t="shared" si="84"/>
        <v>745.02</v>
      </c>
      <c r="M634">
        <f t="shared" si="81"/>
        <v>375.73199999999997</v>
      </c>
      <c r="N634">
        <f t="shared" si="85"/>
        <v>93.932999999999993</v>
      </c>
      <c r="O634">
        <f t="shared" si="86"/>
        <v>375.73199999999997</v>
      </c>
      <c r="P634">
        <f t="shared" si="87"/>
        <v>93.932999999999993</v>
      </c>
      <c r="Q634">
        <f t="shared" si="88"/>
        <v>95.849233199999986</v>
      </c>
      <c r="R634">
        <f t="shared" si="89"/>
        <v>207.61199999999999</v>
      </c>
      <c r="S634">
        <f t="shared" si="82"/>
        <v>745.02</v>
      </c>
    </row>
    <row r="635" spans="1:19" x14ac:dyDescent="0.25">
      <c r="A635">
        <v>765</v>
      </c>
      <c r="B635">
        <v>1316</v>
      </c>
      <c r="C635" t="s">
        <v>32</v>
      </c>
      <c r="D635" t="s">
        <v>173</v>
      </c>
      <c r="E635">
        <v>27</v>
      </c>
      <c r="F635">
        <v>13.66</v>
      </c>
      <c r="G635">
        <v>3</v>
      </c>
      <c r="H635">
        <v>30.11</v>
      </c>
      <c r="I635">
        <v>0.79</v>
      </c>
      <c r="J635">
        <v>74.260000000000005</v>
      </c>
      <c r="K635">
        <f t="shared" si="83"/>
        <v>2005.0200000000002</v>
      </c>
      <c r="L635">
        <f t="shared" si="84"/>
        <v>2005.0200000000002</v>
      </c>
      <c r="M635">
        <f t="shared" si="81"/>
        <v>1106.46</v>
      </c>
      <c r="N635">
        <f t="shared" si="85"/>
        <v>276.61500000000001</v>
      </c>
      <c r="O635">
        <f t="shared" si="86"/>
        <v>1106.46</v>
      </c>
      <c r="P635">
        <f t="shared" si="87"/>
        <v>276.61500000000001</v>
      </c>
      <c r="Q635">
        <f t="shared" si="88"/>
        <v>282.257946</v>
      </c>
      <c r="R635">
        <f t="shared" si="89"/>
        <v>642.24630000000002</v>
      </c>
      <c r="S635">
        <f t="shared" si="82"/>
        <v>2005.0200000000002</v>
      </c>
    </row>
    <row r="636" spans="1:19" x14ac:dyDescent="0.25">
      <c r="A636">
        <v>766</v>
      </c>
      <c r="B636">
        <v>1316</v>
      </c>
      <c r="C636" t="s">
        <v>32</v>
      </c>
      <c r="D636" t="s">
        <v>172</v>
      </c>
      <c r="E636">
        <v>12</v>
      </c>
      <c r="F636">
        <v>21.04</v>
      </c>
      <c r="G636">
        <v>10.39</v>
      </c>
      <c r="H636">
        <v>32.78</v>
      </c>
      <c r="I636">
        <v>1.05</v>
      </c>
      <c r="J636">
        <v>301.83</v>
      </c>
      <c r="K636">
        <f t="shared" si="83"/>
        <v>3621.96</v>
      </c>
      <c r="L636">
        <f t="shared" si="84"/>
        <v>0</v>
      </c>
      <c r="M636">
        <f t="shared" si="81"/>
        <v>0</v>
      </c>
      <c r="N636">
        <f t="shared" si="85"/>
        <v>0</v>
      </c>
      <c r="O636">
        <f t="shared" si="86"/>
        <v>2623.2672000000002</v>
      </c>
      <c r="P636">
        <f t="shared" si="87"/>
        <v>655.81680000000006</v>
      </c>
      <c r="Q636">
        <f t="shared" si="88"/>
        <v>669.19546272000002</v>
      </c>
      <c r="R636">
        <f t="shared" si="89"/>
        <v>413.02800000000008</v>
      </c>
      <c r="S636">
        <f t="shared" si="82"/>
        <v>3621.96</v>
      </c>
    </row>
    <row r="637" spans="1:19" x14ac:dyDescent="0.25">
      <c r="A637">
        <v>767</v>
      </c>
      <c r="B637">
        <v>1316</v>
      </c>
      <c r="C637" t="s">
        <v>32</v>
      </c>
      <c r="D637" t="s">
        <v>173</v>
      </c>
      <c r="E637">
        <v>18</v>
      </c>
      <c r="F637">
        <v>14.73</v>
      </c>
      <c r="G637">
        <v>3.2</v>
      </c>
      <c r="H637">
        <v>30.03</v>
      </c>
      <c r="I637">
        <v>0.8</v>
      </c>
      <c r="J637">
        <v>91.24</v>
      </c>
      <c r="K637">
        <f t="shared" si="83"/>
        <v>1642.32</v>
      </c>
      <c r="L637">
        <f t="shared" si="84"/>
        <v>1642.32</v>
      </c>
      <c r="M637">
        <f t="shared" si="81"/>
        <v>848.44800000000009</v>
      </c>
      <c r="N637">
        <f t="shared" si="85"/>
        <v>212.11200000000002</v>
      </c>
      <c r="O637">
        <f t="shared" si="86"/>
        <v>848.44800000000009</v>
      </c>
      <c r="P637">
        <f t="shared" si="87"/>
        <v>212.11200000000002</v>
      </c>
      <c r="Q637">
        <f t="shared" si="88"/>
        <v>216.43908480000002</v>
      </c>
      <c r="R637">
        <f t="shared" si="89"/>
        <v>432.43200000000002</v>
      </c>
      <c r="S637">
        <f t="shared" si="82"/>
        <v>1642.32</v>
      </c>
    </row>
    <row r="638" spans="1:19" x14ac:dyDescent="0.25">
      <c r="A638">
        <v>768</v>
      </c>
      <c r="B638">
        <v>1317</v>
      </c>
      <c r="C638" t="s">
        <v>35</v>
      </c>
      <c r="D638" t="s">
        <v>173</v>
      </c>
      <c r="E638">
        <v>8</v>
      </c>
      <c r="F638">
        <v>14.79</v>
      </c>
      <c r="G638">
        <v>2.76</v>
      </c>
      <c r="H638">
        <v>32.44</v>
      </c>
      <c r="I638">
        <v>0.77</v>
      </c>
      <c r="J638">
        <v>83.6</v>
      </c>
      <c r="K638">
        <f t="shared" si="83"/>
        <v>668.8</v>
      </c>
      <c r="L638">
        <f t="shared" si="84"/>
        <v>668.8</v>
      </c>
      <c r="M638">
        <f t="shared" si="81"/>
        <v>326.56319999999994</v>
      </c>
      <c r="N638">
        <f t="shared" si="85"/>
        <v>81.640799999999984</v>
      </c>
      <c r="O638">
        <f t="shared" si="86"/>
        <v>326.56319999999994</v>
      </c>
      <c r="P638">
        <f t="shared" si="87"/>
        <v>81.640799999999984</v>
      </c>
      <c r="Q638">
        <f t="shared" si="88"/>
        <v>83.306272319999977</v>
      </c>
      <c r="R638">
        <f t="shared" si="89"/>
        <v>199.8304</v>
      </c>
      <c r="S638">
        <f t="shared" si="82"/>
        <v>668.8</v>
      </c>
    </row>
    <row r="639" spans="1:19" x14ac:dyDescent="0.25">
      <c r="A639">
        <v>769</v>
      </c>
      <c r="B639">
        <v>1317</v>
      </c>
      <c r="C639" t="s">
        <v>35</v>
      </c>
      <c r="D639" t="s">
        <v>173</v>
      </c>
      <c r="E639">
        <v>11</v>
      </c>
      <c r="F639">
        <v>14.48</v>
      </c>
      <c r="G639">
        <v>2.83</v>
      </c>
      <c r="H639">
        <v>33.869999999999997</v>
      </c>
      <c r="I639">
        <v>0.84</v>
      </c>
      <c r="J639">
        <v>87.64</v>
      </c>
      <c r="K639">
        <f t="shared" si="83"/>
        <v>964.04</v>
      </c>
      <c r="L639">
        <f t="shared" si="84"/>
        <v>964.04</v>
      </c>
      <c r="M639">
        <f t="shared" si="81"/>
        <v>450.76240000000007</v>
      </c>
      <c r="N639">
        <f t="shared" si="85"/>
        <v>112.69060000000002</v>
      </c>
      <c r="O639">
        <f t="shared" si="86"/>
        <v>450.76240000000007</v>
      </c>
      <c r="P639">
        <f t="shared" si="87"/>
        <v>112.69060000000002</v>
      </c>
      <c r="Q639">
        <f t="shared" si="88"/>
        <v>114.98948824000001</v>
      </c>
      <c r="R639">
        <f t="shared" si="89"/>
        <v>312.9588</v>
      </c>
      <c r="S639">
        <f t="shared" si="82"/>
        <v>964.04</v>
      </c>
    </row>
    <row r="640" spans="1:19" x14ac:dyDescent="0.25">
      <c r="A640">
        <v>770</v>
      </c>
      <c r="B640">
        <v>1317</v>
      </c>
      <c r="C640" t="s">
        <v>35</v>
      </c>
      <c r="D640" t="s">
        <v>173</v>
      </c>
      <c r="E640">
        <v>33</v>
      </c>
      <c r="F640">
        <v>13.83</v>
      </c>
      <c r="G640">
        <v>3.08</v>
      </c>
      <c r="H640">
        <v>29.26</v>
      </c>
      <c r="I640">
        <v>0.82</v>
      </c>
      <c r="J640">
        <v>84.96</v>
      </c>
      <c r="K640">
        <f t="shared" si="83"/>
        <v>2803.68</v>
      </c>
      <c r="L640">
        <f t="shared" si="84"/>
        <v>2803.68</v>
      </c>
      <c r="M640">
        <f t="shared" si="81"/>
        <v>1405.6812</v>
      </c>
      <c r="N640">
        <f t="shared" si="85"/>
        <v>351.4203</v>
      </c>
      <c r="O640">
        <f t="shared" si="86"/>
        <v>1405.6812</v>
      </c>
      <c r="P640">
        <f t="shared" si="87"/>
        <v>351.4203</v>
      </c>
      <c r="Q640">
        <f t="shared" si="88"/>
        <v>358.58927411999997</v>
      </c>
      <c r="R640">
        <f t="shared" si="89"/>
        <v>791.77560000000005</v>
      </c>
      <c r="S640">
        <f t="shared" si="82"/>
        <v>2803.68</v>
      </c>
    </row>
    <row r="641" spans="1:19" x14ac:dyDescent="0.25">
      <c r="A641">
        <v>771</v>
      </c>
      <c r="B641">
        <v>1317</v>
      </c>
      <c r="C641" t="s">
        <v>35</v>
      </c>
      <c r="D641" t="s">
        <v>173</v>
      </c>
      <c r="E641">
        <v>32</v>
      </c>
      <c r="F641">
        <v>12.89</v>
      </c>
      <c r="G641">
        <v>2.57</v>
      </c>
      <c r="H641">
        <v>29.62</v>
      </c>
      <c r="I641">
        <v>0.81</v>
      </c>
      <c r="J641">
        <v>71.94</v>
      </c>
      <c r="K641">
        <f t="shared" si="83"/>
        <v>2302.08</v>
      </c>
      <c r="L641">
        <f t="shared" si="84"/>
        <v>2302.08</v>
      </c>
      <c r="M641">
        <f t="shared" si="81"/>
        <v>1060.0735999999999</v>
      </c>
      <c r="N641">
        <f t="shared" si="85"/>
        <v>265.01839999999999</v>
      </c>
      <c r="O641">
        <f t="shared" si="86"/>
        <v>1060.0735999999999</v>
      </c>
      <c r="P641">
        <f t="shared" si="87"/>
        <v>265.01839999999999</v>
      </c>
      <c r="Q641">
        <f t="shared" si="88"/>
        <v>270.42477535999996</v>
      </c>
      <c r="R641">
        <f t="shared" si="89"/>
        <v>767.75040000000013</v>
      </c>
      <c r="S641">
        <f t="shared" si="82"/>
        <v>2302.08</v>
      </c>
    </row>
    <row r="642" spans="1:19" x14ac:dyDescent="0.25">
      <c r="A642">
        <v>772</v>
      </c>
      <c r="B642">
        <v>1317</v>
      </c>
      <c r="C642" t="s">
        <v>35</v>
      </c>
      <c r="D642" t="s">
        <v>172</v>
      </c>
      <c r="E642">
        <v>12</v>
      </c>
      <c r="F642">
        <v>19.36</v>
      </c>
      <c r="G642">
        <v>10.94</v>
      </c>
      <c r="H642">
        <v>31.72</v>
      </c>
      <c r="I642">
        <v>0.96</v>
      </c>
      <c r="J642">
        <v>351.29</v>
      </c>
      <c r="K642">
        <f t="shared" si="83"/>
        <v>4215.4800000000005</v>
      </c>
      <c r="L642">
        <f t="shared" si="84"/>
        <v>0</v>
      </c>
      <c r="M642">
        <f t="shared" ref="M642:M705" si="90">IF(D642="SHOES",O642,0)</f>
        <v>0</v>
      </c>
      <c r="N642">
        <f t="shared" si="85"/>
        <v>0</v>
      </c>
      <c r="O642">
        <f t="shared" si="86"/>
        <v>2541.5807999999997</v>
      </c>
      <c r="P642">
        <f t="shared" si="87"/>
        <v>635.39519999999993</v>
      </c>
      <c r="Q642">
        <f t="shared" si="88"/>
        <v>648.35726207999994</v>
      </c>
      <c r="R642">
        <f t="shared" si="89"/>
        <v>365.4144</v>
      </c>
      <c r="S642">
        <f t="shared" ref="S642:S705" si="91">PRODUCT(J642,E642)</f>
        <v>4215.4800000000005</v>
      </c>
    </row>
    <row r="643" spans="1:19" x14ac:dyDescent="0.25">
      <c r="A643">
        <v>773</v>
      </c>
      <c r="B643">
        <v>1317</v>
      </c>
      <c r="C643" t="s">
        <v>35</v>
      </c>
      <c r="D643" t="s">
        <v>172</v>
      </c>
      <c r="E643">
        <v>51</v>
      </c>
      <c r="F643">
        <v>20.77</v>
      </c>
      <c r="G643">
        <v>10.72</v>
      </c>
      <c r="H643">
        <v>34.08</v>
      </c>
      <c r="I643">
        <v>0.98</v>
      </c>
      <c r="J643">
        <v>370.94</v>
      </c>
      <c r="K643">
        <f t="shared" ref="K643:K706" si="92">E643*J643</f>
        <v>18917.939999999999</v>
      </c>
      <c r="L643">
        <f t="shared" ref="L643:L706" si="93">IF(D643="SHOES",E643*J643,0)</f>
        <v>0</v>
      </c>
      <c r="M643">
        <f t="shared" si="90"/>
        <v>0</v>
      </c>
      <c r="N643">
        <f t="shared" ref="N643:N706" si="94">IF(D643="SHOES",P643,0)</f>
        <v>0</v>
      </c>
      <c r="O643">
        <f t="shared" ref="O643:O706" si="95">PRODUCT(E643,G643,F643)</f>
        <v>11355.374400000001</v>
      </c>
      <c r="P643">
        <f t="shared" ref="P643:P706" si="96">PRODUCT(O643,0.25)</f>
        <v>2838.8436000000002</v>
      </c>
      <c r="Q643">
        <f t="shared" ref="Q643:Q706" si="97">PRODUCT(O643,0.2551)</f>
        <v>2896.7560094400001</v>
      </c>
      <c r="R643">
        <f t="shared" si="89"/>
        <v>1703.3183999999999</v>
      </c>
      <c r="S643">
        <f t="shared" si="91"/>
        <v>18917.939999999999</v>
      </c>
    </row>
    <row r="644" spans="1:19" x14ac:dyDescent="0.25">
      <c r="A644">
        <v>774</v>
      </c>
      <c r="B644">
        <v>1317</v>
      </c>
      <c r="C644" t="s">
        <v>35</v>
      </c>
      <c r="D644" t="s">
        <v>173</v>
      </c>
      <c r="E644">
        <v>16</v>
      </c>
      <c r="F644">
        <v>14.67</v>
      </c>
      <c r="G644">
        <v>3</v>
      </c>
      <c r="H644">
        <v>31.97</v>
      </c>
      <c r="I644">
        <v>0.82</v>
      </c>
      <c r="J644">
        <v>89.35</v>
      </c>
      <c r="K644">
        <f t="shared" si="92"/>
        <v>1429.6</v>
      </c>
      <c r="L644">
        <f t="shared" si="93"/>
        <v>1429.6</v>
      </c>
      <c r="M644">
        <f t="shared" si="90"/>
        <v>704.16</v>
      </c>
      <c r="N644">
        <f t="shared" si="94"/>
        <v>176.04</v>
      </c>
      <c r="O644">
        <f t="shared" si="95"/>
        <v>704.16</v>
      </c>
      <c r="P644">
        <f t="shared" si="96"/>
        <v>176.04</v>
      </c>
      <c r="Q644">
        <f t="shared" si="97"/>
        <v>179.63121599999999</v>
      </c>
      <c r="R644">
        <f t="shared" ref="R644:R707" si="98">PRODUCT(E644,I644,H644)</f>
        <v>419.44639999999998</v>
      </c>
      <c r="S644">
        <f t="shared" si="91"/>
        <v>1429.6</v>
      </c>
    </row>
    <row r="645" spans="1:19" x14ac:dyDescent="0.25">
      <c r="A645">
        <v>775</v>
      </c>
      <c r="B645">
        <v>1317</v>
      </c>
      <c r="C645" t="s">
        <v>35</v>
      </c>
      <c r="D645" t="s">
        <v>172</v>
      </c>
      <c r="E645">
        <v>12</v>
      </c>
      <c r="F645">
        <v>19.77</v>
      </c>
      <c r="G645">
        <v>10.85</v>
      </c>
      <c r="H645">
        <v>35.89</v>
      </c>
      <c r="I645">
        <v>1.0900000000000001</v>
      </c>
      <c r="J645">
        <v>365.63</v>
      </c>
      <c r="K645">
        <f t="shared" si="92"/>
        <v>4387.5599999999995</v>
      </c>
      <c r="L645">
        <f t="shared" si="93"/>
        <v>0</v>
      </c>
      <c r="M645">
        <f t="shared" si="90"/>
        <v>0</v>
      </c>
      <c r="N645">
        <f t="shared" si="94"/>
        <v>0</v>
      </c>
      <c r="O645">
        <f t="shared" si="95"/>
        <v>2574.0539999999996</v>
      </c>
      <c r="P645">
        <f t="shared" si="96"/>
        <v>643.51349999999991</v>
      </c>
      <c r="Q645">
        <f t="shared" si="97"/>
        <v>656.64117539999984</v>
      </c>
      <c r="R645">
        <f t="shared" si="98"/>
        <v>469.44120000000009</v>
      </c>
      <c r="S645">
        <f t="shared" si="91"/>
        <v>4387.5599999999995</v>
      </c>
    </row>
    <row r="646" spans="1:19" x14ac:dyDescent="0.25">
      <c r="A646">
        <v>776</v>
      </c>
      <c r="B646">
        <v>1318</v>
      </c>
      <c r="C646" t="s">
        <v>34</v>
      </c>
      <c r="D646" t="s">
        <v>172</v>
      </c>
      <c r="E646">
        <v>11</v>
      </c>
      <c r="F646">
        <v>19.510000000000002</v>
      </c>
      <c r="G646">
        <v>10.72</v>
      </c>
      <c r="H646">
        <v>35.79</v>
      </c>
      <c r="I646">
        <v>0.97</v>
      </c>
      <c r="J646">
        <v>352.42</v>
      </c>
      <c r="K646">
        <f t="shared" si="92"/>
        <v>3876.6200000000003</v>
      </c>
      <c r="L646">
        <f t="shared" si="93"/>
        <v>0</v>
      </c>
      <c r="M646">
        <f t="shared" si="90"/>
        <v>0</v>
      </c>
      <c r="N646">
        <f t="shared" si="94"/>
        <v>0</v>
      </c>
      <c r="O646">
        <f t="shared" si="95"/>
        <v>2300.6192000000001</v>
      </c>
      <c r="P646">
        <f t="shared" si="96"/>
        <v>575.15480000000002</v>
      </c>
      <c r="Q646">
        <f t="shared" si="97"/>
        <v>586.88795791999996</v>
      </c>
      <c r="R646">
        <f t="shared" si="98"/>
        <v>381.8793</v>
      </c>
      <c r="S646">
        <f t="shared" si="91"/>
        <v>3876.6200000000003</v>
      </c>
    </row>
    <row r="647" spans="1:19" x14ac:dyDescent="0.25">
      <c r="A647">
        <v>777</v>
      </c>
      <c r="B647">
        <v>1318</v>
      </c>
      <c r="C647" t="s">
        <v>34</v>
      </c>
      <c r="D647" t="s">
        <v>173</v>
      </c>
      <c r="E647">
        <v>21</v>
      </c>
      <c r="F647">
        <v>14.52</v>
      </c>
      <c r="G647">
        <v>3.12</v>
      </c>
      <c r="H647">
        <v>28.93</v>
      </c>
      <c r="I647">
        <v>0.79</v>
      </c>
      <c r="J647">
        <v>87.43</v>
      </c>
      <c r="K647">
        <f t="shared" si="92"/>
        <v>1836.0300000000002</v>
      </c>
      <c r="L647">
        <f t="shared" si="93"/>
        <v>1836.0300000000002</v>
      </c>
      <c r="M647">
        <f t="shared" si="90"/>
        <v>951.35039999999992</v>
      </c>
      <c r="N647">
        <f t="shared" si="94"/>
        <v>237.83759999999998</v>
      </c>
      <c r="O647">
        <f t="shared" si="95"/>
        <v>951.35039999999992</v>
      </c>
      <c r="P647">
        <f t="shared" si="96"/>
        <v>237.83759999999998</v>
      </c>
      <c r="Q647">
        <f t="shared" si="97"/>
        <v>242.68948703999996</v>
      </c>
      <c r="R647">
        <f t="shared" si="98"/>
        <v>479.94869999999997</v>
      </c>
      <c r="S647">
        <f t="shared" si="91"/>
        <v>1836.0300000000002</v>
      </c>
    </row>
    <row r="648" spans="1:19" x14ac:dyDescent="0.25">
      <c r="A648">
        <v>778</v>
      </c>
      <c r="B648">
        <v>1318</v>
      </c>
      <c r="C648" t="s">
        <v>34</v>
      </c>
      <c r="D648" t="s">
        <v>172</v>
      </c>
      <c r="E648">
        <v>13</v>
      </c>
      <c r="F648">
        <v>19.829999999999998</v>
      </c>
      <c r="G648">
        <v>11.52</v>
      </c>
      <c r="H648">
        <v>28.93</v>
      </c>
      <c r="I648">
        <v>1.1000000000000001</v>
      </c>
      <c r="J648">
        <v>377.68</v>
      </c>
      <c r="K648">
        <f t="shared" si="92"/>
        <v>4909.84</v>
      </c>
      <c r="L648">
        <f t="shared" si="93"/>
        <v>0</v>
      </c>
      <c r="M648">
        <f t="shared" si="90"/>
        <v>0</v>
      </c>
      <c r="N648">
        <f t="shared" si="94"/>
        <v>0</v>
      </c>
      <c r="O648">
        <f t="shared" si="95"/>
        <v>2969.7407999999996</v>
      </c>
      <c r="P648">
        <f t="shared" si="96"/>
        <v>742.4351999999999</v>
      </c>
      <c r="Q648">
        <f t="shared" si="97"/>
        <v>757.58087807999982</v>
      </c>
      <c r="R648">
        <f t="shared" si="98"/>
        <v>413.69900000000001</v>
      </c>
      <c r="S648">
        <f t="shared" si="91"/>
        <v>4909.84</v>
      </c>
    </row>
    <row r="649" spans="1:19" x14ac:dyDescent="0.25">
      <c r="A649">
        <v>779</v>
      </c>
      <c r="B649">
        <v>1318</v>
      </c>
      <c r="C649" t="s">
        <v>34</v>
      </c>
      <c r="D649" t="s">
        <v>172</v>
      </c>
      <c r="E649">
        <v>7</v>
      </c>
      <c r="F649">
        <v>20.010000000000002</v>
      </c>
      <c r="G649">
        <v>10.73</v>
      </c>
      <c r="H649">
        <v>26.81</v>
      </c>
      <c r="I649">
        <v>1.04</v>
      </c>
      <c r="J649">
        <v>352.56</v>
      </c>
      <c r="K649">
        <f t="shared" si="92"/>
        <v>2467.92</v>
      </c>
      <c r="L649">
        <f t="shared" si="93"/>
        <v>0</v>
      </c>
      <c r="M649">
        <f t="shared" si="90"/>
        <v>0</v>
      </c>
      <c r="N649">
        <f t="shared" si="94"/>
        <v>0</v>
      </c>
      <c r="O649">
        <f t="shared" si="95"/>
        <v>1502.9511</v>
      </c>
      <c r="P649">
        <f t="shared" si="96"/>
        <v>375.737775</v>
      </c>
      <c r="Q649">
        <f t="shared" si="97"/>
        <v>383.40282560999998</v>
      </c>
      <c r="R649">
        <f t="shared" si="98"/>
        <v>195.17679999999999</v>
      </c>
      <c r="S649">
        <f t="shared" si="91"/>
        <v>2467.92</v>
      </c>
    </row>
    <row r="650" spans="1:19" x14ac:dyDescent="0.25">
      <c r="A650">
        <v>780</v>
      </c>
      <c r="B650">
        <v>1318</v>
      </c>
      <c r="C650" t="s">
        <v>34</v>
      </c>
      <c r="D650" t="s">
        <v>173</v>
      </c>
      <c r="E650">
        <v>24</v>
      </c>
      <c r="F650">
        <v>16.18</v>
      </c>
      <c r="G650">
        <v>2.8</v>
      </c>
      <c r="H650">
        <v>30.26</v>
      </c>
      <c r="I650">
        <v>0.79</v>
      </c>
      <c r="J650">
        <v>88.59</v>
      </c>
      <c r="K650">
        <f t="shared" si="92"/>
        <v>2126.16</v>
      </c>
      <c r="L650">
        <f t="shared" si="93"/>
        <v>2126.16</v>
      </c>
      <c r="M650">
        <f t="shared" si="90"/>
        <v>1087.2959999999998</v>
      </c>
      <c r="N650">
        <f t="shared" si="94"/>
        <v>271.82399999999996</v>
      </c>
      <c r="O650">
        <f t="shared" si="95"/>
        <v>1087.2959999999998</v>
      </c>
      <c r="P650">
        <f t="shared" si="96"/>
        <v>271.82399999999996</v>
      </c>
      <c r="Q650">
        <f t="shared" si="97"/>
        <v>277.36920959999992</v>
      </c>
      <c r="R650">
        <f t="shared" si="98"/>
        <v>573.7296</v>
      </c>
      <c r="S650">
        <f t="shared" si="91"/>
        <v>2126.16</v>
      </c>
    </row>
    <row r="651" spans="1:19" x14ac:dyDescent="0.25">
      <c r="A651">
        <v>781</v>
      </c>
      <c r="B651">
        <v>1318</v>
      </c>
      <c r="C651" t="s">
        <v>34</v>
      </c>
      <c r="D651" t="s">
        <v>173</v>
      </c>
      <c r="E651">
        <v>12</v>
      </c>
      <c r="F651">
        <v>15.11</v>
      </c>
      <c r="G651">
        <v>2.79</v>
      </c>
      <c r="H651">
        <v>29.48</v>
      </c>
      <c r="I651">
        <v>0.81</v>
      </c>
      <c r="J651">
        <v>84.23</v>
      </c>
      <c r="K651">
        <f t="shared" si="92"/>
        <v>1010.76</v>
      </c>
      <c r="L651">
        <f t="shared" si="93"/>
        <v>1010.76</v>
      </c>
      <c r="M651">
        <f t="shared" si="90"/>
        <v>505.88280000000003</v>
      </c>
      <c r="N651">
        <f t="shared" si="94"/>
        <v>126.47070000000001</v>
      </c>
      <c r="O651">
        <f t="shared" si="95"/>
        <v>505.88280000000003</v>
      </c>
      <c r="P651">
        <f t="shared" si="96"/>
        <v>126.47070000000001</v>
      </c>
      <c r="Q651">
        <f t="shared" si="97"/>
        <v>129.05070228</v>
      </c>
      <c r="R651">
        <f t="shared" si="98"/>
        <v>286.54560000000004</v>
      </c>
      <c r="S651">
        <f t="shared" si="91"/>
        <v>1010.76</v>
      </c>
    </row>
    <row r="652" spans="1:19" x14ac:dyDescent="0.25">
      <c r="A652">
        <v>782</v>
      </c>
      <c r="B652">
        <v>1318</v>
      </c>
      <c r="C652" t="s">
        <v>34</v>
      </c>
      <c r="D652" t="s">
        <v>173</v>
      </c>
      <c r="E652">
        <v>15</v>
      </c>
      <c r="F652">
        <v>15.73</v>
      </c>
      <c r="G652">
        <v>3.11</v>
      </c>
      <c r="H652">
        <v>33.99</v>
      </c>
      <c r="I652">
        <v>0.77</v>
      </c>
      <c r="J652">
        <v>96.05</v>
      </c>
      <c r="K652">
        <f t="shared" si="92"/>
        <v>1440.75</v>
      </c>
      <c r="L652">
        <f t="shared" si="93"/>
        <v>1440.75</v>
      </c>
      <c r="M652">
        <f t="shared" si="90"/>
        <v>733.80449999999996</v>
      </c>
      <c r="N652">
        <f t="shared" si="94"/>
        <v>183.45112499999999</v>
      </c>
      <c r="O652">
        <f t="shared" si="95"/>
        <v>733.80449999999996</v>
      </c>
      <c r="P652">
        <f t="shared" si="96"/>
        <v>183.45112499999999</v>
      </c>
      <c r="Q652">
        <f t="shared" si="97"/>
        <v>187.19352794999998</v>
      </c>
      <c r="R652">
        <f t="shared" si="98"/>
        <v>392.58450000000005</v>
      </c>
      <c r="S652">
        <f t="shared" si="91"/>
        <v>1440.75</v>
      </c>
    </row>
    <row r="653" spans="1:19" x14ac:dyDescent="0.25">
      <c r="A653">
        <v>783</v>
      </c>
      <c r="B653">
        <v>1319</v>
      </c>
      <c r="C653" t="s">
        <v>35</v>
      </c>
      <c r="D653" t="s">
        <v>173</v>
      </c>
      <c r="E653">
        <v>22</v>
      </c>
      <c r="F653">
        <v>14</v>
      </c>
      <c r="G653">
        <v>2.67</v>
      </c>
      <c r="H653">
        <v>27.23</v>
      </c>
      <c r="I653">
        <v>0.84</v>
      </c>
      <c r="J653">
        <v>76.56</v>
      </c>
      <c r="K653">
        <f t="shared" si="92"/>
        <v>1684.3200000000002</v>
      </c>
      <c r="L653">
        <f t="shared" si="93"/>
        <v>1684.3200000000002</v>
      </c>
      <c r="M653">
        <f t="shared" si="90"/>
        <v>822.3599999999999</v>
      </c>
      <c r="N653">
        <f t="shared" si="94"/>
        <v>205.58999999999997</v>
      </c>
      <c r="O653">
        <f t="shared" si="95"/>
        <v>822.3599999999999</v>
      </c>
      <c r="P653">
        <f t="shared" si="96"/>
        <v>205.58999999999997</v>
      </c>
      <c r="Q653">
        <f t="shared" si="97"/>
        <v>209.78403599999996</v>
      </c>
      <c r="R653">
        <f t="shared" si="98"/>
        <v>503.21039999999999</v>
      </c>
      <c r="S653">
        <f t="shared" si="91"/>
        <v>1684.3200000000002</v>
      </c>
    </row>
    <row r="654" spans="1:19" x14ac:dyDescent="0.25">
      <c r="A654">
        <v>784</v>
      </c>
      <c r="B654">
        <v>1319</v>
      </c>
      <c r="C654" t="s">
        <v>35</v>
      </c>
      <c r="D654" t="s">
        <v>172</v>
      </c>
      <c r="E654">
        <v>28</v>
      </c>
      <c r="F654">
        <v>20.95</v>
      </c>
      <c r="G654">
        <v>12.11</v>
      </c>
      <c r="H654">
        <v>24.44</v>
      </c>
      <c r="I654">
        <v>1</v>
      </c>
      <c r="J654">
        <v>406.47</v>
      </c>
      <c r="K654">
        <f t="shared" si="92"/>
        <v>11381.16</v>
      </c>
      <c r="L654">
        <f t="shared" si="93"/>
        <v>0</v>
      </c>
      <c r="M654">
        <f t="shared" si="90"/>
        <v>0</v>
      </c>
      <c r="N654">
        <f t="shared" si="94"/>
        <v>0</v>
      </c>
      <c r="O654">
        <f t="shared" si="95"/>
        <v>7103.7259999999997</v>
      </c>
      <c r="P654">
        <f t="shared" si="96"/>
        <v>1775.9314999999999</v>
      </c>
      <c r="Q654">
        <f t="shared" si="97"/>
        <v>1812.1605026</v>
      </c>
      <c r="R654">
        <f t="shared" si="98"/>
        <v>684.32</v>
      </c>
      <c r="S654">
        <f t="shared" si="91"/>
        <v>11381.16</v>
      </c>
    </row>
    <row r="655" spans="1:19" x14ac:dyDescent="0.25">
      <c r="A655">
        <v>785</v>
      </c>
      <c r="B655">
        <v>1319</v>
      </c>
      <c r="C655" t="s">
        <v>35</v>
      </c>
      <c r="D655" t="s">
        <v>172</v>
      </c>
      <c r="E655">
        <v>15</v>
      </c>
      <c r="F655">
        <v>20.23</v>
      </c>
      <c r="G655">
        <v>10.8</v>
      </c>
      <c r="H655">
        <v>32.42</v>
      </c>
      <c r="I655">
        <v>1.06</v>
      </c>
      <c r="J655">
        <v>365.89</v>
      </c>
      <c r="K655">
        <f t="shared" si="92"/>
        <v>5488.3499999999995</v>
      </c>
      <c r="L655">
        <f t="shared" si="93"/>
        <v>0</v>
      </c>
      <c r="M655">
        <f t="shared" si="90"/>
        <v>0</v>
      </c>
      <c r="N655">
        <f t="shared" si="94"/>
        <v>0</v>
      </c>
      <c r="O655">
        <f t="shared" si="95"/>
        <v>3277.26</v>
      </c>
      <c r="P655">
        <f t="shared" si="96"/>
        <v>819.31500000000005</v>
      </c>
      <c r="Q655">
        <f t="shared" si="97"/>
        <v>836.02902600000004</v>
      </c>
      <c r="R655">
        <f t="shared" si="98"/>
        <v>515.47800000000007</v>
      </c>
      <c r="S655">
        <f t="shared" si="91"/>
        <v>5488.3499999999995</v>
      </c>
    </row>
    <row r="656" spans="1:19" x14ac:dyDescent="0.25">
      <c r="A656">
        <v>786</v>
      </c>
      <c r="B656">
        <v>1319</v>
      </c>
      <c r="C656" t="s">
        <v>35</v>
      </c>
      <c r="D656" t="s">
        <v>172</v>
      </c>
      <c r="E656">
        <v>43</v>
      </c>
      <c r="F656">
        <v>19.02</v>
      </c>
      <c r="G656">
        <v>12.13</v>
      </c>
      <c r="H656">
        <v>31.95</v>
      </c>
      <c r="I656">
        <v>1</v>
      </c>
      <c r="J656">
        <v>308.17</v>
      </c>
      <c r="K656">
        <f t="shared" si="92"/>
        <v>13251.310000000001</v>
      </c>
      <c r="L656">
        <f t="shared" si="93"/>
        <v>0</v>
      </c>
      <c r="M656">
        <f t="shared" si="90"/>
        <v>0</v>
      </c>
      <c r="N656">
        <f t="shared" si="94"/>
        <v>0</v>
      </c>
      <c r="O656">
        <f t="shared" si="95"/>
        <v>9920.6418000000012</v>
      </c>
      <c r="P656">
        <f t="shared" si="96"/>
        <v>2480.1604500000003</v>
      </c>
      <c r="Q656">
        <f t="shared" si="97"/>
        <v>2530.7557231800001</v>
      </c>
      <c r="R656">
        <f t="shared" si="98"/>
        <v>1373.85</v>
      </c>
      <c r="S656">
        <f t="shared" si="91"/>
        <v>13251.310000000001</v>
      </c>
    </row>
    <row r="657" spans="1:19" x14ac:dyDescent="0.25">
      <c r="A657">
        <v>787</v>
      </c>
      <c r="B657">
        <v>1319</v>
      </c>
      <c r="C657" t="s">
        <v>35</v>
      </c>
      <c r="D657" t="s">
        <v>172</v>
      </c>
      <c r="E657">
        <v>15</v>
      </c>
      <c r="F657">
        <v>20.8</v>
      </c>
      <c r="G657">
        <v>11.16</v>
      </c>
      <c r="H657">
        <v>28.75</v>
      </c>
      <c r="I657">
        <v>0.95</v>
      </c>
      <c r="J657">
        <v>377.79</v>
      </c>
      <c r="K657">
        <f t="shared" si="92"/>
        <v>5666.85</v>
      </c>
      <c r="L657">
        <f t="shared" si="93"/>
        <v>0</v>
      </c>
      <c r="M657">
        <f t="shared" si="90"/>
        <v>0</v>
      </c>
      <c r="N657">
        <f t="shared" si="94"/>
        <v>0</v>
      </c>
      <c r="O657">
        <f t="shared" si="95"/>
        <v>3481.92</v>
      </c>
      <c r="P657">
        <f t="shared" si="96"/>
        <v>870.48</v>
      </c>
      <c r="Q657">
        <f t="shared" si="97"/>
        <v>888.23779200000001</v>
      </c>
      <c r="R657">
        <f t="shared" si="98"/>
        <v>409.6875</v>
      </c>
      <c r="S657">
        <f t="shared" si="91"/>
        <v>5666.85</v>
      </c>
    </row>
    <row r="658" spans="1:19" x14ac:dyDescent="0.25">
      <c r="A658">
        <v>788</v>
      </c>
      <c r="B658">
        <v>1319</v>
      </c>
      <c r="C658" t="s">
        <v>35</v>
      </c>
      <c r="D658" t="s">
        <v>173</v>
      </c>
      <c r="E658">
        <v>19</v>
      </c>
      <c r="F658">
        <v>16.05</v>
      </c>
      <c r="G658">
        <v>3.17</v>
      </c>
      <c r="H658">
        <v>37.15</v>
      </c>
      <c r="I658">
        <v>0.8</v>
      </c>
      <c r="J658">
        <v>102.65</v>
      </c>
      <c r="K658">
        <f t="shared" si="92"/>
        <v>1950.3500000000001</v>
      </c>
      <c r="L658">
        <f t="shared" si="93"/>
        <v>1950.3500000000001</v>
      </c>
      <c r="M658">
        <f t="shared" si="90"/>
        <v>966.69150000000002</v>
      </c>
      <c r="N658">
        <f t="shared" si="94"/>
        <v>241.672875</v>
      </c>
      <c r="O658">
        <f t="shared" si="95"/>
        <v>966.69150000000002</v>
      </c>
      <c r="P658">
        <f t="shared" si="96"/>
        <v>241.672875</v>
      </c>
      <c r="Q658">
        <f t="shared" si="97"/>
        <v>246.60300165000001</v>
      </c>
      <c r="R658">
        <f t="shared" si="98"/>
        <v>564.68000000000006</v>
      </c>
      <c r="S658">
        <f t="shared" si="91"/>
        <v>1950.3500000000001</v>
      </c>
    </row>
    <row r="659" spans="1:19" x14ac:dyDescent="0.25">
      <c r="A659">
        <v>789</v>
      </c>
      <c r="B659">
        <v>1319</v>
      </c>
      <c r="C659" t="s">
        <v>35</v>
      </c>
      <c r="D659" t="s">
        <v>173</v>
      </c>
      <c r="E659">
        <v>8</v>
      </c>
      <c r="F659">
        <v>15.61</v>
      </c>
      <c r="G659">
        <v>2.4900000000000002</v>
      </c>
      <c r="H659">
        <v>32.299999999999997</v>
      </c>
      <c r="I659">
        <v>0.8</v>
      </c>
      <c r="J659">
        <v>81.87</v>
      </c>
      <c r="K659">
        <f t="shared" si="92"/>
        <v>654.96</v>
      </c>
      <c r="L659">
        <f t="shared" si="93"/>
        <v>654.96</v>
      </c>
      <c r="M659">
        <f t="shared" si="90"/>
        <v>310.95120000000003</v>
      </c>
      <c r="N659">
        <f t="shared" si="94"/>
        <v>77.737800000000007</v>
      </c>
      <c r="O659">
        <f t="shared" si="95"/>
        <v>310.95120000000003</v>
      </c>
      <c r="P659">
        <f t="shared" si="96"/>
        <v>77.737800000000007</v>
      </c>
      <c r="Q659">
        <f t="shared" si="97"/>
        <v>79.323651120000008</v>
      </c>
      <c r="R659">
        <f t="shared" si="98"/>
        <v>206.72</v>
      </c>
      <c r="S659">
        <f t="shared" si="91"/>
        <v>654.96</v>
      </c>
    </row>
    <row r="660" spans="1:19" x14ac:dyDescent="0.25">
      <c r="A660">
        <v>790</v>
      </c>
      <c r="B660">
        <v>1319</v>
      </c>
      <c r="C660" t="s">
        <v>35</v>
      </c>
      <c r="D660" t="s">
        <v>172</v>
      </c>
      <c r="E660">
        <v>11</v>
      </c>
      <c r="F660">
        <v>20.350000000000001</v>
      </c>
      <c r="G660">
        <v>10.9</v>
      </c>
      <c r="H660">
        <v>35.380000000000003</v>
      </c>
      <c r="I660">
        <v>1.1100000000000001</v>
      </c>
      <c r="J660">
        <v>376.68</v>
      </c>
      <c r="K660">
        <f t="shared" si="92"/>
        <v>4143.4800000000005</v>
      </c>
      <c r="L660">
        <f t="shared" si="93"/>
        <v>0</v>
      </c>
      <c r="M660">
        <f t="shared" si="90"/>
        <v>0</v>
      </c>
      <c r="N660">
        <f t="shared" si="94"/>
        <v>0</v>
      </c>
      <c r="O660">
        <f t="shared" si="95"/>
        <v>2439.9650000000001</v>
      </c>
      <c r="P660">
        <f t="shared" si="96"/>
        <v>609.99125000000004</v>
      </c>
      <c r="Q660">
        <f t="shared" si="97"/>
        <v>622.43507150000005</v>
      </c>
      <c r="R660">
        <f t="shared" si="98"/>
        <v>431.98980000000006</v>
      </c>
      <c r="S660">
        <f t="shared" si="91"/>
        <v>4143.4800000000005</v>
      </c>
    </row>
    <row r="661" spans="1:19" x14ac:dyDescent="0.25">
      <c r="A661">
        <v>791</v>
      </c>
      <c r="B661">
        <v>1319</v>
      </c>
      <c r="C661" t="s">
        <v>35</v>
      </c>
      <c r="D661" t="s">
        <v>172</v>
      </c>
      <c r="E661">
        <v>11</v>
      </c>
      <c r="F661">
        <v>17.850000000000001</v>
      </c>
      <c r="G661">
        <v>10.42</v>
      </c>
      <c r="H661">
        <v>35.950000000000003</v>
      </c>
      <c r="I661">
        <v>0.91</v>
      </c>
      <c r="J661">
        <v>315.60000000000002</v>
      </c>
      <c r="K661">
        <f t="shared" si="92"/>
        <v>3471.6000000000004</v>
      </c>
      <c r="L661">
        <f t="shared" si="93"/>
        <v>0</v>
      </c>
      <c r="M661">
        <f t="shared" si="90"/>
        <v>0</v>
      </c>
      <c r="N661">
        <f t="shared" si="94"/>
        <v>0</v>
      </c>
      <c r="O661">
        <f t="shared" si="95"/>
        <v>2045.9670000000003</v>
      </c>
      <c r="P661">
        <f t="shared" si="96"/>
        <v>511.49175000000008</v>
      </c>
      <c r="Q661">
        <f t="shared" si="97"/>
        <v>521.92618170000003</v>
      </c>
      <c r="R661">
        <f t="shared" si="98"/>
        <v>359.85950000000003</v>
      </c>
      <c r="S661">
        <f t="shared" si="91"/>
        <v>3471.6000000000004</v>
      </c>
    </row>
    <row r="662" spans="1:19" x14ac:dyDescent="0.25">
      <c r="A662">
        <v>792</v>
      </c>
      <c r="B662">
        <v>1319</v>
      </c>
      <c r="C662" t="s">
        <v>35</v>
      </c>
      <c r="D662" t="s">
        <v>173</v>
      </c>
      <c r="E662">
        <v>13</v>
      </c>
      <c r="F662">
        <v>14.94</v>
      </c>
      <c r="G662">
        <v>2.74</v>
      </c>
      <c r="H662">
        <v>32.83</v>
      </c>
      <c r="I662">
        <v>0.75</v>
      </c>
      <c r="J662">
        <v>83.37</v>
      </c>
      <c r="K662">
        <f t="shared" si="92"/>
        <v>1083.81</v>
      </c>
      <c r="L662">
        <f t="shared" si="93"/>
        <v>1083.81</v>
      </c>
      <c r="M662">
        <f t="shared" si="90"/>
        <v>532.16280000000006</v>
      </c>
      <c r="N662">
        <f t="shared" si="94"/>
        <v>133.04070000000002</v>
      </c>
      <c r="O662">
        <f t="shared" si="95"/>
        <v>532.16280000000006</v>
      </c>
      <c r="P662">
        <f t="shared" si="96"/>
        <v>133.04070000000002</v>
      </c>
      <c r="Q662">
        <f t="shared" si="97"/>
        <v>135.75473028000002</v>
      </c>
      <c r="R662">
        <f t="shared" si="98"/>
        <v>320.09249999999997</v>
      </c>
      <c r="S662">
        <f t="shared" si="91"/>
        <v>1083.81</v>
      </c>
    </row>
    <row r="663" spans="1:19" x14ac:dyDescent="0.25">
      <c r="A663">
        <v>793</v>
      </c>
      <c r="B663">
        <v>1319</v>
      </c>
      <c r="C663" t="s">
        <v>35</v>
      </c>
      <c r="D663" t="s">
        <v>173</v>
      </c>
      <c r="E663">
        <v>20</v>
      </c>
      <c r="F663">
        <v>15.2</v>
      </c>
      <c r="G663">
        <v>2.95</v>
      </c>
      <c r="H663">
        <v>33.299999999999997</v>
      </c>
      <c r="I663">
        <v>0.77</v>
      </c>
      <c r="J663">
        <v>89.86</v>
      </c>
      <c r="K663">
        <f t="shared" si="92"/>
        <v>1797.2</v>
      </c>
      <c r="L663">
        <f t="shared" si="93"/>
        <v>1797.2</v>
      </c>
      <c r="M663">
        <f t="shared" si="90"/>
        <v>896.8</v>
      </c>
      <c r="N663">
        <f t="shared" si="94"/>
        <v>224.2</v>
      </c>
      <c r="O663">
        <f t="shared" si="95"/>
        <v>896.8</v>
      </c>
      <c r="P663">
        <f t="shared" si="96"/>
        <v>224.2</v>
      </c>
      <c r="Q663">
        <f t="shared" si="97"/>
        <v>228.77367999999998</v>
      </c>
      <c r="R663">
        <f t="shared" si="98"/>
        <v>512.81999999999994</v>
      </c>
      <c r="S663">
        <f t="shared" si="91"/>
        <v>1797.2</v>
      </c>
    </row>
    <row r="664" spans="1:19" x14ac:dyDescent="0.25">
      <c r="A664">
        <v>794</v>
      </c>
      <c r="B664">
        <v>1319</v>
      </c>
      <c r="C664" t="s">
        <v>35</v>
      </c>
      <c r="D664" t="s">
        <v>173</v>
      </c>
      <c r="E664">
        <v>15</v>
      </c>
      <c r="F664">
        <v>14.82</v>
      </c>
      <c r="G664">
        <v>2.67</v>
      </c>
      <c r="H664">
        <v>31.93</v>
      </c>
      <c r="I664">
        <v>0.8</v>
      </c>
      <c r="J664">
        <v>82.51</v>
      </c>
      <c r="K664">
        <f t="shared" si="92"/>
        <v>1237.6500000000001</v>
      </c>
      <c r="L664">
        <f t="shared" si="93"/>
        <v>1237.6500000000001</v>
      </c>
      <c r="M664">
        <f t="shared" si="90"/>
        <v>593.54099999999994</v>
      </c>
      <c r="N664">
        <f t="shared" si="94"/>
        <v>148.38524999999998</v>
      </c>
      <c r="O664">
        <f t="shared" si="95"/>
        <v>593.54099999999994</v>
      </c>
      <c r="P664">
        <f t="shared" si="96"/>
        <v>148.38524999999998</v>
      </c>
      <c r="Q664">
        <f t="shared" si="97"/>
        <v>151.41230909999999</v>
      </c>
      <c r="R664">
        <f t="shared" si="98"/>
        <v>383.15999999999997</v>
      </c>
      <c r="S664">
        <f t="shared" si="91"/>
        <v>1237.6500000000001</v>
      </c>
    </row>
    <row r="665" spans="1:19" x14ac:dyDescent="0.25">
      <c r="A665">
        <v>795</v>
      </c>
      <c r="B665">
        <v>1319</v>
      </c>
      <c r="C665" t="s">
        <v>35</v>
      </c>
      <c r="D665" t="s">
        <v>172</v>
      </c>
      <c r="E665">
        <v>30</v>
      </c>
      <c r="F665">
        <v>19.45</v>
      </c>
      <c r="G665">
        <v>10.9</v>
      </c>
      <c r="H665">
        <v>32.770000000000003</v>
      </c>
      <c r="I665">
        <v>1.05</v>
      </c>
      <c r="J665">
        <v>356.3</v>
      </c>
      <c r="K665">
        <f t="shared" si="92"/>
        <v>10689</v>
      </c>
      <c r="L665">
        <f t="shared" si="93"/>
        <v>0</v>
      </c>
      <c r="M665">
        <f t="shared" si="90"/>
        <v>0</v>
      </c>
      <c r="N665">
        <f t="shared" si="94"/>
        <v>0</v>
      </c>
      <c r="O665">
        <f t="shared" si="95"/>
        <v>6360.15</v>
      </c>
      <c r="P665">
        <f t="shared" si="96"/>
        <v>1590.0374999999999</v>
      </c>
      <c r="Q665">
        <f t="shared" si="97"/>
        <v>1622.4742649999998</v>
      </c>
      <c r="R665">
        <f t="shared" si="98"/>
        <v>1032.2550000000001</v>
      </c>
      <c r="S665">
        <f t="shared" si="91"/>
        <v>10689</v>
      </c>
    </row>
    <row r="666" spans="1:19" x14ac:dyDescent="0.25">
      <c r="A666">
        <v>796</v>
      </c>
      <c r="B666">
        <v>1320</v>
      </c>
      <c r="C666" t="s">
        <v>32</v>
      </c>
      <c r="D666" t="s">
        <v>173</v>
      </c>
      <c r="E666">
        <v>24</v>
      </c>
      <c r="F666">
        <v>14.94</v>
      </c>
      <c r="G666">
        <v>3.04</v>
      </c>
      <c r="H666">
        <v>33.64</v>
      </c>
      <c r="I666">
        <v>0.78</v>
      </c>
      <c r="J666">
        <v>91.31</v>
      </c>
      <c r="K666">
        <f t="shared" si="92"/>
        <v>2191.44</v>
      </c>
      <c r="L666">
        <f t="shared" si="93"/>
        <v>2191.44</v>
      </c>
      <c r="M666">
        <f t="shared" si="90"/>
        <v>1090.0224000000001</v>
      </c>
      <c r="N666">
        <f t="shared" si="94"/>
        <v>272.50560000000002</v>
      </c>
      <c r="O666">
        <f t="shared" si="95"/>
        <v>1090.0224000000001</v>
      </c>
      <c r="P666">
        <f t="shared" si="96"/>
        <v>272.50560000000002</v>
      </c>
      <c r="Q666">
        <f t="shared" si="97"/>
        <v>278.06471424</v>
      </c>
      <c r="R666">
        <f t="shared" si="98"/>
        <v>629.74079999999992</v>
      </c>
      <c r="S666">
        <f t="shared" si="91"/>
        <v>2191.44</v>
      </c>
    </row>
    <row r="667" spans="1:19" x14ac:dyDescent="0.25">
      <c r="A667">
        <v>797</v>
      </c>
      <c r="B667">
        <v>1320</v>
      </c>
      <c r="C667" t="s">
        <v>32</v>
      </c>
      <c r="D667" t="s">
        <v>173</v>
      </c>
      <c r="E667">
        <v>16</v>
      </c>
      <c r="F667">
        <v>14.75</v>
      </c>
      <c r="G667">
        <v>2.57</v>
      </c>
      <c r="H667">
        <v>31.78</v>
      </c>
      <c r="I667">
        <v>0.79</v>
      </c>
      <c r="J667">
        <v>79.739999999999995</v>
      </c>
      <c r="K667">
        <f t="shared" si="92"/>
        <v>1275.8399999999999</v>
      </c>
      <c r="L667">
        <f t="shared" si="93"/>
        <v>1275.8399999999999</v>
      </c>
      <c r="M667">
        <f t="shared" si="90"/>
        <v>606.52</v>
      </c>
      <c r="N667">
        <f t="shared" si="94"/>
        <v>151.63</v>
      </c>
      <c r="O667">
        <f t="shared" si="95"/>
        <v>606.52</v>
      </c>
      <c r="P667">
        <f t="shared" si="96"/>
        <v>151.63</v>
      </c>
      <c r="Q667">
        <f t="shared" si="97"/>
        <v>154.723252</v>
      </c>
      <c r="R667">
        <f t="shared" si="98"/>
        <v>401.69920000000002</v>
      </c>
      <c r="S667">
        <f t="shared" si="91"/>
        <v>1275.8399999999999</v>
      </c>
    </row>
    <row r="668" spans="1:19" x14ac:dyDescent="0.25">
      <c r="A668">
        <v>798</v>
      </c>
      <c r="B668">
        <v>1320</v>
      </c>
      <c r="C668" t="s">
        <v>32</v>
      </c>
      <c r="D668" t="s">
        <v>173</v>
      </c>
      <c r="E668">
        <v>17</v>
      </c>
      <c r="F668">
        <v>13.93</v>
      </c>
      <c r="G668">
        <v>2.68</v>
      </c>
      <c r="H668">
        <v>30.85</v>
      </c>
      <c r="I668">
        <v>0.8</v>
      </c>
      <c r="J668">
        <v>78.48</v>
      </c>
      <c r="K668">
        <f t="shared" si="92"/>
        <v>1334.16</v>
      </c>
      <c r="L668">
        <f t="shared" si="93"/>
        <v>1334.16</v>
      </c>
      <c r="M668">
        <f t="shared" si="90"/>
        <v>634.6508</v>
      </c>
      <c r="N668">
        <f t="shared" si="94"/>
        <v>158.6627</v>
      </c>
      <c r="O668">
        <f t="shared" si="95"/>
        <v>634.6508</v>
      </c>
      <c r="P668">
        <f t="shared" si="96"/>
        <v>158.6627</v>
      </c>
      <c r="Q668">
        <f t="shared" si="97"/>
        <v>161.89941908</v>
      </c>
      <c r="R668">
        <f t="shared" si="98"/>
        <v>419.56000000000006</v>
      </c>
      <c r="S668">
        <f t="shared" si="91"/>
        <v>1334.16</v>
      </c>
    </row>
    <row r="669" spans="1:19" x14ac:dyDescent="0.25">
      <c r="A669">
        <v>799</v>
      </c>
      <c r="B669">
        <v>1320</v>
      </c>
      <c r="C669" t="s">
        <v>32</v>
      </c>
      <c r="D669" t="s">
        <v>173</v>
      </c>
      <c r="E669">
        <v>14</v>
      </c>
      <c r="F669">
        <v>14.71</v>
      </c>
      <c r="G669">
        <v>2.9</v>
      </c>
      <c r="H669">
        <v>31.84</v>
      </c>
      <c r="I669">
        <v>0.83</v>
      </c>
      <c r="J669">
        <v>87.73</v>
      </c>
      <c r="K669">
        <f t="shared" si="92"/>
        <v>1228.22</v>
      </c>
      <c r="L669">
        <f t="shared" si="93"/>
        <v>1228.22</v>
      </c>
      <c r="M669">
        <f t="shared" si="90"/>
        <v>597.226</v>
      </c>
      <c r="N669">
        <f t="shared" si="94"/>
        <v>149.3065</v>
      </c>
      <c r="O669">
        <f t="shared" si="95"/>
        <v>597.226</v>
      </c>
      <c r="P669">
        <f t="shared" si="96"/>
        <v>149.3065</v>
      </c>
      <c r="Q669">
        <f t="shared" si="97"/>
        <v>152.35235259999999</v>
      </c>
      <c r="R669">
        <f t="shared" si="98"/>
        <v>369.98079999999999</v>
      </c>
      <c r="S669">
        <f t="shared" si="91"/>
        <v>1228.22</v>
      </c>
    </row>
    <row r="670" spans="1:19" x14ac:dyDescent="0.25">
      <c r="A670">
        <v>800</v>
      </c>
      <c r="B670">
        <v>1320</v>
      </c>
      <c r="C670" t="s">
        <v>32</v>
      </c>
      <c r="D670" t="s">
        <v>172</v>
      </c>
      <c r="E670">
        <v>17</v>
      </c>
      <c r="F670">
        <v>18.38</v>
      </c>
      <c r="G670">
        <v>11.03</v>
      </c>
      <c r="H670">
        <v>30.08</v>
      </c>
      <c r="I670">
        <v>1.04</v>
      </c>
      <c r="J670">
        <v>338.79</v>
      </c>
      <c r="K670">
        <f t="shared" si="92"/>
        <v>5759.43</v>
      </c>
      <c r="L670">
        <f t="shared" si="93"/>
        <v>0</v>
      </c>
      <c r="M670">
        <f t="shared" si="90"/>
        <v>0</v>
      </c>
      <c r="N670">
        <f t="shared" si="94"/>
        <v>0</v>
      </c>
      <c r="O670">
        <f t="shared" si="95"/>
        <v>3446.4337999999998</v>
      </c>
      <c r="P670">
        <f t="shared" si="96"/>
        <v>861.60844999999995</v>
      </c>
      <c r="Q670">
        <f t="shared" si="97"/>
        <v>879.18526237999993</v>
      </c>
      <c r="R670">
        <f t="shared" si="98"/>
        <v>531.81439999999998</v>
      </c>
      <c r="S670">
        <f t="shared" si="91"/>
        <v>5759.43</v>
      </c>
    </row>
    <row r="671" spans="1:19" x14ac:dyDescent="0.25">
      <c r="A671">
        <v>801</v>
      </c>
      <c r="B671">
        <v>1320</v>
      </c>
      <c r="C671" t="s">
        <v>32</v>
      </c>
      <c r="D671" t="s">
        <v>172</v>
      </c>
      <c r="E671">
        <v>7</v>
      </c>
      <c r="F671">
        <v>19.149999999999999</v>
      </c>
      <c r="G671">
        <v>11.45</v>
      </c>
      <c r="H671">
        <v>32.46</v>
      </c>
      <c r="I671">
        <v>1.08</v>
      </c>
      <c r="J671">
        <v>367.88</v>
      </c>
      <c r="K671">
        <f t="shared" si="92"/>
        <v>2575.16</v>
      </c>
      <c r="L671">
        <f t="shared" si="93"/>
        <v>0</v>
      </c>
      <c r="M671">
        <f t="shared" si="90"/>
        <v>0</v>
      </c>
      <c r="N671">
        <f t="shared" si="94"/>
        <v>0</v>
      </c>
      <c r="O671">
        <f t="shared" si="95"/>
        <v>1534.8724999999997</v>
      </c>
      <c r="P671">
        <f t="shared" si="96"/>
        <v>383.71812499999993</v>
      </c>
      <c r="Q671">
        <f t="shared" si="97"/>
        <v>391.54597474999991</v>
      </c>
      <c r="R671">
        <f t="shared" si="98"/>
        <v>245.39760000000001</v>
      </c>
      <c r="S671">
        <f t="shared" si="91"/>
        <v>2575.16</v>
      </c>
    </row>
    <row r="672" spans="1:19" x14ac:dyDescent="0.25">
      <c r="A672">
        <v>802</v>
      </c>
      <c r="B672">
        <v>1320</v>
      </c>
      <c r="C672" t="s">
        <v>32</v>
      </c>
      <c r="D672" t="s">
        <v>173</v>
      </c>
      <c r="E672">
        <v>11</v>
      </c>
      <c r="F672">
        <v>15.36</v>
      </c>
      <c r="G672">
        <v>3.1</v>
      </c>
      <c r="H672">
        <v>29.98</v>
      </c>
      <c r="I672">
        <v>0.83</v>
      </c>
      <c r="J672">
        <v>92.84</v>
      </c>
      <c r="K672">
        <f t="shared" si="92"/>
        <v>1021.24</v>
      </c>
      <c r="L672">
        <f t="shared" si="93"/>
        <v>1021.24</v>
      </c>
      <c r="M672">
        <f t="shared" si="90"/>
        <v>523.77599999999995</v>
      </c>
      <c r="N672">
        <f t="shared" si="94"/>
        <v>130.94399999999999</v>
      </c>
      <c r="O672">
        <f t="shared" si="95"/>
        <v>523.77599999999995</v>
      </c>
      <c r="P672">
        <f t="shared" si="96"/>
        <v>130.94399999999999</v>
      </c>
      <c r="Q672">
        <f t="shared" si="97"/>
        <v>133.61525759999998</v>
      </c>
      <c r="R672">
        <f t="shared" si="98"/>
        <v>273.7174</v>
      </c>
      <c r="S672">
        <f t="shared" si="91"/>
        <v>1021.24</v>
      </c>
    </row>
    <row r="673" spans="1:19" x14ac:dyDescent="0.25">
      <c r="A673">
        <v>803</v>
      </c>
      <c r="B673">
        <v>1320</v>
      </c>
      <c r="C673" t="s">
        <v>32</v>
      </c>
      <c r="D673" t="s">
        <v>172</v>
      </c>
      <c r="E673">
        <v>13</v>
      </c>
      <c r="F673">
        <v>18.39</v>
      </c>
      <c r="G673">
        <v>9.93</v>
      </c>
      <c r="H673">
        <v>32.29</v>
      </c>
      <c r="I673">
        <v>1.07</v>
      </c>
      <c r="J673">
        <v>312.75</v>
      </c>
      <c r="K673">
        <f t="shared" si="92"/>
        <v>4065.75</v>
      </c>
      <c r="L673">
        <f t="shared" si="93"/>
        <v>0</v>
      </c>
      <c r="M673">
        <f t="shared" si="90"/>
        <v>0</v>
      </c>
      <c r="N673">
        <f t="shared" si="94"/>
        <v>0</v>
      </c>
      <c r="O673">
        <f t="shared" si="95"/>
        <v>2373.9651000000003</v>
      </c>
      <c r="P673">
        <f t="shared" si="96"/>
        <v>593.49127500000009</v>
      </c>
      <c r="Q673">
        <f t="shared" si="97"/>
        <v>605.59849701000007</v>
      </c>
      <c r="R673">
        <f t="shared" si="98"/>
        <v>449.15389999999996</v>
      </c>
      <c r="S673">
        <f t="shared" si="91"/>
        <v>4065.75</v>
      </c>
    </row>
    <row r="674" spans="1:19" x14ac:dyDescent="0.25">
      <c r="A674">
        <v>804</v>
      </c>
      <c r="B674">
        <v>1320</v>
      </c>
      <c r="C674" t="s">
        <v>32</v>
      </c>
      <c r="D674" t="s">
        <v>173</v>
      </c>
      <c r="E674">
        <v>9</v>
      </c>
      <c r="F674">
        <v>15.74</v>
      </c>
      <c r="G674">
        <v>2.93</v>
      </c>
      <c r="H674">
        <v>30.09</v>
      </c>
      <c r="I674">
        <v>0.83</v>
      </c>
      <c r="J674">
        <v>90.88</v>
      </c>
      <c r="K674">
        <f t="shared" si="92"/>
        <v>817.92</v>
      </c>
      <c r="L674">
        <f t="shared" si="93"/>
        <v>817.92</v>
      </c>
      <c r="M674">
        <f t="shared" si="90"/>
        <v>415.06380000000001</v>
      </c>
      <c r="N674">
        <f t="shared" si="94"/>
        <v>103.76595</v>
      </c>
      <c r="O674">
        <f t="shared" si="95"/>
        <v>415.06380000000001</v>
      </c>
      <c r="P674">
        <f t="shared" si="96"/>
        <v>103.76595</v>
      </c>
      <c r="Q674">
        <f t="shared" si="97"/>
        <v>105.88277538</v>
      </c>
      <c r="R674">
        <f t="shared" si="98"/>
        <v>224.7723</v>
      </c>
      <c r="S674">
        <f t="shared" si="91"/>
        <v>817.92</v>
      </c>
    </row>
    <row r="675" spans="1:19" x14ac:dyDescent="0.25">
      <c r="A675">
        <v>805</v>
      </c>
      <c r="B675">
        <v>1320</v>
      </c>
      <c r="C675" t="s">
        <v>32</v>
      </c>
      <c r="D675" t="s">
        <v>172</v>
      </c>
      <c r="E675">
        <v>10</v>
      </c>
      <c r="F675">
        <v>21.01</v>
      </c>
      <c r="G675">
        <v>11.58</v>
      </c>
      <c r="H675">
        <v>37.450000000000003</v>
      </c>
      <c r="I675">
        <v>1.01</v>
      </c>
      <c r="J675">
        <v>406.91</v>
      </c>
      <c r="K675">
        <f t="shared" si="92"/>
        <v>4069.1000000000004</v>
      </c>
      <c r="L675">
        <f t="shared" si="93"/>
        <v>0</v>
      </c>
      <c r="M675">
        <f t="shared" si="90"/>
        <v>0</v>
      </c>
      <c r="N675">
        <f t="shared" si="94"/>
        <v>0</v>
      </c>
      <c r="O675">
        <f t="shared" si="95"/>
        <v>2432.9580000000001</v>
      </c>
      <c r="P675">
        <f t="shared" si="96"/>
        <v>608.23950000000002</v>
      </c>
      <c r="Q675">
        <f t="shared" si="97"/>
        <v>620.6475858</v>
      </c>
      <c r="R675">
        <f t="shared" si="98"/>
        <v>378.245</v>
      </c>
      <c r="S675">
        <f t="shared" si="91"/>
        <v>4069.1000000000004</v>
      </c>
    </row>
    <row r="676" spans="1:19" x14ac:dyDescent="0.25">
      <c r="A676">
        <v>806</v>
      </c>
      <c r="B676">
        <v>1320</v>
      </c>
      <c r="C676" t="s">
        <v>32</v>
      </c>
      <c r="D676" t="s">
        <v>173</v>
      </c>
      <c r="E676">
        <v>15</v>
      </c>
      <c r="F676">
        <v>15.02</v>
      </c>
      <c r="G676">
        <v>3.24</v>
      </c>
      <c r="H676">
        <v>33.36</v>
      </c>
      <c r="I676">
        <v>0.8</v>
      </c>
      <c r="J676">
        <v>96.27</v>
      </c>
      <c r="K676">
        <f t="shared" si="92"/>
        <v>1444.05</v>
      </c>
      <c r="L676">
        <f t="shared" si="93"/>
        <v>1444.05</v>
      </c>
      <c r="M676">
        <f t="shared" si="90"/>
        <v>729.97199999999998</v>
      </c>
      <c r="N676">
        <f t="shared" si="94"/>
        <v>182.49299999999999</v>
      </c>
      <c r="O676">
        <f t="shared" si="95"/>
        <v>729.97199999999998</v>
      </c>
      <c r="P676">
        <f t="shared" si="96"/>
        <v>182.49299999999999</v>
      </c>
      <c r="Q676">
        <f t="shared" si="97"/>
        <v>186.21585719999999</v>
      </c>
      <c r="R676">
        <f t="shared" si="98"/>
        <v>400.32</v>
      </c>
      <c r="S676">
        <f t="shared" si="91"/>
        <v>1444.05</v>
      </c>
    </row>
    <row r="677" spans="1:19" x14ac:dyDescent="0.25">
      <c r="A677">
        <v>807</v>
      </c>
      <c r="B677">
        <v>1320</v>
      </c>
      <c r="C677" t="s">
        <v>32</v>
      </c>
      <c r="D677" t="s">
        <v>173</v>
      </c>
      <c r="E677">
        <v>39</v>
      </c>
      <c r="F677">
        <v>14.93</v>
      </c>
      <c r="G677">
        <v>2.77</v>
      </c>
      <c r="H677">
        <v>28.72</v>
      </c>
      <c r="I677">
        <v>0.83</v>
      </c>
      <c r="J677">
        <v>83.09</v>
      </c>
      <c r="K677">
        <f t="shared" si="92"/>
        <v>3240.51</v>
      </c>
      <c r="L677">
        <f t="shared" si="93"/>
        <v>3240.51</v>
      </c>
      <c r="M677">
        <f t="shared" si="90"/>
        <v>1612.8878999999999</v>
      </c>
      <c r="N677">
        <f t="shared" si="94"/>
        <v>403.22197499999999</v>
      </c>
      <c r="O677">
        <f t="shared" si="95"/>
        <v>1612.8878999999999</v>
      </c>
      <c r="P677">
        <f t="shared" si="96"/>
        <v>403.22197499999999</v>
      </c>
      <c r="Q677">
        <f t="shared" si="97"/>
        <v>411.44770328999999</v>
      </c>
      <c r="R677">
        <f t="shared" si="98"/>
        <v>929.66639999999984</v>
      </c>
      <c r="S677">
        <f t="shared" si="91"/>
        <v>3240.51</v>
      </c>
    </row>
    <row r="678" spans="1:19" x14ac:dyDescent="0.25">
      <c r="A678">
        <v>808</v>
      </c>
      <c r="B678">
        <v>1320</v>
      </c>
      <c r="C678" t="s">
        <v>32</v>
      </c>
      <c r="D678" t="s">
        <v>172</v>
      </c>
      <c r="E678">
        <v>56</v>
      </c>
      <c r="F678">
        <v>19.190000000000001</v>
      </c>
      <c r="G678">
        <v>10.34</v>
      </c>
      <c r="H678">
        <v>27</v>
      </c>
      <c r="I678">
        <v>0.94</v>
      </c>
      <c r="J678">
        <v>325.36</v>
      </c>
      <c r="K678">
        <f t="shared" si="92"/>
        <v>18220.16</v>
      </c>
      <c r="L678">
        <f t="shared" si="93"/>
        <v>0</v>
      </c>
      <c r="M678">
        <f t="shared" si="90"/>
        <v>0</v>
      </c>
      <c r="N678">
        <f t="shared" si="94"/>
        <v>0</v>
      </c>
      <c r="O678">
        <f t="shared" si="95"/>
        <v>11111.777599999999</v>
      </c>
      <c r="P678">
        <f t="shared" si="96"/>
        <v>2777.9443999999999</v>
      </c>
      <c r="Q678">
        <f t="shared" si="97"/>
        <v>2834.6144657599998</v>
      </c>
      <c r="R678">
        <f t="shared" si="98"/>
        <v>1421.28</v>
      </c>
      <c r="S678">
        <f t="shared" si="91"/>
        <v>18220.16</v>
      </c>
    </row>
    <row r="679" spans="1:19" x14ac:dyDescent="0.25">
      <c r="A679">
        <v>809</v>
      </c>
      <c r="B679">
        <v>1321</v>
      </c>
      <c r="C679" t="s">
        <v>33</v>
      </c>
      <c r="D679" t="s">
        <v>172</v>
      </c>
      <c r="E679">
        <v>7</v>
      </c>
      <c r="F679">
        <v>19.68</v>
      </c>
      <c r="G679">
        <v>10.71</v>
      </c>
      <c r="H679">
        <v>35.71</v>
      </c>
      <c r="I679">
        <v>1.02</v>
      </c>
      <c r="J679">
        <v>356.87</v>
      </c>
      <c r="K679">
        <f t="shared" si="92"/>
        <v>2498.09</v>
      </c>
      <c r="L679">
        <f t="shared" si="93"/>
        <v>0</v>
      </c>
      <c r="M679">
        <f t="shared" si="90"/>
        <v>0</v>
      </c>
      <c r="N679">
        <f t="shared" si="94"/>
        <v>0</v>
      </c>
      <c r="O679">
        <f t="shared" si="95"/>
        <v>1475.4096</v>
      </c>
      <c r="P679">
        <f t="shared" si="96"/>
        <v>368.85239999999999</v>
      </c>
      <c r="Q679">
        <f t="shared" si="97"/>
        <v>376.37698896000001</v>
      </c>
      <c r="R679">
        <f t="shared" si="98"/>
        <v>254.96940000000004</v>
      </c>
      <c r="S679">
        <f t="shared" si="91"/>
        <v>2498.09</v>
      </c>
    </row>
    <row r="680" spans="1:19" x14ac:dyDescent="0.25">
      <c r="A680">
        <v>810</v>
      </c>
      <c r="B680">
        <v>1321</v>
      </c>
      <c r="C680" t="s">
        <v>33</v>
      </c>
      <c r="D680" t="s">
        <v>173</v>
      </c>
      <c r="E680">
        <v>16</v>
      </c>
      <c r="F680">
        <v>14.13</v>
      </c>
      <c r="G680">
        <v>2.6</v>
      </c>
      <c r="H680">
        <v>28.4</v>
      </c>
      <c r="I680">
        <v>0.81</v>
      </c>
      <c r="J680">
        <v>75.819999999999993</v>
      </c>
      <c r="K680">
        <f t="shared" si="92"/>
        <v>1213.1199999999999</v>
      </c>
      <c r="L680">
        <f t="shared" si="93"/>
        <v>1213.1199999999999</v>
      </c>
      <c r="M680">
        <f t="shared" si="90"/>
        <v>587.80800000000011</v>
      </c>
      <c r="N680">
        <f t="shared" si="94"/>
        <v>146.95200000000003</v>
      </c>
      <c r="O680">
        <f t="shared" si="95"/>
        <v>587.80800000000011</v>
      </c>
      <c r="P680">
        <f t="shared" si="96"/>
        <v>146.95200000000003</v>
      </c>
      <c r="Q680">
        <f t="shared" si="97"/>
        <v>149.94982080000003</v>
      </c>
      <c r="R680">
        <f t="shared" si="98"/>
        <v>368.06400000000002</v>
      </c>
      <c r="S680">
        <f t="shared" si="91"/>
        <v>1213.1199999999999</v>
      </c>
    </row>
    <row r="681" spans="1:19" x14ac:dyDescent="0.25">
      <c r="A681">
        <v>811</v>
      </c>
      <c r="B681">
        <v>1321</v>
      </c>
      <c r="C681" t="s">
        <v>33</v>
      </c>
      <c r="D681" t="s">
        <v>173</v>
      </c>
      <c r="E681">
        <v>7</v>
      </c>
      <c r="F681">
        <v>15.54</v>
      </c>
      <c r="G681">
        <v>2.64</v>
      </c>
      <c r="H681">
        <v>30.59</v>
      </c>
      <c r="I681">
        <v>0.83</v>
      </c>
      <c r="J681">
        <v>84.34</v>
      </c>
      <c r="K681">
        <f t="shared" si="92"/>
        <v>590.38</v>
      </c>
      <c r="L681">
        <f t="shared" si="93"/>
        <v>590.38</v>
      </c>
      <c r="M681">
        <f t="shared" si="90"/>
        <v>287.17919999999998</v>
      </c>
      <c r="N681">
        <f t="shared" si="94"/>
        <v>71.794799999999995</v>
      </c>
      <c r="O681">
        <f t="shared" si="95"/>
        <v>287.17919999999998</v>
      </c>
      <c r="P681">
        <f t="shared" si="96"/>
        <v>71.794799999999995</v>
      </c>
      <c r="Q681">
        <f t="shared" si="97"/>
        <v>73.25941392</v>
      </c>
      <c r="R681">
        <f t="shared" si="98"/>
        <v>177.72789999999998</v>
      </c>
      <c r="S681">
        <f t="shared" si="91"/>
        <v>590.38</v>
      </c>
    </row>
    <row r="682" spans="1:19" x14ac:dyDescent="0.25">
      <c r="A682">
        <v>812</v>
      </c>
      <c r="B682">
        <v>1321</v>
      </c>
      <c r="C682" t="s">
        <v>33</v>
      </c>
      <c r="D682" t="s">
        <v>172</v>
      </c>
      <c r="E682">
        <v>17</v>
      </c>
      <c r="F682">
        <v>20.170000000000002</v>
      </c>
      <c r="G682">
        <v>11.64</v>
      </c>
      <c r="H682">
        <v>32.92</v>
      </c>
      <c r="I682">
        <v>0.97</v>
      </c>
      <c r="J682">
        <v>387.23</v>
      </c>
      <c r="K682">
        <f t="shared" si="92"/>
        <v>6582.91</v>
      </c>
      <c r="L682">
        <f t="shared" si="93"/>
        <v>0</v>
      </c>
      <c r="M682">
        <f t="shared" si="90"/>
        <v>0</v>
      </c>
      <c r="N682">
        <f t="shared" si="94"/>
        <v>0</v>
      </c>
      <c r="O682">
        <f t="shared" si="95"/>
        <v>3991.2396000000003</v>
      </c>
      <c r="P682">
        <f t="shared" si="96"/>
        <v>997.80990000000008</v>
      </c>
      <c r="Q682">
        <f t="shared" si="97"/>
        <v>1018.1652219600001</v>
      </c>
      <c r="R682">
        <f t="shared" si="98"/>
        <v>542.85079999999994</v>
      </c>
      <c r="S682">
        <f t="shared" si="91"/>
        <v>6582.91</v>
      </c>
    </row>
    <row r="683" spans="1:19" x14ac:dyDescent="0.25">
      <c r="A683">
        <v>813</v>
      </c>
      <c r="B683">
        <v>1321</v>
      </c>
      <c r="C683" t="s">
        <v>33</v>
      </c>
      <c r="D683" t="s">
        <v>172</v>
      </c>
      <c r="E683">
        <v>11</v>
      </c>
      <c r="F683">
        <v>19.32</v>
      </c>
      <c r="G683">
        <v>11.08</v>
      </c>
      <c r="H683">
        <v>31.68</v>
      </c>
      <c r="I683">
        <v>0.96</v>
      </c>
      <c r="J683">
        <v>354.61</v>
      </c>
      <c r="K683">
        <f t="shared" si="92"/>
        <v>3900.71</v>
      </c>
      <c r="L683">
        <f t="shared" si="93"/>
        <v>0</v>
      </c>
      <c r="M683">
        <f t="shared" si="90"/>
        <v>0</v>
      </c>
      <c r="N683">
        <f t="shared" si="94"/>
        <v>0</v>
      </c>
      <c r="O683">
        <f t="shared" si="95"/>
        <v>2354.7215999999999</v>
      </c>
      <c r="P683">
        <f t="shared" si="96"/>
        <v>588.68039999999996</v>
      </c>
      <c r="Q683">
        <f t="shared" si="97"/>
        <v>600.6894801599999</v>
      </c>
      <c r="R683">
        <f t="shared" si="98"/>
        <v>334.54079999999993</v>
      </c>
      <c r="S683">
        <f t="shared" si="91"/>
        <v>3900.71</v>
      </c>
    </row>
    <row r="684" spans="1:19" x14ac:dyDescent="0.25">
      <c r="A684">
        <v>814</v>
      </c>
      <c r="B684">
        <v>1321</v>
      </c>
      <c r="C684" t="s">
        <v>33</v>
      </c>
      <c r="D684" t="s">
        <v>172</v>
      </c>
      <c r="E684">
        <v>14</v>
      </c>
      <c r="F684">
        <v>20.73</v>
      </c>
      <c r="G684">
        <v>10.66</v>
      </c>
      <c r="H684">
        <v>30.21</v>
      </c>
      <c r="I684">
        <v>1.03</v>
      </c>
      <c r="J684">
        <v>365.74</v>
      </c>
      <c r="K684">
        <f t="shared" si="92"/>
        <v>5120.3600000000006</v>
      </c>
      <c r="L684">
        <f t="shared" si="93"/>
        <v>0</v>
      </c>
      <c r="M684">
        <f t="shared" si="90"/>
        <v>0</v>
      </c>
      <c r="N684">
        <f t="shared" si="94"/>
        <v>0</v>
      </c>
      <c r="O684">
        <f t="shared" si="95"/>
        <v>3093.7452000000003</v>
      </c>
      <c r="P684">
        <f t="shared" si="96"/>
        <v>773.43630000000007</v>
      </c>
      <c r="Q684">
        <f t="shared" si="97"/>
        <v>789.21440052000003</v>
      </c>
      <c r="R684">
        <f t="shared" si="98"/>
        <v>435.62819999999999</v>
      </c>
      <c r="S684">
        <f t="shared" si="91"/>
        <v>5120.3600000000006</v>
      </c>
    </row>
    <row r="685" spans="1:19" x14ac:dyDescent="0.25">
      <c r="A685">
        <v>815</v>
      </c>
      <c r="B685">
        <v>1321</v>
      </c>
      <c r="C685" t="s">
        <v>33</v>
      </c>
      <c r="D685" t="s">
        <v>172</v>
      </c>
      <c r="E685">
        <v>42</v>
      </c>
      <c r="F685">
        <v>19.14</v>
      </c>
      <c r="G685">
        <v>10.050000000000001</v>
      </c>
      <c r="H685">
        <v>30.91</v>
      </c>
      <c r="I685">
        <v>0.88</v>
      </c>
      <c r="J685">
        <v>318.5</v>
      </c>
      <c r="K685">
        <f t="shared" si="92"/>
        <v>13377</v>
      </c>
      <c r="L685">
        <f t="shared" si="93"/>
        <v>0</v>
      </c>
      <c r="M685">
        <f t="shared" si="90"/>
        <v>0</v>
      </c>
      <c r="N685">
        <f t="shared" si="94"/>
        <v>0</v>
      </c>
      <c r="O685">
        <f t="shared" si="95"/>
        <v>8078.9940000000006</v>
      </c>
      <c r="P685">
        <f t="shared" si="96"/>
        <v>2019.7485000000001</v>
      </c>
      <c r="Q685">
        <f t="shared" si="97"/>
        <v>2060.9513694000002</v>
      </c>
      <c r="R685">
        <f t="shared" si="98"/>
        <v>1142.4336000000001</v>
      </c>
      <c r="S685">
        <f t="shared" si="91"/>
        <v>13377</v>
      </c>
    </row>
    <row r="686" spans="1:19" x14ac:dyDescent="0.25">
      <c r="A686">
        <v>816</v>
      </c>
      <c r="B686">
        <v>1321</v>
      </c>
      <c r="C686" t="s">
        <v>33</v>
      </c>
      <c r="D686" t="s">
        <v>172</v>
      </c>
      <c r="E686">
        <v>11</v>
      </c>
      <c r="F686">
        <v>20.43</v>
      </c>
      <c r="G686">
        <v>10.86</v>
      </c>
      <c r="H686">
        <v>32.68</v>
      </c>
      <c r="I686">
        <v>1.08</v>
      </c>
      <c r="J686">
        <v>372.03</v>
      </c>
      <c r="K686">
        <f t="shared" si="92"/>
        <v>4092.33</v>
      </c>
      <c r="L686">
        <f t="shared" si="93"/>
        <v>0</v>
      </c>
      <c r="M686">
        <f t="shared" si="90"/>
        <v>0</v>
      </c>
      <c r="N686">
        <f t="shared" si="94"/>
        <v>0</v>
      </c>
      <c r="O686">
        <f t="shared" si="95"/>
        <v>2440.5677999999998</v>
      </c>
      <c r="P686">
        <f t="shared" si="96"/>
        <v>610.14194999999995</v>
      </c>
      <c r="Q686">
        <f t="shared" si="97"/>
        <v>622.58884577999993</v>
      </c>
      <c r="R686">
        <f t="shared" si="98"/>
        <v>388.23840000000001</v>
      </c>
      <c r="S686">
        <f t="shared" si="91"/>
        <v>4092.33</v>
      </c>
    </row>
    <row r="687" spans="1:19" x14ac:dyDescent="0.25">
      <c r="A687">
        <v>817</v>
      </c>
      <c r="B687">
        <v>1322</v>
      </c>
      <c r="C687" t="s">
        <v>32</v>
      </c>
      <c r="D687" t="s">
        <v>173</v>
      </c>
      <c r="E687">
        <v>14</v>
      </c>
      <c r="F687">
        <v>15.87</v>
      </c>
      <c r="G687">
        <v>2.38</v>
      </c>
      <c r="H687">
        <v>30.31</v>
      </c>
      <c r="I687">
        <v>0.83</v>
      </c>
      <c r="J687">
        <v>79.61</v>
      </c>
      <c r="K687">
        <f t="shared" si="92"/>
        <v>1114.54</v>
      </c>
      <c r="L687">
        <f t="shared" si="93"/>
        <v>1114.54</v>
      </c>
      <c r="M687">
        <f t="shared" si="90"/>
        <v>528.78840000000002</v>
      </c>
      <c r="N687">
        <f t="shared" si="94"/>
        <v>132.19710000000001</v>
      </c>
      <c r="O687">
        <f t="shared" si="95"/>
        <v>528.78840000000002</v>
      </c>
      <c r="P687">
        <f t="shared" si="96"/>
        <v>132.19710000000001</v>
      </c>
      <c r="Q687">
        <f t="shared" si="97"/>
        <v>134.89392083999999</v>
      </c>
      <c r="R687">
        <f t="shared" si="98"/>
        <v>352.20219999999995</v>
      </c>
      <c r="S687">
        <f t="shared" si="91"/>
        <v>1114.54</v>
      </c>
    </row>
    <row r="688" spans="1:19" x14ac:dyDescent="0.25">
      <c r="A688">
        <v>818</v>
      </c>
      <c r="B688">
        <v>1322</v>
      </c>
      <c r="C688" t="s">
        <v>32</v>
      </c>
      <c r="D688" t="s">
        <v>173</v>
      </c>
      <c r="E688">
        <v>10</v>
      </c>
      <c r="F688">
        <v>15.85</v>
      </c>
      <c r="G688">
        <v>3.02</v>
      </c>
      <c r="H688">
        <v>31.44</v>
      </c>
      <c r="I688">
        <v>0.79</v>
      </c>
      <c r="J688">
        <v>83.82</v>
      </c>
      <c r="K688">
        <f t="shared" si="92"/>
        <v>838.19999999999993</v>
      </c>
      <c r="L688">
        <f t="shared" si="93"/>
        <v>838.19999999999993</v>
      </c>
      <c r="M688">
        <f t="shared" si="90"/>
        <v>478.66999999999996</v>
      </c>
      <c r="N688">
        <f t="shared" si="94"/>
        <v>119.66749999999999</v>
      </c>
      <c r="O688">
        <f t="shared" si="95"/>
        <v>478.66999999999996</v>
      </c>
      <c r="P688">
        <f t="shared" si="96"/>
        <v>119.66749999999999</v>
      </c>
      <c r="Q688">
        <f t="shared" si="97"/>
        <v>122.10871699999998</v>
      </c>
      <c r="R688">
        <f t="shared" si="98"/>
        <v>248.37600000000003</v>
      </c>
      <c r="S688">
        <f t="shared" si="91"/>
        <v>838.19999999999993</v>
      </c>
    </row>
    <row r="689" spans="1:19" x14ac:dyDescent="0.25">
      <c r="A689">
        <v>819</v>
      </c>
      <c r="B689">
        <v>1322</v>
      </c>
      <c r="C689" t="s">
        <v>32</v>
      </c>
      <c r="D689" t="s">
        <v>172</v>
      </c>
      <c r="E689">
        <v>14</v>
      </c>
      <c r="F689">
        <v>21.03</v>
      </c>
      <c r="G689">
        <v>11.2</v>
      </c>
      <c r="H689">
        <v>31.56</v>
      </c>
      <c r="I689">
        <v>0.92</v>
      </c>
      <c r="J689">
        <v>384.91</v>
      </c>
      <c r="K689">
        <f t="shared" si="92"/>
        <v>5388.7400000000007</v>
      </c>
      <c r="L689">
        <f t="shared" si="93"/>
        <v>0</v>
      </c>
      <c r="M689">
        <f t="shared" si="90"/>
        <v>0</v>
      </c>
      <c r="N689">
        <f t="shared" si="94"/>
        <v>0</v>
      </c>
      <c r="O689">
        <f t="shared" si="95"/>
        <v>3297.5039999999999</v>
      </c>
      <c r="P689">
        <f t="shared" si="96"/>
        <v>824.37599999999998</v>
      </c>
      <c r="Q689">
        <f t="shared" si="97"/>
        <v>841.19327039999996</v>
      </c>
      <c r="R689">
        <f t="shared" si="98"/>
        <v>406.49279999999999</v>
      </c>
      <c r="S689">
        <f t="shared" si="91"/>
        <v>5388.7400000000007</v>
      </c>
    </row>
    <row r="690" spans="1:19" x14ac:dyDescent="0.25">
      <c r="A690">
        <v>820</v>
      </c>
      <c r="B690">
        <v>1322</v>
      </c>
      <c r="C690" t="s">
        <v>32</v>
      </c>
      <c r="D690" t="s">
        <v>172</v>
      </c>
      <c r="E690">
        <v>24</v>
      </c>
      <c r="F690">
        <v>17.829999999999998</v>
      </c>
      <c r="G690">
        <v>11.94</v>
      </c>
      <c r="H690">
        <v>30.57</v>
      </c>
      <c r="I690">
        <v>0.99</v>
      </c>
      <c r="J690">
        <v>352.69</v>
      </c>
      <c r="K690">
        <f t="shared" si="92"/>
        <v>8464.56</v>
      </c>
      <c r="L690">
        <f t="shared" si="93"/>
        <v>0</v>
      </c>
      <c r="M690">
        <f t="shared" si="90"/>
        <v>0</v>
      </c>
      <c r="N690">
        <f t="shared" si="94"/>
        <v>0</v>
      </c>
      <c r="O690">
        <f t="shared" si="95"/>
        <v>5109.3647999999994</v>
      </c>
      <c r="P690">
        <f t="shared" si="96"/>
        <v>1277.3411999999998</v>
      </c>
      <c r="Q690">
        <f t="shared" si="97"/>
        <v>1303.3989604799999</v>
      </c>
      <c r="R690">
        <f t="shared" si="98"/>
        <v>726.34319999999991</v>
      </c>
      <c r="S690">
        <f t="shared" si="91"/>
        <v>8464.56</v>
      </c>
    </row>
    <row r="691" spans="1:19" x14ac:dyDescent="0.25">
      <c r="A691">
        <v>821</v>
      </c>
      <c r="B691">
        <v>1322</v>
      </c>
      <c r="C691" t="s">
        <v>32</v>
      </c>
      <c r="D691" t="s">
        <v>172</v>
      </c>
      <c r="E691">
        <v>15</v>
      </c>
      <c r="F691">
        <v>18.420000000000002</v>
      </c>
      <c r="G691">
        <v>11.16</v>
      </c>
      <c r="H691">
        <v>34.54</v>
      </c>
      <c r="I691">
        <v>0.97</v>
      </c>
      <c r="J691">
        <v>345.65</v>
      </c>
      <c r="K691">
        <f t="shared" si="92"/>
        <v>5184.75</v>
      </c>
      <c r="L691">
        <f t="shared" si="93"/>
        <v>0</v>
      </c>
      <c r="M691">
        <f t="shared" si="90"/>
        <v>0</v>
      </c>
      <c r="N691">
        <f t="shared" si="94"/>
        <v>0</v>
      </c>
      <c r="O691">
        <f t="shared" si="95"/>
        <v>3083.5080000000003</v>
      </c>
      <c r="P691">
        <f t="shared" si="96"/>
        <v>770.87700000000007</v>
      </c>
      <c r="Q691">
        <f t="shared" si="97"/>
        <v>786.60289080000007</v>
      </c>
      <c r="R691">
        <f t="shared" si="98"/>
        <v>502.55699999999996</v>
      </c>
      <c r="S691">
        <f t="shared" si="91"/>
        <v>5184.75</v>
      </c>
    </row>
    <row r="692" spans="1:19" x14ac:dyDescent="0.25">
      <c r="A692">
        <v>822</v>
      </c>
      <c r="B692">
        <v>1322</v>
      </c>
      <c r="C692" t="s">
        <v>32</v>
      </c>
      <c r="D692" t="s">
        <v>172</v>
      </c>
      <c r="E692">
        <v>19</v>
      </c>
      <c r="F692">
        <v>19.2</v>
      </c>
      <c r="G692">
        <v>11.05</v>
      </c>
      <c r="H692">
        <v>38.82</v>
      </c>
      <c r="I692">
        <v>1.03</v>
      </c>
      <c r="J692">
        <v>363.17</v>
      </c>
      <c r="K692">
        <f t="shared" si="92"/>
        <v>6900.2300000000005</v>
      </c>
      <c r="L692">
        <f t="shared" si="93"/>
        <v>0</v>
      </c>
      <c r="M692">
        <f t="shared" si="90"/>
        <v>0</v>
      </c>
      <c r="N692">
        <f t="shared" si="94"/>
        <v>0</v>
      </c>
      <c r="O692">
        <f t="shared" si="95"/>
        <v>4031.04</v>
      </c>
      <c r="P692">
        <f t="shared" si="96"/>
        <v>1007.76</v>
      </c>
      <c r="Q692">
        <f t="shared" si="97"/>
        <v>1028.3183039999999</v>
      </c>
      <c r="R692">
        <f t="shared" si="98"/>
        <v>759.70740000000001</v>
      </c>
      <c r="S692">
        <f t="shared" si="91"/>
        <v>6900.2300000000005</v>
      </c>
    </row>
    <row r="693" spans="1:19" x14ac:dyDescent="0.25">
      <c r="A693">
        <v>823</v>
      </c>
      <c r="B693">
        <v>1322</v>
      </c>
      <c r="C693" t="s">
        <v>32</v>
      </c>
      <c r="D693" t="s">
        <v>173</v>
      </c>
      <c r="E693">
        <v>16</v>
      </c>
      <c r="F693">
        <v>15.25</v>
      </c>
      <c r="G693">
        <v>2.82</v>
      </c>
      <c r="H693">
        <v>33.35</v>
      </c>
      <c r="I693">
        <v>0.8</v>
      </c>
      <c r="J693">
        <v>88.48</v>
      </c>
      <c r="K693">
        <f t="shared" si="92"/>
        <v>1415.68</v>
      </c>
      <c r="L693">
        <f t="shared" si="93"/>
        <v>1415.68</v>
      </c>
      <c r="M693">
        <f t="shared" si="90"/>
        <v>688.07999999999993</v>
      </c>
      <c r="N693">
        <f t="shared" si="94"/>
        <v>172.01999999999998</v>
      </c>
      <c r="O693">
        <f t="shared" si="95"/>
        <v>688.07999999999993</v>
      </c>
      <c r="P693">
        <f t="shared" si="96"/>
        <v>172.01999999999998</v>
      </c>
      <c r="Q693">
        <f t="shared" si="97"/>
        <v>175.52920799999998</v>
      </c>
      <c r="R693">
        <f t="shared" si="98"/>
        <v>426.88000000000005</v>
      </c>
      <c r="S693">
        <f t="shared" si="91"/>
        <v>1415.68</v>
      </c>
    </row>
    <row r="694" spans="1:19" x14ac:dyDescent="0.25">
      <c r="A694">
        <v>824</v>
      </c>
      <c r="B694">
        <v>1322</v>
      </c>
      <c r="C694" t="s">
        <v>32</v>
      </c>
      <c r="D694" t="s">
        <v>173</v>
      </c>
      <c r="E694">
        <v>32</v>
      </c>
      <c r="F694">
        <v>14.41</v>
      </c>
      <c r="G694">
        <v>3.11</v>
      </c>
      <c r="H694">
        <v>30.81</v>
      </c>
      <c r="I694">
        <v>0.82</v>
      </c>
      <c r="J694">
        <v>89.41</v>
      </c>
      <c r="K694">
        <f t="shared" si="92"/>
        <v>2861.12</v>
      </c>
      <c r="L694">
        <f t="shared" si="93"/>
        <v>2861.12</v>
      </c>
      <c r="M694">
        <f t="shared" si="90"/>
        <v>1434.0832</v>
      </c>
      <c r="N694">
        <f t="shared" si="94"/>
        <v>358.52080000000001</v>
      </c>
      <c r="O694">
        <f t="shared" si="95"/>
        <v>1434.0832</v>
      </c>
      <c r="P694">
        <f t="shared" si="96"/>
        <v>358.52080000000001</v>
      </c>
      <c r="Q694">
        <f t="shared" si="97"/>
        <v>365.83462431999999</v>
      </c>
      <c r="R694">
        <f t="shared" si="98"/>
        <v>808.45439999999996</v>
      </c>
      <c r="S694">
        <f t="shared" si="91"/>
        <v>2861.12</v>
      </c>
    </row>
    <row r="695" spans="1:19" x14ac:dyDescent="0.25">
      <c r="A695">
        <v>825</v>
      </c>
      <c r="B695">
        <v>1323</v>
      </c>
      <c r="C695" t="s">
        <v>32</v>
      </c>
      <c r="D695" t="s">
        <v>172</v>
      </c>
      <c r="E695">
        <v>41</v>
      </c>
      <c r="F695">
        <v>18.72</v>
      </c>
      <c r="G695">
        <v>10.24</v>
      </c>
      <c r="H695">
        <v>33.54</v>
      </c>
      <c r="I695">
        <v>0.94</v>
      </c>
      <c r="J695">
        <v>265.99</v>
      </c>
      <c r="K695">
        <f t="shared" si="92"/>
        <v>10905.59</v>
      </c>
      <c r="L695">
        <f t="shared" si="93"/>
        <v>0</v>
      </c>
      <c r="M695">
        <f t="shared" si="90"/>
        <v>0</v>
      </c>
      <c r="N695">
        <f t="shared" si="94"/>
        <v>0</v>
      </c>
      <c r="O695">
        <f t="shared" si="95"/>
        <v>7859.4048000000003</v>
      </c>
      <c r="P695">
        <f t="shared" si="96"/>
        <v>1964.8512000000001</v>
      </c>
      <c r="Q695">
        <f t="shared" si="97"/>
        <v>2004.9341644799999</v>
      </c>
      <c r="R695">
        <f t="shared" si="98"/>
        <v>1292.6315999999999</v>
      </c>
      <c r="S695">
        <f t="shared" si="91"/>
        <v>10905.59</v>
      </c>
    </row>
    <row r="696" spans="1:19" x14ac:dyDescent="0.25">
      <c r="A696">
        <v>826</v>
      </c>
      <c r="B696">
        <v>1323</v>
      </c>
      <c r="C696" t="s">
        <v>32</v>
      </c>
      <c r="D696" t="s">
        <v>173</v>
      </c>
      <c r="E696">
        <v>15</v>
      </c>
      <c r="F696">
        <v>17.11</v>
      </c>
      <c r="G696">
        <v>2.8</v>
      </c>
      <c r="H696">
        <v>27.79</v>
      </c>
      <c r="I696">
        <v>0.8</v>
      </c>
      <c r="J696">
        <v>90.33</v>
      </c>
      <c r="K696">
        <f t="shared" si="92"/>
        <v>1354.95</v>
      </c>
      <c r="L696">
        <f t="shared" si="93"/>
        <v>1354.95</v>
      </c>
      <c r="M696">
        <f t="shared" si="90"/>
        <v>718.62</v>
      </c>
      <c r="N696">
        <f t="shared" si="94"/>
        <v>179.655</v>
      </c>
      <c r="O696">
        <f t="shared" si="95"/>
        <v>718.62</v>
      </c>
      <c r="P696">
        <f t="shared" si="96"/>
        <v>179.655</v>
      </c>
      <c r="Q696">
        <f t="shared" si="97"/>
        <v>183.319962</v>
      </c>
      <c r="R696">
        <f t="shared" si="98"/>
        <v>333.48</v>
      </c>
      <c r="S696">
        <f t="shared" si="91"/>
        <v>1354.95</v>
      </c>
    </row>
    <row r="697" spans="1:19" x14ac:dyDescent="0.25">
      <c r="A697">
        <v>827</v>
      </c>
      <c r="B697">
        <v>1323</v>
      </c>
      <c r="C697" t="s">
        <v>32</v>
      </c>
      <c r="D697" t="s">
        <v>172</v>
      </c>
      <c r="E697">
        <v>14</v>
      </c>
      <c r="F697">
        <v>18.510000000000002</v>
      </c>
      <c r="G697">
        <v>11.18</v>
      </c>
      <c r="H697">
        <v>32.409999999999997</v>
      </c>
      <c r="I697">
        <v>0.84</v>
      </c>
      <c r="J697">
        <v>340.22</v>
      </c>
      <c r="K697">
        <f t="shared" si="92"/>
        <v>4763.08</v>
      </c>
      <c r="L697">
        <f t="shared" si="93"/>
        <v>0</v>
      </c>
      <c r="M697">
        <f t="shared" si="90"/>
        <v>0</v>
      </c>
      <c r="N697">
        <f t="shared" si="94"/>
        <v>0</v>
      </c>
      <c r="O697">
        <f t="shared" si="95"/>
        <v>2897.1851999999999</v>
      </c>
      <c r="P697">
        <f t="shared" si="96"/>
        <v>724.29629999999997</v>
      </c>
      <c r="Q697">
        <f t="shared" si="97"/>
        <v>739.07194451999999</v>
      </c>
      <c r="R697">
        <f t="shared" si="98"/>
        <v>381.14159999999993</v>
      </c>
      <c r="S697">
        <f t="shared" si="91"/>
        <v>4763.08</v>
      </c>
    </row>
    <row r="698" spans="1:19" x14ac:dyDescent="0.25">
      <c r="A698">
        <v>828</v>
      </c>
      <c r="B698">
        <v>1323</v>
      </c>
      <c r="C698" t="s">
        <v>32</v>
      </c>
      <c r="D698" t="s">
        <v>173</v>
      </c>
      <c r="E698">
        <v>29</v>
      </c>
      <c r="F698">
        <v>13.58</v>
      </c>
      <c r="G698">
        <v>3.13</v>
      </c>
      <c r="H698">
        <v>29.03</v>
      </c>
      <c r="I698">
        <v>0.78</v>
      </c>
      <c r="J698">
        <v>83.35</v>
      </c>
      <c r="K698">
        <f t="shared" si="92"/>
        <v>2417.1499999999996</v>
      </c>
      <c r="L698">
        <f t="shared" si="93"/>
        <v>2417.1499999999996</v>
      </c>
      <c r="M698">
        <f t="shared" si="90"/>
        <v>1232.6566</v>
      </c>
      <c r="N698">
        <f t="shared" si="94"/>
        <v>308.16415000000001</v>
      </c>
      <c r="O698">
        <f t="shared" si="95"/>
        <v>1232.6566</v>
      </c>
      <c r="P698">
        <f t="shared" si="96"/>
        <v>308.16415000000001</v>
      </c>
      <c r="Q698">
        <f t="shared" si="97"/>
        <v>314.45069866</v>
      </c>
      <c r="R698">
        <f t="shared" si="98"/>
        <v>656.65860000000009</v>
      </c>
      <c r="S698">
        <f t="shared" si="91"/>
        <v>2417.1499999999996</v>
      </c>
    </row>
    <row r="699" spans="1:19" x14ac:dyDescent="0.25">
      <c r="A699">
        <v>829</v>
      </c>
      <c r="B699">
        <v>1323</v>
      </c>
      <c r="C699" t="s">
        <v>32</v>
      </c>
      <c r="D699" t="s">
        <v>173</v>
      </c>
      <c r="E699">
        <v>23</v>
      </c>
      <c r="F699">
        <v>13.41</v>
      </c>
      <c r="G699">
        <v>2.72</v>
      </c>
      <c r="H699">
        <v>34.61</v>
      </c>
      <c r="I699">
        <v>0.77</v>
      </c>
      <c r="J699">
        <v>70.8</v>
      </c>
      <c r="K699">
        <f t="shared" si="92"/>
        <v>1628.3999999999999</v>
      </c>
      <c r="L699">
        <f t="shared" si="93"/>
        <v>1628.3999999999999</v>
      </c>
      <c r="M699">
        <f t="shared" si="90"/>
        <v>838.92960000000005</v>
      </c>
      <c r="N699">
        <f t="shared" si="94"/>
        <v>209.73240000000001</v>
      </c>
      <c r="O699">
        <f t="shared" si="95"/>
        <v>838.92960000000005</v>
      </c>
      <c r="P699">
        <f t="shared" si="96"/>
        <v>209.73240000000001</v>
      </c>
      <c r="Q699">
        <f t="shared" si="97"/>
        <v>214.01094096</v>
      </c>
      <c r="R699">
        <f t="shared" si="98"/>
        <v>612.94310000000007</v>
      </c>
      <c r="S699">
        <f t="shared" si="91"/>
        <v>1628.3999999999999</v>
      </c>
    </row>
    <row r="700" spans="1:19" x14ac:dyDescent="0.25">
      <c r="A700">
        <v>830</v>
      </c>
      <c r="B700">
        <v>1323</v>
      </c>
      <c r="C700" t="s">
        <v>32</v>
      </c>
      <c r="D700" t="s">
        <v>173</v>
      </c>
      <c r="E700">
        <v>11</v>
      </c>
      <c r="F700">
        <v>13.49</v>
      </c>
      <c r="G700">
        <v>2.76</v>
      </c>
      <c r="H700">
        <v>27.05</v>
      </c>
      <c r="I700">
        <v>0.8</v>
      </c>
      <c r="J700">
        <v>75</v>
      </c>
      <c r="K700">
        <f t="shared" si="92"/>
        <v>825</v>
      </c>
      <c r="L700">
        <f t="shared" si="93"/>
        <v>825</v>
      </c>
      <c r="M700">
        <f t="shared" si="90"/>
        <v>409.5564</v>
      </c>
      <c r="N700">
        <f t="shared" si="94"/>
        <v>102.3891</v>
      </c>
      <c r="O700">
        <f t="shared" si="95"/>
        <v>409.5564</v>
      </c>
      <c r="P700">
        <f t="shared" si="96"/>
        <v>102.3891</v>
      </c>
      <c r="Q700">
        <f t="shared" si="97"/>
        <v>104.47783763999999</v>
      </c>
      <c r="R700">
        <f t="shared" si="98"/>
        <v>238.04000000000002</v>
      </c>
      <c r="S700">
        <f t="shared" si="91"/>
        <v>825</v>
      </c>
    </row>
    <row r="701" spans="1:19" x14ac:dyDescent="0.25">
      <c r="A701">
        <v>831</v>
      </c>
      <c r="B701">
        <v>1323</v>
      </c>
      <c r="C701" t="s">
        <v>32</v>
      </c>
      <c r="D701" t="s">
        <v>172</v>
      </c>
      <c r="E701">
        <v>12</v>
      </c>
      <c r="F701">
        <v>19.350000000000001</v>
      </c>
      <c r="G701">
        <v>11.33</v>
      </c>
      <c r="H701">
        <v>30.3</v>
      </c>
      <c r="I701">
        <v>1.1000000000000001</v>
      </c>
      <c r="J701">
        <v>365.78</v>
      </c>
      <c r="K701">
        <f t="shared" si="92"/>
        <v>4389.3599999999997</v>
      </c>
      <c r="L701">
        <f t="shared" si="93"/>
        <v>0</v>
      </c>
      <c r="M701">
        <f t="shared" si="90"/>
        <v>0</v>
      </c>
      <c r="N701">
        <f t="shared" si="94"/>
        <v>0</v>
      </c>
      <c r="O701">
        <f t="shared" si="95"/>
        <v>2630.8260000000005</v>
      </c>
      <c r="P701">
        <f t="shared" si="96"/>
        <v>657.70650000000012</v>
      </c>
      <c r="Q701">
        <f t="shared" si="97"/>
        <v>671.12371260000009</v>
      </c>
      <c r="R701">
        <f t="shared" si="98"/>
        <v>399.96000000000004</v>
      </c>
      <c r="S701">
        <f t="shared" si="91"/>
        <v>4389.3599999999997</v>
      </c>
    </row>
    <row r="702" spans="1:19" x14ac:dyDescent="0.25">
      <c r="A702">
        <v>832</v>
      </c>
      <c r="B702">
        <v>1323</v>
      </c>
      <c r="C702" t="s">
        <v>32</v>
      </c>
      <c r="D702" t="s">
        <v>172</v>
      </c>
      <c r="E702">
        <v>14</v>
      </c>
      <c r="F702">
        <v>20.61</v>
      </c>
      <c r="G702">
        <v>11.1</v>
      </c>
      <c r="H702">
        <v>32.68</v>
      </c>
      <c r="I702">
        <v>1.07</v>
      </c>
      <c r="J702">
        <v>381.91</v>
      </c>
      <c r="K702">
        <f t="shared" si="92"/>
        <v>5346.7400000000007</v>
      </c>
      <c r="L702">
        <f t="shared" si="93"/>
        <v>0</v>
      </c>
      <c r="M702">
        <f t="shared" si="90"/>
        <v>0</v>
      </c>
      <c r="N702">
        <f t="shared" si="94"/>
        <v>0</v>
      </c>
      <c r="O702">
        <f t="shared" si="95"/>
        <v>3202.7939999999999</v>
      </c>
      <c r="P702">
        <f t="shared" si="96"/>
        <v>800.69849999999997</v>
      </c>
      <c r="Q702">
        <f t="shared" si="97"/>
        <v>817.03274939999994</v>
      </c>
      <c r="R702">
        <f t="shared" si="98"/>
        <v>489.54640000000001</v>
      </c>
      <c r="S702">
        <f t="shared" si="91"/>
        <v>5346.7400000000007</v>
      </c>
    </row>
    <row r="703" spans="1:19" x14ac:dyDescent="0.25">
      <c r="A703">
        <v>833</v>
      </c>
      <c r="B703">
        <v>1324</v>
      </c>
      <c r="C703" t="s">
        <v>34</v>
      </c>
      <c r="D703" t="s">
        <v>172</v>
      </c>
      <c r="E703">
        <v>112</v>
      </c>
      <c r="F703">
        <v>18.37</v>
      </c>
      <c r="G703">
        <v>10.49</v>
      </c>
      <c r="H703">
        <v>28.87</v>
      </c>
      <c r="I703">
        <v>0.83</v>
      </c>
      <c r="J703">
        <v>315.16000000000003</v>
      </c>
      <c r="K703">
        <f t="shared" si="92"/>
        <v>35297.920000000006</v>
      </c>
      <c r="L703">
        <f t="shared" si="93"/>
        <v>0</v>
      </c>
      <c r="M703">
        <f t="shared" si="90"/>
        <v>0</v>
      </c>
      <c r="N703">
        <f t="shared" si="94"/>
        <v>0</v>
      </c>
      <c r="O703">
        <f t="shared" si="95"/>
        <v>21582.545600000005</v>
      </c>
      <c r="P703">
        <f t="shared" si="96"/>
        <v>5395.6364000000012</v>
      </c>
      <c r="Q703">
        <f t="shared" si="97"/>
        <v>5505.707382560001</v>
      </c>
      <c r="R703">
        <f t="shared" si="98"/>
        <v>2683.7552000000001</v>
      </c>
      <c r="S703">
        <f t="shared" si="91"/>
        <v>35297.920000000006</v>
      </c>
    </row>
    <row r="704" spans="1:19" x14ac:dyDescent="0.25">
      <c r="A704">
        <v>834</v>
      </c>
      <c r="B704">
        <v>1324</v>
      </c>
      <c r="C704" t="s">
        <v>34</v>
      </c>
      <c r="D704" t="s">
        <v>173</v>
      </c>
      <c r="E704">
        <v>18</v>
      </c>
      <c r="F704">
        <v>16.52</v>
      </c>
      <c r="G704">
        <v>2.92</v>
      </c>
      <c r="H704">
        <v>30.18</v>
      </c>
      <c r="I704">
        <v>0.79</v>
      </c>
      <c r="J704">
        <v>82.46</v>
      </c>
      <c r="K704">
        <f t="shared" si="92"/>
        <v>1484.28</v>
      </c>
      <c r="L704">
        <f t="shared" si="93"/>
        <v>1484.28</v>
      </c>
      <c r="M704">
        <f t="shared" si="90"/>
        <v>868.2912</v>
      </c>
      <c r="N704">
        <f t="shared" si="94"/>
        <v>217.0728</v>
      </c>
      <c r="O704">
        <f t="shared" si="95"/>
        <v>868.2912</v>
      </c>
      <c r="P704">
        <f t="shared" si="96"/>
        <v>217.0728</v>
      </c>
      <c r="Q704">
        <f t="shared" si="97"/>
        <v>221.50108512</v>
      </c>
      <c r="R704">
        <f t="shared" si="98"/>
        <v>429.15960000000001</v>
      </c>
      <c r="S704">
        <f t="shared" si="91"/>
        <v>1484.28</v>
      </c>
    </row>
    <row r="705" spans="1:19" x14ac:dyDescent="0.25">
      <c r="A705">
        <v>835</v>
      </c>
      <c r="B705">
        <v>1324</v>
      </c>
      <c r="C705" t="s">
        <v>34</v>
      </c>
      <c r="D705" t="s">
        <v>173</v>
      </c>
      <c r="E705">
        <v>9</v>
      </c>
      <c r="F705">
        <v>15.68</v>
      </c>
      <c r="G705">
        <v>2.6</v>
      </c>
      <c r="H705">
        <v>29.45</v>
      </c>
      <c r="I705">
        <v>0.8</v>
      </c>
      <c r="J705">
        <v>81.97</v>
      </c>
      <c r="K705">
        <f t="shared" si="92"/>
        <v>737.73</v>
      </c>
      <c r="L705">
        <f t="shared" si="93"/>
        <v>737.73</v>
      </c>
      <c r="M705">
        <f t="shared" si="90"/>
        <v>366.91200000000003</v>
      </c>
      <c r="N705">
        <f t="shared" si="94"/>
        <v>91.728000000000009</v>
      </c>
      <c r="O705">
        <f t="shared" si="95"/>
        <v>366.91200000000003</v>
      </c>
      <c r="P705">
        <f t="shared" si="96"/>
        <v>91.728000000000009</v>
      </c>
      <c r="Q705">
        <f t="shared" si="97"/>
        <v>93.599251200000012</v>
      </c>
      <c r="R705">
        <f t="shared" si="98"/>
        <v>212.04</v>
      </c>
      <c r="S705">
        <f t="shared" si="91"/>
        <v>737.73</v>
      </c>
    </row>
    <row r="706" spans="1:19" x14ac:dyDescent="0.25">
      <c r="A706">
        <v>836</v>
      </c>
      <c r="B706">
        <v>1324</v>
      </c>
      <c r="C706" t="s">
        <v>34</v>
      </c>
      <c r="D706" t="s">
        <v>172</v>
      </c>
      <c r="E706">
        <v>11</v>
      </c>
      <c r="F706">
        <v>20.05</v>
      </c>
      <c r="G706">
        <v>10.61</v>
      </c>
      <c r="H706">
        <v>29.58</v>
      </c>
      <c r="I706">
        <v>1.1000000000000001</v>
      </c>
      <c r="J706">
        <v>355.16</v>
      </c>
      <c r="K706">
        <f t="shared" si="92"/>
        <v>3906.76</v>
      </c>
      <c r="L706">
        <f t="shared" si="93"/>
        <v>0</v>
      </c>
      <c r="M706">
        <f t="shared" ref="M706:M769" si="99">IF(D706="SHOES",O706,0)</f>
        <v>0</v>
      </c>
      <c r="N706">
        <f t="shared" si="94"/>
        <v>0</v>
      </c>
      <c r="O706">
        <f t="shared" si="95"/>
        <v>2340.0355</v>
      </c>
      <c r="P706">
        <f t="shared" si="96"/>
        <v>585.00887499999999</v>
      </c>
      <c r="Q706">
        <f t="shared" si="97"/>
        <v>596.94305605</v>
      </c>
      <c r="R706">
        <f t="shared" si="98"/>
        <v>357.91800000000001</v>
      </c>
      <c r="S706">
        <f t="shared" ref="S706:S769" si="100">PRODUCT(J706,E706)</f>
        <v>3906.76</v>
      </c>
    </row>
    <row r="707" spans="1:19" x14ac:dyDescent="0.25">
      <c r="A707">
        <v>837</v>
      </c>
      <c r="B707">
        <v>1324</v>
      </c>
      <c r="C707" t="s">
        <v>34</v>
      </c>
      <c r="D707" t="s">
        <v>172</v>
      </c>
      <c r="E707">
        <v>14</v>
      </c>
      <c r="F707">
        <v>18.8</v>
      </c>
      <c r="G707">
        <v>10.81</v>
      </c>
      <c r="H707">
        <v>32.94</v>
      </c>
      <c r="I707">
        <v>0.91</v>
      </c>
      <c r="J707">
        <v>337.97</v>
      </c>
      <c r="K707">
        <f t="shared" ref="K707:K770" si="101">E707*J707</f>
        <v>4731.58</v>
      </c>
      <c r="L707">
        <f t="shared" ref="L707:L770" si="102">IF(D707="SHOES",E707*J707,0)</f>
        <v>0</v>
      </c>
      <c r="M707">
        <f t="shared" si="99"/>
        <v>0</v>
      </c>
      <c r="N707">
        <f t="shared" ref="N707:N770" si="103">IF(D707="SHOES",P707,0)</f>
        <v>0</v>
      </c>
      <c r="O707">
        <f t="shared" ref="O707:O770" si="104">PRODUCT(E707,G707,F707)</f>
        <v>2845.192</v>
      </c>
      <c r="P707">
        <f t="shared" ref="P707:P770" si="105">PRODUCT(O707,0.25)</f>
        <v>711.298</v>
      </c>
      <c r="Q707">
        <f t="shared" ref="Q707:Q770" si="106">PRODUCT(O707,0.2551)</f>
        <v>725.80847919999997</v>
      </c>
      <c r="R707">
        <f t="shared" si="98"/>
        <v>419.65559999999999</v>
      </c>
      <c r="S707">
        <f t="shared" si="100"/>
        <v>4731.58</v>
      </c>
    </row>
    <row r="708" spans="1:19" x14ac:dyDescent="0.25">
      <c r="A708">
        <v>838</v>
      </c>
      <c r="B708">
        <v>1324</v>
      </c>
      <c r="C708" t="s">
        <v>34</v>
      </c>
      <c r="D708" t="s">
        <v>172</v>
      </c>
      <c r="E708">
        <v>16</v>
      </c>
      <c r="F708">
        <v>19.75</v>
      </c>
      <c r="G708">
        <v>11.42</v>
      </c>
      <c r="H708">
        <v>26.86</v>
      </c>
      <c r="I708">
        <v>0.93</v>
      </c>
      <c r="J708">
        <v>365.22</v>
      </c>
      <c r="K708">
        <f t="shared" si="101"/>
        <v>5843.52</v>
      </c>
      <c r="L708">
        <f t="shared" si="102"/>
        <v>0</v>
      </c>
      <c r="M708">
        <f t="shared" si="99"/>
        <v>0</v>
      </c>
      <c r="N708">
        <f t="shared" si="103"/>
        <v>0</v>
      </c>
      <c r="O708">
        <f t="shared" si="104"/>
        <v>3608.72</v>
      </c>
      <c r="P708">
        <f t="shared" si="105"/>
        <v>902.18</v>
      </c>
      <c r="Q708">
        <f t="shared" si="106"/>
        <v>920.58447199999989</v>
      </c>
      <c r="R708">
        <f t="shared" ref="R708:R771" si="107">PRODUCT(E708,I708,H708)</f>
        <v>399.67680000000001</v>
      </c>
      <c r="S708">
        <f t="shared" si="100"/>
        <v>5843.52</v>
      </c>
    </row>
    <row r="709" spans="1:19" x14ac:dyDescent="0.25">
      <c r="A709">
        <v>839</v>
      </c>
      <c r="B709">
        <v>1324</v>
      </c>
      <c r="C709" t="s">
        <v>34</v>
      </c>
      <c r="D709" t="s">
        <v>173</v>
      </c>
      <c r="E709">
        <v>11</v>
      </c>
      <c r="F709">
        <v>14.17</v>
      </c>
      <c r="G709">
        <v>3.06</v>
      </c>
      <c r="H709">
        <v>35.130000000000003</v>
      </c>
      <c r="I709">
        <v>0.8</v>
      </c>
      <c r="J709">
        <v>90.53</v>
      </c>
      <c r="K709">
        <f t="shared" si="101"/>
        <v>995.83</v>
      </c>
      <c r="L709">
        <f t="shared" si="102"/>
        <v>995.83</v>
      </c>
      <c r="M709">
        <f t="shared" si="99"/>
        <v>476.96220000000005</v>
      </c>
      <c r="N709">
        <f t="shared" si="103"/>
        <v>119.24055000000001</v>
      </c>
      <c r="O709">
        <f t="shared" si="104"/>
        <v>476.96220000000005</v>
      </c>
      <c r="P709">
        <f t="shared" si="105"/>
        <v>119.24055000000001</v>
      </c>
      <c r="Q709">
        <f t="shared" si="106"/>
        <v>121.67305722</v>
      </c>
      <c r="R709">
        <f t="shared" si="107"/>
        <v>309.14400000000006</v>
      </c>
      <c r="S709">
        <f t="shared" si="100"/>
        <v>995.83</v>
      </c>
    </row>
    <row r="710" spans="1:19" x14ac:dyDescent="0.25">
      <c r="A710">
        <v>840</v>
      </c>
      <c r="B710">
        <v>1324</v>
      </c>
      <c r="C710" t="s">
        <v>34</v>
      </c>
      <c r="D710" t="s">
        <v>172</v>
      </c>
      <c r="E710">
        <v>32</v>
      </c>
      <c r="F710">
        <v>21.47</v>
      </c>
      <c r="G710">
        <v>10.26</v>
      </c>
      <c r="H710">
        <v>27.59</v>
      </c>
      <c r="I710">
        <v>1.08</v>
      </c>
      <c r="J710">
        <v>363.13</v>
      </c>
      <c r="K710">
        <f t="shared" si="101"/>
        <v>11620.16</v>
      </c>
      <c r="L710">
        <f t="shared" si="102"/>
        <v>0</v>
      </c>
      <c r="M710">
        <f t="shared" si="99"/>
        <v>0</v>
      </c>
      <c r="N710">
        <f t="shared" si="103"/>
        <v>0</v>
      </c>
      <c r="O710">
        <f t="shared" si="104"/>
        <v>7049.0303999999996</v>
      </c>
      <c r="P710">
        <f t="shared" si="105"/>
        <v>1762.2575999999999</v>
      </c>
      <c r="Q710">
        <f t="shared" si="106"/>
        <v>1798.20765504</v>
      </c>
      <c r="R710">
        <f t="shared" si="107"/>
        <v>953.5104</v>
      </c>
      <c r="S710">
        <f t="shared" si="100"/>
        <v>11620.16</v>
      </c>
    </row>
    <row r="711" spans="1:19" x14ac:dyDescent="0.25">
      <c r="A711">
        <v>841</v>
      </c>
      <c r="B711">
        <v>1324</v>
      </c>
      <c r="C711" t="s">
        <v>34</v>
      </c>
      <c r="D711" t="s">
        <v>173</v>
      </c>
      <c r="E711">
        <v>15</v>
      </c>
      <c r="F711">
        <v>13.93</v>
      </c>
      <c r="G711">
        <v>3.12</v>
      </c>
      <c r="H711">
        <v>31.89</v>
      </c>
      <c r="I711">
        <v>0.79</v>
      </c>
      <c r="J711">
        <v>87.47</v>
      </c>
      <c r="K711">
        <f t="shared" si="101"/>
        <v>1312.05</v>
      </c>
      <c r="L711">
        <f t="shared" si="102"/>
        <v>1312.05</v>
      </c>
      <c r="M711">
        <f t="shared" si="99"/>
        <v>651.92400000000009</v>
      </c>
      <c r="N711">
        <f t="shared" si="103"/>
        <v>162.98100000000002</v>
      </c>
      <c r="O711">
        <f t="shared" si="104"/>
        <v>651.92400000000009</v>
      </c>
      <c r="P711">
        <f t="shared" si="105"/>
        <v>162.98100000000002</v>
      </c>
      <c r="Q711">
        <f t="shared" si="106"/>
        <v>166.30581240000001</v>
      </c>
      <c r="R711">
        <f t="shared" si="107"/>
        <v>377.89650000000006</v>
      </c>
      <c r="S711">
        <f t="shared" si="100"/>
        <v>1312.05</v>
      </c>
    </row>
    <row r="712" spans="1:19" x14ac:dyDescent="0.25">
      <c r="A712">
        <v>842</v>
      </c>
      <c r="B712">
        <v>1324</v>
      </c>
      <c r="C712" t="s">
        <v>34</v>
      </c>
      <c r="D712" t="s">
        <v>173</v>
      </c>
      <c r="E712">
        <v>18</v>
      </c>
      <c r="F712">
        <v>16.350000000000001</v>
      </c>
      <c r="G712">
        <v>2.83</v>
      </c>
      <c r="H712">
        <v>32.409999999999997</v>
      </c>
      <c r="I712">
        <v>0.79</v>
      </c>
      <c r="J712">
        <v>91.79</v>
      </c>
      <c r="K712">
        <f t="shared" si="101"/>
        <v>1652.22</v>
      </c>
      <c r="L712">
        <f t="shared" si="102"/>
        <v>1652.22</v>
      </c>
      <c r="M712">
        <f t="shared" si="99"/>
        <v>832.86900000000003</v>
      </c>
      <c r="N712">
        <f t="shared" si="103"/>
        <v>208.21725000000001</v>
      </c>
      <c r="O712">
        <f t="shared" si="104"/>
        <v>832.86900000000003</v>
      </c>
      <c r="P712">
        <f t="shared" si="105"/>
        <v>208.21725000000001</v>
      </c>
      <c r="Q712">
        <f t="shared" si="106"/>
        <v>212.46488189999999</v>
      </c>
      <c r="R712">
        <f t="shared" si="107"/>
        <v>460.87019999999995</v>
      </c>
      <c r="S712">
        <f t="shared" si="100"/>
        <v>1652.22</v>
      </c>
    </row>
    <row r="713" spans="1:19" x14ac:dyDescent="0.25">
      <c r="A713">
        <v>843</v>
      </c>
      <c r="B713">
        <v>1324</v>
      </c>
      <c r="C713" t="s">
        <v>34</v>
      </c>
      <c r="D713" t="s">
        <v>173</v>
      </c>
      <c r="E713">
        <v>14</v>
      </c>
      <c r="F713">
        <v>15.92</v>
      </c>
      <c r="G713">
        <v>2.82</v>
      </c>
      <c r="H713">
        <v>28.32</v>
      </c>
      <c r="I713">
        <v>0.79</v>
      </c>
      <c r="J713">
        <v>86.34</v>
      </c>
      <c r="K713">
        <f t="shared" si="101"/>
        <v>1208.76</v>
      </c>
      <c r="L713">
        <f t="shared" si="102"/>
        <v>1208.76</v>
      </c>
      <c r="M713">
        <f t="shared" si="99"/>
        <v>628.52159999999992</v>
      </c>
      <c r="N713">
        <f t="shared" si="103"/>
        <v>157.13039999999998</v>
      </c>
      <c r="O713">
        <f t="shared" si="104"/>
        <v>628.52159999999992</v>
      </c>
      <c r="P713">
        <f t="shared" si="105"/>
        <v>157.13039999999998</v>
      </c>
      <c r="Q713">
        <f t="shared" si="106"/>
        <v>160.33586015999998</v>
      </c>
      <c r="R713">
        <f t="shared" si="107"/>
        <v>313.2192</v>
      </c>
      <c r="S713">
        <f t="shared" si="100"/>
        <v>1208.76</v>
      </c>
    </row>
    <row r="714" spans="1:19" x14ac:dyDescent="0.25">
      <c r="A714">
        <v>844</v>
      </c>
      <c r="B714">
        <v>1324</v>
      </c>
      <c r="C714" t="s">
        <v>34</v>
      </c>
      <c r="D714" t="s">
        <v>173</v>
      </c>
      <c r="E714">
        <v>15</v>
      </c>
      <c r="F714">
        <v>15.99</v>
      </c>
      <c r="G714">
        <v>2.67</v>
      </c>
      <c r="H714">
        <v>33.49</v>
      </c>
      <c r="I714">
        <v>0.78</v>
      </c>
      <c r="J714">
        <v>87.44</v>
      </c>
      <c r="K714">
        <f t="shared" si="101"/>
        <v>1311.6</v>
      </c>
      <c r="L714">
        <f t="shared" si="102"/>
        <v>1311.6</v>
      </c>
      <c r="M714">
        <f t="shared" si="99"/>
        <v>640.39949999999999</v>
      </c>
      <c r="N714">
        <f t="shared" si="103"/>
        <v>160.099875</v>
      </c>
      <c r="O714">
        <f t="shared" si="104"/>
        <v>640.39949999999999</v>
      </c>
      <c r="P714">
        <f t="shared" si="105"/>
        <v>160.099875</v>
      </c>
      <c r="Q714">
        <f t="shared" si="106"/>
        <v>163.36591245</v>
      </c>
      <c r="R714">
        <f t="shared" si="107"/>
        <v>391.83300000000008</v>
      </c>
      <c r="S714">
        <f t="shared" si="100"/>
        <v>1311.6</v>
      </c>
    </row>
    <row r="715" spans="1:19" x14ac:dyDescent="0.25">
      <c r="A715">
        <v>845</v>
      </c>
      <c r="B715">
        <v>1324</v>
      </c>
      <c r="C715" t="s">
        <v>34</v>
      </c>
      <c r="D715" t="s">
        <v>173</v>
      </c>
      <c r="E715">
        <v>9</v>
      </c>
      <c r="F715">
        <v>14.62</v>
      </c>
      <c r="G715">
        <v>2.8</v>
      </c>
      <c r="H715">
        <v>31.74</v>
      </c>
      <c r="I715">
        <v>0.81</v>
      </c>
      <c r="J715">
        <v>84.57</v>
      </c>
      <c r="K715">
        <f t="shared" si="101"/>
        <v>761.12999999999988</v>
      </c>
      <c r="L715">
        <f t="shared" si="102"/>
        <v>761.12999999999988</v>
      </c>
      <c r="M715">
        <f t="shared" si="99"/>
        <v>368.42399999999998</v>
      </c>
      <c r="N715">
        <f t="shared" si="103"/>
        <v>92.105999999999995</v>
      </c>
      <c r="O715">
        <f t="shared" si="104"/>
        <v>368.42399999999998</v>
      </c>
      <c r="P715">
        <f t="shared" si="105"/>
        <v>92.105999999999995</v>
      </c>
      <c r="Q715">
        <f t="shared" si="106"/>
        <v>93.984962399999986</v>
      </c>
      <c r="R715">
        <f t="shared" si="107"/>
        <v>231.38460000000001</v>
      </c>
      <c r="S715">
        <f t="shared" si="100"/>
        <v>761.12999999999988</v>
      </c>
    </row>
    <row r="716" spans="1:19" x14ac:dyDescent="0.25">
      <c r="A716">
        <v>846</v>
      </c>
      <c r="B716">
        <v>1325</v>
      </c>
      <c r="C716" t="s">
        <v>34</v>
      </c>
      <c r="D716" t="s">
        <v>173</v>
      </c>
      <c r="E716">
        <v>10</v>
      </c>
      <c r="F716">
        <v>15.42</v>
      </c>
      <c r="G716">
        <v>2.95</v>
      </c>
      <c r="H716">
        <v>33.36</v>
      </c>
      <c r="I716">
        <v>0.78</v>
      </c>
      <c r="J716">
        <v>91.17</v>
      </c>
      <c r="K716">
        <f t="shared" si="101"/>
        <v>911.7</v>
      </c>
      <c r="L716">
        <f t="shared" si="102"/>
        <v>911.7</v>
      </c>
      <c r="M716">
        <f t="shared" si="99"/>
        <v>454.89</v>
      </c>
      <c r="N716">
        <f t="shared" si="103"/>
        <v>113.7225</v>
      </c>
      <c r="O716">
        <f t="shared" si="104"/>
        <v>454.89</v>
      </c>
      <c r="P716">
        <f t="shared" si="105"/>
        <v>113.7225</v>
      </c>
      <c r="Q716">
        <f t="shared" si="106"/>
        <v>116.04243899999999</v>
      </c>
      <c r="R716">
        <f t="shared" si="107"/>
        <v>260.20800000000003</v>
      </c>
      <c r="S716">
        <f t="shared" si="100"/>
        <v>911.7</v>
      </c>
    </row>
    <row r="717" spans="1:19" x14ac:dyDescent="0.25">
      <c r="A717">
        <v>847</v>
      </c>
      <c r="B717">
        <v>1325</v>
      </c>
      <c r="C717" t="s">
        <v>34</v>
      </c>
      <c r="D717" t="s">
        <v>172</v>
      </c>
      <c r="E717">
        <v>12</v>
      </c>
      <c r="F717">
        <v>20.74</v>
      </c>
      <c r="G717">
        <v>11.34</v>
      </c>
      <c r="H717">
        <v>36.17</v>
      </c>
      <c r="I717">
        <v>1</v>
      </c>
      <c r="J717">
        <v>392.89</v>
      </c>
      <c r="K717">
        <f t="shared" si="101"/>
        <v>4714.68</v>
      </c>
      <c r="L717">
        <f t="shared" si="102"/>
        <v>0</v>
      </c>
      <c r="M717">
        <f t="shared" si="99"/>
        <v>0</v>
      </c>
      <c r="N717">
        <f t="shared" si="103"/>
        <v>0</v>
      </c>
      <c r="O717">
        <f t="shared" si="104"/>
        <v>2822.2991999999995</v>
      </c>
      <c r="P717">
        <f t="shared" si="105"/>
        <v>705.57479999999987</v>
      </c>
      <c r="Q717">
        <f t="shared" si="106"/>
        <v>719.96852591999982</v>
      </c>
      <c r="R717">
        <f t="shared" si="107"/>
        <v>434.04</v>
      </c>
      <c r="S717">
        <f t="shared" si="100"/>
        <v>4714.68</v>
      </c>
    </row>
    <row r="718" spans="1:19" x14ac:dyDescent="0.25">
      <c r="A718">
        <v>848</v>
      </c>
      <c r="B718">
        <v>1325</v>
      </c>
      <c r="C718" t="s">
        <v>34</v>
      </c>
      <c r="D718" t="s">
        <v>173</v>
      </c>
      <c r="E718">
        <v>17</v>
      </c>
      <c r="F718">
        <v>16.329999999999998</v>
      </c>
      <c r="G718">
        <v>2.86</v>
      </c>
      <c r="H718">
        <v>29.53</v>
      </c>
      <c r="I718">
        <v>0.8</v>
      </c>
      <c r="J718">
        <v>90.2</v>
      </c>
      <c r="K718">
        <f t="shared" si="101"/>
        <v>1533.4</v>
      </c>
      <c r="L718">
        <f t="shared" si="102"/>
        <v>1533.4</v>
      </c>
      <c r="M718">
        <f t="shared" si="99"/>
        <v>793.9645999999999</v>
      </c>
      <c r="N718">
        <f t="shared" si="103"/>
        <v>198.49114999999998</v>
      </c>
      <c r="O718">
        <f t="shared" si="104"/>
        <v>793.9645999999999</v>
      </c>
      <c r="P718">
        <f t="shared" si="105"/>
        <v>198.49114999999998</v>
      </c>
      <c r="Q718">
        <f t="shared" si="106"/>
        <v>202.54036945999997</v>
      </c>
      <c r="R718">
        <f t="shared" si="107"/>
        <v>401.60800000000006</v>
      </c>
      <c r="S718">
        <f t="shared" si="100"/>
        <v>1533.4</v>
      </c>
    </row>
    <row r="719" spans="1:19" x14ac:dyDescent="0.25">
      <c r="A719">
        <v>849</v>
      </c>
      <c r="B719">
        <v>1325</v>
      </c>
      <c r="C719" t="s">
        <v>34</v>
      </c>
      <c r="D719" t="s">
        <v>173</v>
      </c>
      <c r="E719">
        <v>25</v>
      </c>
      <c r="F719">
        <v>14.65</v>
      </c>
      <c r="G719">
        <v>3.12</v>
      </c>
      <c r="H719">
        <v>33.35</v>
      </c>
      <c r="I719">
        <v>0.79</v>
      </c>
      <c r="J719">
        <v>91.83</v>
      </c>
      <c r="K719">
        <f t="shared" si="101"/>
        <v>2295.75</v>
      </c>
      <c r="L719">
        <f t="shared" si="102"/>
        <v>2295.75</v>
      </c>
      <c r="M719">
        <f t="shared" si="99"/>
        <v>1142.7</v>
      </c>
      <c r="N719">
        <f t="shared" si="103"/>
        <v>285.67500000000001</v>
      </c>
      <c r="O719">
        <f t="shared" si="104"/>
        <v>1142.7</v>
      </c>
      <c r="P719">
        <f t="shared" si="105"/>
        <v>285.67500000000001</v>
      </c>
      <c r="Q719">
        <f t="shared" si="106"/>
        <v>291.50277</v>
      </c>
      <c r="R719">
        <f t="shared" si="107"/>
        <v>658.66250000000002</v>
      </c>
      <c r="S719">
        <f t="shared" si="100"/>
        <v>2295.75</v>
      </c>
    </row>
    <row r="720" spans="1:19" x14ac:dyDescent="0.25">
      <c r="A720">
        <v>850</v>
      </c>
      <c r="B720">
        <v>1325</v>
      </c>
      <c r="C720" t="s">
        <v>34</v>
      </c>
      <c r="D720" t="s">
        <v>172</v>
      </c>
      <c r="E720">
        <v>12</v>
      </c>
      <c r="F720">
        <v>20.11</v>
      </c>
      <c r="G720">
        <v>11.58</v>
      </c>
      <c r="H720">
        <v>30.12</v>
      </c>
      <c r="I720">
        <v>0.96</v>
      </c>
      <c r="J720">
        <v>380.81</v>
      </c>
      <c r="K720">
        <f t="shared" si="101"/>
        <v>4569.72</v>
      </c>
      <c r="L720">
        <f t="shared" si="102"/>
        <v>0</v>
      </c>
      <c r="M720">
        <f t="shared" si="99"/>
        <v>0</v>
      </c>
      <c r="N720">
        <f t="shared" si="103"/>
        <v>0</v>
      </c>
      <c r="O720">
        <f t="shared" si="104"/>
        <v>2794.4856</v>
      </c>
      <c r="P720">
        <f t="shared" si="105"/>
        <v>698.62139999999999</v>
      </c>
      <c r="Q720">
        <f t="shared" si="106"/>
        <v>712.87327656000002</v>
      </c>
      <c r="R720">
        <f t="shared" si="107"/>
        <v>346.98239999999998</v>
      </c>
      <c r="S720">
        <f t="shared" si="100"/>
        <v>4569.72</v>
      </c>
    </row>
    <row r="721" spans="1:19" x14ac:dyDescent="0.25">
      <c r="A721">
        <v>851</v>
      </c>
      <c r="B721">
        <v>1325</v>
      </c>
      <c r="C721" t="s">
        <v>34</v>
      </c>
      <c r="D721" t="s">
        <v>173</v>
      </c>
      <c r="E721">
        <v>12</v>
      </c>
      <c r="F721">
        <v>14.94</v>
      </c>
      <c r="G721">
        <v>2.57</v>
      </c>
      <c r="H721">
        <v>31.11</v>
      </c>
      <c r="I721">
        <v>0.82</v>
      </c>
      <c r="J721">
        <v>80.86</v>
      </c>
      <c r="K721">
        <f t="shared" si="101"/>
        <v>970.31999999999994</v>
      </c>
      <c r="L721">
        <f t="shared" si="102"/>
        <v>970.31999999999994</v>
      </c>
      <c r="M721">
        <f t="shared" si="99"/>
        <v>460.74959999999993</v>
      </c>
      <c r="N721">
        <f t="shared" si="103"/>
        <v>115.18739999999998</v>
      </c>
      <c r="O721">
        <f t="shared" si="104"/>
        <v>460.74959999999993</v>
      </c>
      <c r="P721">
        <f t="shared" si="105"/>
        <v>115.18739999999998</v>
      </c>
      <c r="Q721">
        <f t="shared" si="106"/>
        <v>117.53722295999998</v>
      </c>
      <c r="R721">
        <f t="shared" si="107"/>
        <v>306.12239999999997</v>
      </c>
      <c r="S721">
        <f t="shared" si="100"/>
        <v>970.31999999999994</v>
      </c>
    </row>
    <row r="722" spans="1:19" x14ac:dyDescent="0.25">
      <c r="A722">
        <v>852</v>
      </c>
      <c r="B722">
        <v>1325</v>
      </c>
      <c r="C722" t="s">
        <v>34</v>
      </c>
      <c r="D722" t="s">
        <v>173</v>
      </c>
      <c r="E722">
        <v>14</v>
      </c>
      <c r="F722">
        <v>15.11</v>
      </c>
      <c r="G722">
        <v>2.88</v>
      </c>
      <c r="H722">
        <v>28.81</v>
      </c>
      <c r="I722">
        <v>0.78</v>
      </c>
      <c r="J722">
        <v>84.56</v>
      </c>
      <c r="K722">
        <f t="shared" si="101"/>
        <v>1183.8400000000001</v>
      </c>
      <c r="L722">
        <f t="shared" si="102"/>
        <v>1183.8400000000001</v>
      </c>
      <c r="M722">
        <f t="shared" si="99"/>
        <v>609.23519999999996</v>
      </c>
      <c r="N722">
        <f t="shared" si="103"/>
        <v>152.30879999999999</v>
      </c>
      <c r="O722">
        <f t="shared" si="104"/>
        <v>609.23519999999996</v>
      </c>
      <c r="P722">
        <f t="shared" si="105"/>
        <v>152.30879999999999</v>
      </c>
      <c r="Q722">
        <f t="shared" si="106"/>
        <v>155.41589951999998</v>
      </c>
      <c r="R722">
        <f t="shared" si="107"/>
        <v>314.60519999999997</v>
      </c>
      <c r="S722">
        <f t="shared" si="100"/>
        <v>1183.8400000000001</v>
      </c>
    </row>
    <row r="723" spans="1:19" x14ac:dyDescent="0.25">
      <c r="A723">
        <v>853</v>
      </c>
      <c r="B723">
        <v>1325</v>
      </c>
      <c r="C723" t="s">
        <v>34</v>
      </c>
      <c r="D723" t="s">
        <v>173</v>
      </c>
      <c r="E723">
        <v>15</v>
      </c>
      <c r="F723">
        <v>14.49</v>
      </c>
      <c r="G723">
        <v>2.94</v>
      </c>
      <c r="H723">
        <v>31.43</v>
      </c>
      <c r="I723">
        <v>0.78</v>
      </c>
      <c r="J723">
        <v>85.54</v>
      </c>
      <c r="K723">
        <f t="shared" si="101"/>
        <v>1283.1000000000001</v>
      </c>
      <c r="L723">
        <f t="shared" si="102"/>
        <v>1283.1000000000001</v>
      </c>
      <c r="M723">
        <f t="shared" si="99"/>
        <v>639.00900000000001</v>
      </c>
      <c r="N723">
        <f t="shared" si="103"/>
        <v>159.75225</v>
      </c>
      <c r="O723">
        <f t="shared" si="104"/>
        <v>639.00900000000001</v>
      </c>
      <c r="P723">
        <f t="shared" si="105"/>
        <v>159.75225</v>
      </c>
      <c r="Q723">
        <f t="shared" si="106"/>
        <v>163.01119589999999</v>
      </c>
      <c r="R723">
        <f t="shared" si="107"/>
        <v>367.73100000000005</v>
      </c>
      <c r="S723">
        <f t="shared" si="100"/>
        <v>1283.1000000000001</v>
      </c>
    </row>
    <row r="724" spans="1:19" x14ac:dyDescent="0.25">
      <c r="A724">
        <v>854</v>
      </c>
      <c r="B724">
        <v>1325</v>
      </c>
      <c r="C724" t="s">
        <v>34</v>
      </c>
      <c r="D724" t="s">
        <v>172</v>
      </c>
      <c r="E724">
        <v>17</v>
      </c>
      <c r="F724">
        <v>19.670000000000002</v>
      </c>
      <c r="G724">
        <v>12.43</v>
      </c>
      <c r="H724">
        <v>32.08</v>
      </c>
      <c r="I724">
        <v>1.07</v>
      </c>
      <c r="J724">
        <v>404.54</v>
      </c>
      <c r="K724">
        <f t="shared" si="101"/>
        <v>6877.18</v>
      </c>
      <c r="L724">
        <f t="shared" si="102"/>
        <v>0</v>
      </c>
      <c r="M724">
        <f t="shared" si="99"/>
        <v>0</v>
      </c>
      <c r="N724">
        <f t="shared" si="103"/>
        <v>0</v>
      </c>
      <c r="O724">
        <f t="shared" si="104"/>
        <v>4156.4677000000001</v>
      </c>
      <c r="P724">
        <f t="shared" si="105"/>
        <v>1039.116925</v>
      </c>
      <c r="Q724">
        <f t="shared" si="106"/>
        <v>1060.3149102699999</v>
      </c>
      <c r="R724">
        <f t="shared" si="107"/>
        <v>583.53520000000003</v>
      </c>
      <c r="S724">
        <f t="shared" si="100"/>
        <v>6877.18</v>
      </c>
    </row>
    <row r="725" spans="1:19" x14ac:dyDescent="0.25">
      <c r="A725">
        <v>855</v>
      </c>
      <c r="B725">
        <v>1325</v>
      </c>
      <c r="C725" t="s">
        <v>34</v>
      </c>
      <c r="D725" t="s">
        <v>172</v>
      </c>
      <c r="E725">
        <v>12</v>
      </c>
      <c r="F725">
        <v>18.079999999999998</v>
      </c>
      <c r="G725">
        <v>10.61</v>
      </c>
      <c r="H725">
        <v>32.08</v>
      </c>
      <c r="I725">
        <v>1.02</v>
      </c>
      <c r="J725">
        <v>324.29000000000002</v>
      </c>
      <c r="K725">
        <f t="shared" si="101"/>
        <v>3891.4800000000005</v>
      </c>
      <c r="L725">
        <f t="shared" si="102"/>
        <v>0</v>
      </c>
      <c r="M725">
        <f t="shared" si="99"/>
        <v>0</v>
      </c>
      <c r="N725">
        <f t="shared" si="103"/>
        <v>0</v>
      </c>
      <c r="O725">
        <f t="shared" si="104"/>
        <v>2301.9455999999996</v>
      </c>
      <c r="P725">
        <f t="shared" si="105"/>
        <v>575.48639999999989</v>
      </c>
      <c r="Q725">
        <f t="shared" si="106"/>
        <v>587.22632255999986</v>
      </c>
      <c r="R725">
        <f t="shared" si="107"/>
        <v>392.6592</v>
      </c>
      <c r="S725">
        <f t="shared" si="100"/>
        <v>3891.4800000000005</v>
      </c>
    </row>
    <row r="726" spans="1:19" x14ac:dyDescent="0.25">
      <c r="A726">
        <v>856</v>
      </c>
      <c r="B726">
        <v>1325</v>
      </c>
      <c r="C726" t="s">
        <v>34</v>
      </c>
      <c r="D726" t="s">
        <v>172</v>
      </c>
      <c r="E726">
        <v>11</v>
      </c>
      <c r="F726">
        <v>19.46</v>
      </c>
      <c r="G726">
        <v>10.58</v>
      </c>
      <c r="H726">
        <v>30.49</v>
      </c>
      <c r="I726">
        <v>1.02</v>
      </c>
      <c r="J726">
        <v>343.27</v>
      </c>
      <c r="K726">
        <f t="shared" si="101"/>
        <v>3775.97</v>
      </c>
      <c r="L726">
        <f t="shared" si="102"/>
        <v>0</v>
      </c>
      <c r="M726">
        <f t="shared" si="99"/>
        <v>0</v>
      </c>
      <c r="N726">
        <f t="shared" si="103"/>
        <v>0</v>
      </c>
      <c r="O726">
        <f t="shared" si="104"/>
        <v>2264.7548000000002</v>
      </c>
      <c r="P726">
        <f t="shared" si="105"/>
        <v>566.18870000000004</v>
      </c>
      <c r="Q726">
        <f t="shared" si="106"/>
        <v>577.73894947999997</v>
      </c>
      <c r="R726">
        <f t="shared" si="107"/>
        <v>342.09780000000001</v>
      </c>
      <c r="S726">
        <f t="shared" si="100"/>
        <v>3775.97</v>
      </c>
    </row>
    <row r="727" spans="1:19" x14ac:dyDescent="0.25">
      <c r="A727">
        <v>857</v>
      </c>
      <c r="B727">
        <v>1325</v>
      </c>
      <c r="C727" t="s">
        <v>34</v>
      </c>
      <c r="D727" t="s">
        <v>172</v>
      </c>
      <c r="E727">
        <v>14</v>
      </c>
      <c r="F727">
        <v>20.420000000000002</v>
      </c>
      <c r="G727">
        <v>11.19</v>
      </c>
      <c r="H727">
        <v>32.909999999999997</v>
      </c>
      <c r="I727">
        <v>1.04</v>
      </c>
      <c r="J727">
        <v>380.62</v>
      </c>
      <c r="K727">
        <f t="shared" si="101"/>
        <v>5328.68</v>
      </c>
      <c r="L727">
        <f t="shared" si="102"/>
        <v>0</v>
      </c>
      <c r="M727">
        <f t="shared" si="99"/>
        <v>0</v>
      </c>
      <c r="N727">
        <f t="shared" si="103"/>
        <v>0</v>
      </c>
      <c r="O727">
        <f t="shared" si="104"/>
        <v>3198.9972000000002</v>
      </c>
      <c r="P727">
        <f t="shared" si="105"/>
        <v>799.74930000000006</v>
      </c>
      <c r="Q727">
        <f t="shared" si="106"/>
        <v>816.06418572000007</v>
      </c>
      <c r="R727">
        <f t="shared" si="107"/>
        <v>479.16959999999995</v>
      </c>
      <c r="S727">
        <f t="shared" si="100"/>
        <v>5328.68</v>
      </c>
    </row>
    <row r="728" spans="1:19" x14ac:dyDescent="0.25">
      <c r="A728">
        <v>858</v>
      </c>
      <c r="B728">
        <v>1325</v>
      </c>
      <c r="C728" t="s">
        <v>34</v>
      </c>
      <c r="D728" t="s">
        <v>172</v>
      </c>
      <c r="E728">
        <v>13</v>
      </c>
      <c r="F728">
        <v>19.7</v>
      </c>
      <c r="G728">
        <v>10.16</v>
      </c>
      <c r="H728">
        <v>35.39</v>
      </c>
      <c r="I728">
        <v>1.03</v>
      </c>
      <c r="J728">
        <v>341.1</v>
      </c>
      <c r="K728">
        <f t="shared" si="101"/>
        <v>4434.3</v>
      </c>
      <c r="L728">
        <f t="shared" si="102"/>
        <v>0</v>
      </c>
      <c r="M728">
        <f t="shared" si="99"/>
        <v>0</v>
      </c>
      <c r="N728">
        <f t="shared" si="103"/>
        <v>0</v>
      </c>
      <c r="O728">
        <f t="shared" si="104"/>
        <v>2601.9760000000001</v>
      </c>
      <c r="P728">
        <f t="shared" si="105"/>
        <v>650.49400000000003</v>
      </c>
      <c r="Q728">
        <f t="shared" si="106"/>
        <v>663.76407760000006</v>
      </c>
      <c r="R728">
        <f t="shared" si="107"/>
        <v>473.87210000000005</v>
      </c>
      <c r="S728">
        <f t="shared" si="100"/>
        <v>4434.3</v>
      </c>
    </row>
    <row r="729" spans="1:19" x14ac:dyDescent="0.25">
      <c r="A729">
        <v>859</v>
      </c>
      <c r="B729">
        <v>1325</v>
      </c>
      <c r="C729" t="s">
        <v>34</v>
      </c>
      <c r="D729" t="s">
        <v>172</v>
      </c>
      <c r="E729">
        <v>9</v>
      </c>
      <c r="F729">
        <v>19.260000000000002</v>
      </c>
      <c r="G729">
        <v>9.98</v>
      </c>
      <c r="H729">
        <v>36.39</v>
      </c>
      <c r="I729">
        <v>1.0900000000000001</v>
      </c>
      <c r="J729">
        <v>333.12</v>
      </c>
      <c r="K729">
        <f t="shared" si="101"/>
        <v>2998.08</v>
      </c>
      <c r="L729">
        <f t="shared" si="102"/>
        <v>0</v>
      </c>
      <c r="M729">
        <f t="shared" si="99"/>
        <v>0</v>
      </c>
      <c r="N729">
        <f t="shared" si="103"/>
        <v>0</v>
      </c>
      <c r="O729">
        <f t="shared" si="104"/>
        <v>1729.9332000000002</v>
      </c>
      <c r="P729">
        <f t="shared" si="105"/>
        <v>432.48330000000004</v>
      </c>
      <c r="Q729">
        <f t="shared" si="106"/>
        <v>441.30595932000006</v>
      </c>
      <c r="R729">
        <f t="shared" si="107"/>
        <v>356.98590000000002</v>
      </c>
      <c r="S729">
        <f t="shared" si="100"/>
        <v>2998.08</v>
      </c>
    </row>
    <row r="730" spans="1:19" x14ac:dyDescent="0.25">
      <c r="A730">
        <v>860</v>
      </c>
      <c r="B730">
        <v>1325</v>
      </c>
      <c r="C730" t="s">
        <v>34</v>
      </c>
      <c r="D730" t="s">
        <v>172</v>
      </c>
      <c r="E730">
        <v>38</v>
      </c>
      <c r="F730">
        <v>20.010000000000002</v>
      </c>
      <c r="G730">
        <v>10.63</v>
      </c>
      <c r="H730">
        <v>34.299999999999997</v>
      </c>
      <c r="I730">
        <v>1.03</v>
      </c>
      <c r="J730">
        <v>358.44</v>
      </c>
      <c r="K730">
        <f t="shared" si="101"/>
        <v>13620.72</v>
      </c>
      <c r="L730">
        <f t="shared" si="102"/>
        <v>0</v>
      </c>
      <c r="M730">
        <f t="shared" si="99"/>
        <v>0</v>
      </c>
      <c r="N730">
        <f t="shared" si="103"/>
        <v>0</v>
      </c>
      <c r="O730">
        <f t="shared" si="104"/>
        <v>8082.8394000000017</v>
      </c>
      <c r="P730">
        <f t="shared" si="105"/>
        <v>2020.7098500000004</v>
      </c>
      <c r="Q730">
        <f t="shared" si="106"/>
        <v>2061.9323309400002</v>
      </c>
      <c r="R730">
        <f t="shared" si="107"/>
        <v>1342.502</v>
      </c>
      <c r="S730">
        <f t="shared" si="100"/>
        <v>13620.72</v>
      </c>
    </row>
    <row r="731" spans="1:19" x14ac:dyDescent="0.25">
      <c r="A731">
        <v>861</v>
      </c>
      <c r="B731">
        <v>1325</v>
      </c>
      <c r="C731" t="s">
        <v>34</v>
      </c>
      <c r="D731" t="s">
        <v>173</v>
      </c>
      <c r="E731">
        <v>10</v>
      </c>
      <c r="F731">
        <v>13.97</v>
      </c>
      <c r="G731">
        <v>2.63</v>
      </c>
      <c r="H731">
        <v>28.07</v>
      </c>
      <c r="I731">
        <v>0.8</v>
      </c>
      <c r="J731">
        <v>75.22</v>
      </c>
      <c r="K731">
        <f t="shared" si="101"/>
        <v>752.2</v>
      </c>
      <c r="L731">
        <f t="shared" si="102"/>
        <v>752.2</v>
      </c>
      <c r="M731">
        <f t="shared" si="99"/>
        <v>367.411</v>
      </c>
      <c r="N731">
        <f t="shared" si="103"/>
        <v>91.85275</v>
      </c>
      <c r="O731">
        <f t="shared" si="104"/>
        <v>367.411</v>
      </c>
      <c r="P731">
        <f t="shared" si="105"/>
        <v>91.85275</v>
      </c>
      <c r="Q731">
        <f t="shared" si="106"/>
        <v>93.726546099999993</v>
      </c>
      <c r="R731">
        <f t="shared" si="107"/>
        <v>224.56</v>
      </c>
      <c r="S731">
        <f t="shared" si="100"/>
        <v>752.2</v>
      </c>
    </row>
    <row r="732" spans="1:19" x14ac:dyDescent="0.25">
      <c r="A732">
        <v>862</v>
      </c>
      <c r="B732">
        <v>1325</v>
      </c>
      <c r="C732" t="s">
        <v>34</v>
      </c>
      <c r="D732" t="s">
        <v>172</v>
      </c>
      <c r="E732">
        <v>15</v>
      </c>
      <c r="F732">
        <v>18.22</v>
      </c>
      <c r="G732">
        <v>10.77</v>
      </c>
      <c r="H732">
        <v>32.6</v>
      </c>
      <c r="I732">
        <v>1.02</v>
      </c>
      <c r="J732">
        <v>331.46</v>
      </c>
      <c r="K732">
        <f t="shared" si="101"/>
        <v>4971.8999999999996</v>
      </c>
      <c r="L732">
        <f t="shared" si="102"/>
        <v>0</v>
      </c>
      <c r="M732">
        <f t="shared" si="99"/>
        <v>0</v>
      </c>
      <c r="N732">
        <f t="shared" si="103"/>
        <v>0</v>
      </c>
      <c r="O732">
        <f t="shared" si="104"/>
        <v>2943.4409999999993</v>
      </c>
      <c r="P732">
        <f t="shared" si="105"/>
        <v>735.86024999999984</v>
      </c>
      <c r="Q732">
        <f t="shared" si="106"/>
        <v>750.87179909999986</v>
      </c>
      <c r="R732">
        <f t="shared" si="107"/>
        <v>498.78000000000003</v>
      </c>
      <c r="S732">
        <f t="shared" si="100"/>
        <v>4971.8999999999996</v>
      </c>
    </row>
    <row r="733" spans="1:19" x14ac:dyDescent="0.25">
      <c r="A733">
        <v>863</v>
      </c>
      <c r="B733">
        <v>1325</v>
      </c>
      <c r="C733" t="s">
        <v>34</v>
      </c>
      <c r="D733" t="s">
        <v>172</v>
      </c>
      <c r="E733">
        <v>16</v>
      </c>
      <c r="F733">
        <v>20.45</v>
      </c>
      <c r="G733">
        <v>11.39</v>
      </c>
      <c r="H733">
        <v>34.770000000000003</v>
      </c>
      <c r="I733">
        <v>1.08</v>
      </c>
      <c r="J733">
        <v>391.16</v>
      </c>
      <c r="K733">
        <f t="shared" si="101"/>
        <v>6258.56</v>
      </c>
      <c r="L733">
        <f t="shared" si="102"/>
        <v>0</v>
      </c>
      <c r="M733">
        <f t="shared" si="99"/>
        <v>0</v>
      </c>
      <c r="N733">
        <f t="shared" si="103"/>
        <v>0</v>
      </c>
      <c r="O733">
        <f t="shared" si="104"/>
        <v>3726.808</v>
      </c>
      <c r="P733">
        <f t="shared" si="105"/>
        <v>931.702</v>
      </c>
      <c r="Q733">
        <f t="shared" si="106"/>
        <v>950.70872079999992</v>
      </c>
      <c r="R733">
        <f t="shared" si="107"/>
        <v>600.82560000000012</v>
      </c>
      <c r="S733">
        <f t="shared" si="100"/>
        <v>6258.56</v>
      </c>
    </row>
    <row r="734" spans="1:19" x14ac:dyDescent="0.25">
      <c r="A734">
        <v>864</v>
      </c>
      <c r="B734">
        <v>1325</v>
      </c>
      <c r="C734" t="s">
        <v>34</v>
      </c>
      <c r="D734" t="s">
        <v>173</v>
      </c>
      <c r="E734">
        <v>61</v>
      </c>
      <c r="F734">
        <v>15.48</v>
      </c>
      <c r="G734">
        <v>3.04</v>
      </c>
      <c r="H734">
        <v>34</v>
      </c>
      <c r="I734">
        <v>0.8</v>
      </c>
      <c r="J734">
        <v>94.63</v>
      </c>
      <c r="K734">
        <f t="shared" si="101"/>
        <v>5772.4299999999994</v>
      </c>
      <c r="L734">
        <f t="shared" si="102"/>
        <v>5772.4299999999994</v>
      </c>
      <c r="M734">
        <f t="shared" si="99"/>
        <v>2870.6111999999998</v>
      </c>
      <c r="N734">
        <f t="shared" si="103"/>
        <v>717.65279999999996</v>
      </c>
      <c r="O734">
        <f t="shared" si="104"/>
        <v>2870.6111999999998</v>
      </c>
      <c r="P734">
        <f t="shared" si="105"/>
        <v>717.65279999999996</v>
      </c>
      <c r="Q734">
        <f t="shared" si="106"/>
        <v>732.29291711999997</v>
      </c>
      <c r="R734">
        <f t="shared" si="107"/>
        <v>1659.2</v>
      </c>
      <c r="S734">
        <f t="shared" si="100"/>
        <v>5772.4299999999994</v>
      </c>
    </row>
    <row r="735" spans="1:19" x14ac:dyDescent="0.25">
      <c r="A735">
        <v>865</v>
      </c>
      <c r="B735">
        <v>1325</v>
      </c>
      <c r="C735" t="s">
        <v>34</v>
      </c>
      <c r="D735" t="s">
        <v>172</v>
      </c>
      <c r="E735">
        <v>9</v>
      </c>
      <c r="F735">
        <v>18.86</v>
      </c>
      <c r="G735">
        <v>11.86</v>
      </c>
      <c r="H735">
        <v>32.19</v>
      </c>
      <c r="I735">
        <v>0.96</v>
      </c>
      <c r="J735">
        <v>369.5</v>
      </c>
      <c r="K735">
        <f t="shared" si="101"/>
        <v>3325.5</v>
      </c>
      <c r="L735">
        <f t="shared" si="102"/>
        <v>0</v>
      </c>
      <c r="M735">
        <f t="shared" si="99"/>
        <v>0</v>
      </c>
      <c r="N735">
        <f t="shared" si="103"/>
        <v>0</v>
      </c>
      <c r="O735">
        <f t="shared" si="104"/>
        <v>2013.1163999999999</v>
      </c>
      <c r="P735">
        <f t="shared" si="105"/>
        <v>503.27909999999997</v>
      </c>
      <c r="Q735">
        <f t="shared" si="106"/>
        <v>513.54599364000001</v>
      </c>
      <c r="R735">
        <f t="shared" si="107"/>
        <v>278.1216</v>
      </c>
      <c r="S735">
        <f t="shared" si="100"/>
        <v>3325.5</v>
      </c>
    </row>
    <row r="736" spans="1:19" x14ac:dyDescent="0.25">
      <c r="A736">
        <v>866</v>
      </c>
      <c r="B736">
        <v>1325</v>
      </c>
      <c r="C736" t="s">
        <v>34</v>
      </c>
      <c r="D736" t="s">
        <v>172</v>
      </c>
      <c r="E736">
        <v>5</v>
      </c>
      <c r="F736">
        <v>20.059999999999999</v>
      </c>
      <c r="G736">
        <v>11.58</v>
      </c>
      <c r="H736">
        <v>29.96</v>
      </c>
      <c r="I736">
        <v>0.93</v>
      </c>
      <c r="J736">
        <v>378.69</v>
      </c>
      <c r="K736">
        <f t="shared" si="101"/>
        <v>1893.45</v>
      </c>
      <c r="L736">
        <f t="shared" si="102"/>
        <v>0</v>
      </c>
      <c r="M736">
        <f t="shared" si="99"/>
        <v>0</v>
      </c>
      <c r="N736">
        <f t="shared" si="103"/>
        <v>0</v>
      </c>
      <c r="O736">
        <f t="shared" si="104"/>
        <v>1161.4739999999999</v>
      </c>
      <c r="P736">
        <f t="shared" si="105"/>
        <v>290.36849999999998</v>
      </c>
      <c r="Q736">
        <f t="shared" si="106"/>
        <v>296.29201739999996</v>
      </c>
      <c r="R736">
        <f t="shared" si="107"/>
        <v>139.31400000000002</v>
      </c>
      <c r="S736">
        <f t="shared" si="100"/>
        <v>1893.45</v>
      </c>
    </row>
    <row r="737" spans="1:19" x14ac:dyDescent="0.25">
      <c r="A737">
        <v>867</v>
      </c>
      <c r="B737">
        <v>1325</v>
      </c>
      <c r="C737" t="s">
        <v>34</v>
      </c>
      <c r="D737" t="s">
        <v>173</v>
      </c>
      <c r="E737">
        <v>16</v>
      </c>
      <c r="F737">
        <v>16.100000000000001</v>
      </c>
      <c r="G737">
        <v>3.14</v>
      </c>
      <c r="H737">
        <v>29.39</v>
      </c>
      <c r="I737">
        <v>0.84</v>
      </c>
      <c r="J737">
        <v>96.67</v>
      </c>
      <c r="K737">
        <f t="shared" si="101"/>
        <v>1546.72</v>
      </c>
      <c r="L737">
        <f t="shared" si="102"/>
        <v>1546.72</v>
      </c>
      <c r="M737">
        <f t="shared" si="99"/>
        <v>808.86400000000015</v>
      </c>
      <c r="N737">
        <f t="shared" si="103"/>
        <v>202.21600000000004</v>
      </c>
      <c r="O737">
        <f t="shared" si="104"/>
        <v>808.86400000000015</v>
      </c>
      <c r="P737">
        <f t="shared" si="105"/>
        <v>202.21600000000004</v>
      </c>
      <c r="Q737">
        <f t="shared" si="106"/>
        <v>206.34120640000003</v>
      </c>
      <c r="R737">
        <f t="shared" si="107"/>
        <v>395.0016</v>
      </c>
      <c r="S737">
        <f t="shared" si="100"/>
        <v>1546.72</v>
      </c>
    </row>
    <row r="738" spans="1:19" x14ac:dyDescent="0.25">
      <c r="A738">
        <v>868</v>
      </c>
      <c r="B738">
        <v>1325</v>
      </c>
      <c r="C738" t="s">
        <v>34</v>
      </c>
      <c r="D738" t="s">
        <v>173</v>
      </c>
      <c r="E738">
        <v>20</v>
      </c>
      <c r="F738">
        <v>14.24</v>
      </c>
      <c r="G738">
        <v>2.98</v>
      </c>
      <c r="H738">
        <v>32.21</v>
      </c>
      <c r="I738">
        <v>0.79</v>
      </c>
      <c r="J738">
        <v>86.34</v>
      </c>
      <c r="K738">
        <f t="shared" si="101"/>
        <v>1726.8000000000002</v>
      </c>
      <c r="L738">
        <f t="shared" si="102"/>
        <v>1726.8000000000002</v>
      </c>
      <c r="M738">
        <f t="shared" si="99"/>
        <v>848.70400000000006</v>
      </c>
      <c r="N738">
        <f t="shared" si="103"/>
        <v>212.17600000000002</v>
      </c>
      <c r="O738">
        <f t="shared" si="104"/>
        <v>848.70400000000006</v>
      </c>
      <c r="P738">
        <f t="shared" si="105"/>
        <v>212.17600000000002</v>
      </c>
      <c r="Q738">
        <f t="shared" si="106"/>
        <v>216.50439040000001</v>
      </c>
      <c r="R738">
        <f t="shared" si="107"/>
        <v>508.91800000000006</v>
      </c>
      <c r="S738">
        <f t="shared" si="100"/>
        <v>1726.8000000000002</v>
      </c>
    </row>
    <row r="739" spans="1:19" x14ac:dyDescent="0.25">
      <c r="A739">
        <v>869</v>
      </c>
      <c r="B739">
        <v>1325</v>
      </c>
      <c r="C739" t="s">
        <v>34</v>
      </c>
      <c r="D739" t="s">
        <v>172</v>
      </c>
      <c r="E739">
        <v>7</v>
      </c>
      <c r="F739">
        <v>20.190000000000001</v>
      </c>
      <c r="G739">
        <v>10.32</v>
      </c>
      <c r="H739">
        <v>34.200000000000003</v>
      </c>
      <c r="I739">
        <v>1.03</v>
      </c>
      <c r="J739">
        <v>351.86</v>
      </c>
      <c r="K739">
        <f t="shared" si="101"/>
        <v>2463.02</v>
      </c>
      <c r="L739">
        <f t="shared" si="102"/>
        <v>0</v>
      </c>
      <c r="M739">
        <f t="shared" si="99"/>
        <v>0</v>
      </c>
      <c r="N739">
        <f t="shared" si="103"/>
        <v>0</v>
      </c>
      <c r="O739">
        <f t="shared" si="104"/>
        <v>1458.5256000000002</v>
      </c>
      <c r="P739">
        <f t="shared" si="105"/>
        <v>364.63140000000004</v>
      </c>
      <c r="Q739">
        <f t="shared" si="106"/>
        <v>372.06988056000006</v>
      </c>
      <c r="R739">
        <f t="shared" si="107"/>
        <v>246.58200000000002</v>
      </c>
      <c r="S739">
        <f t="shared" si="100"/>
        <v>2463.02</v>
      </c>
    </row>
    <row r="740" spans="1:19" x14ac:dyDescent="0.25">
      <c r="A740">
        <v>870</v>
      </c>
      <c r="B740">
        <v>1325</v>
      </c>
      <c r="C740" t="s">
        <v>34</v>
      </c>
      <c r="D740" t="s">
        <v>173</v>
      </c>
      <c r="E740">
        <v>46</v>
      </c>
      <c r="F740">
        <v>13.81</v>
      </c>
      <c r="G740">
        <v>2.66</v>
      </c>
      <c r="H740">
        <v>27.17</v>
      </c>
      <c r="I740">
        <v>0.79</v>
      </c>
      <c r="J740">
        <v>74.12</v>
      </c>
      <c r="K740">
        <f t="shared" si="101"/>
        <v>3409.5200000000004</v>
      </c>
      <c r="L740">
        <f t="shared" si="102"/>
        <v>3409.5200000000004</v>
      </c>
      <c r="M740">
        <f t="shared" si="99"/>
        <v>1689.7916000000002</v>
      </c>
      <c r="N740">
        <f t="shared" si="103"/>
        <v>422.44790000000006</v>
      </c>
      <c r="O740">
        <f t="shared" si="104"/>
        <v>1689.7916000000002</v>
      </c>
      <c r="P740">
        <f t="shared" si="105"/>
        <v>422.44790000000006</v>
      </c>
      <c r="Q740">
        <f t="shared" si="106"/>
        <v>431.06583716000006</v>
      </c>
      <c r="R740">
        <f t="shared" si="107"/>
        <v>987.35780000000011</v>
      </c>
      <c r="S740">
        <f t="shared" si="100"/>
        <v>3409.5200000000004</v>
      </c>
    </row>
    <row r="741" spans="1:19" x14ac:dyDescent="0.25">
      <c r="A741">
        <v>871</v>
      </c>
      <c r="B741">
        <v>1325</v>
      </c>
      <c r="C741" t="s">
        <v>34</v>
      </c>
      <c r="D741" t="s">
        <v>172</v>
      </c>
      <c r="E741">
        <v>12</v>
      </c>
      <c r="F741">
        <v>19.46</v>
      </c>
      <c r="G741">
        <v>11.66</v>
      </c>
      <c r="H741">
        <v>37.49</v>
      </c>
      <c r="I741">
        <v>0.93</v>
      </c>
      <c r="J741">
        <v>379.01</v>
      </c>
      <c r="K741">
        <f t="shared" si="101"/>
        <v>4548.12</v>
      </c>
      <c r="L741">
        <f t="shared" si="102"/>
        <v>0</v>
      </c>
      <c r="M741">
        <f t="shared" si="99"/>
        <v>0</v>
      </c>
      <c r="N741">
        <f t="shared" si="103"/>
        <v>0</v>
      </c>
      <c r="O741">
        <f t="shared" si="104"/>
        <v>2722.8432000000003</v>
      </c>
      <c r="P741">
        <f t="shared" si="105"/>
        <v>680.71080000000006</v>
      </c>
      <c r="Q741">
        <f t="shared" si="106"/>
        <v>694.59730032000004</v>
      </c>
      <c r="R741">
        <f t="shared" si="107"/>
        <v>418.38840000000005</v>
      </c>
      <c r="S741">
        <f t="shared" si="100"/>
        <v>4548.12</v>
      </c>
    </row>
    <row r="742" spans="1:19" x14ac:dyDescent="0.25">
      <c r="A742">
        <v>872</v>
      </c>
      <c r="B742">
        <v>1326</v>
      </c>
      <c r="C742" t="s">
        <v>35</v>
      </c>
      <c r="D742" t="s">
        <v>173</v>
      </c>
      <c r="E742">
        <v>15</v>
      </c>
      <c r="F742">
        <v>14.84</v>
      </c>
      <c r="G742">
        <v>2.69</v>
      </c>
      <c r="H742">
        <v>29.35</v>
      </c>
      <c r="I742">
        <v>0.8</v>
      </c>
      <c r="J742">
        <v>80.72</v>
      </c>
      <c r="K742">
        <f t="shared" si="101"/>
        <v>1210.8</v>
      </c>
      <c r="L742">
        <f t="shared" si="102"/>
        <v>1210.8</v>
      </c>
      <c r="M742">
        <f t="shared" si="99"/>
        <v>598.79399999999998</v>
      </c>
      <c r="N742">
        <f t="shared" si="103"/>
        <v>149.6985</v>
      </c>
      <c r="O742">
        <f t="shared" si="104"/>
        <v>598.79399999999998</v>
      </c>
      <c r="P742">
        <f t="shared" si="105"/>
        <v>149.6985</v>
      </c>
      <c r="Q742">
        <f t="shared" si="106"/>
        <v>152.75234939999999</v>
      </c>
      <c r="R742">
        <f t="shared" si="107"/>
        <v>352.20000000000005</v>
      </c>
      <c r="S742">
        <f t="shared" si="100"/>
        <v>1210.8</v>
      </c>
    </row>
    <row r="743" spans="1:19" x14ac:dyDescent="0.25">
      <c r="A743">
        <v>873</v>
      </c>
      <c r="B743">
        <v>1326</v>
      </c>
      <c r="C743" t="s">
        <v>35</v>
      </c>
      <c r="D743" t="s">
        <v>173</v>
      </c>
      <c r="E743">
        <v>20</v>
      </c>
      <c r="F743">
        <v>14.55</v>
      </c>
      <c r="G743">
        <v>2.77</v>
      </c>
      <c r="H743">
        <v>32.299999999999997</v>
      </c>
      <c r="I743">
        <v>0.79</v>
      </c>
      <c r="J743">
        <v>83.49</v>
      </c>
      <c r="K743">
        <f t="shared" si="101"/>
        <v>1669.8</v>
      </c>
      <c r="L743">
        <f t="shared" si="102"/>
        <v>1669.8</v>
      </c>
      <c r="M743">
        <f t="shared" si="99"/>
        <v>806.07</v>
      </c>
      <c r="N743">
        <f t="shared" si="103"/>
        <v>201.51750000000001</v>
      </c>
      <c r="O743">
        <f t="shared" si="104"/>
        <v>806.07</v>
      </c>
      <c r="P743">
        <f t="shared" si="105"/>
        <v>201.51750000000001</v>
      </c>
      <c r="Q743">
        <f t="shared" si="106"/>
        <v>205.628457</v>
      </c>
      <c r="R743">
        <f t="shared" si="107"/>
        <v>510.34</v>
      </c>
      <c r="S743">
        <f t="shared" si="100"/>
        <v>1669.8</v>
      </c>
    </row>
    <row r="744" spans="1:19" x14ac:dyDescent="0.25">
      <c r="A744">
        <v>874</v>
      </c>
      <c r="B744">
        <v>1326</v>
      </c>
      <c r="C744" t="s">
        <v>35</v>
      </c>
      <c r="D744" t="s">
        <v>172</v>
      </c>
      <c r="E744">
        <v>15</v>
      </c>
      <c r="F744">
        <v>17.78</v>
      </c>
      <c r="G744">
        <v>10.56</v>
      </c>
      <c r="H744">
        <v>31.22</v>
      </c>
      <c r="I744">
        <v>1.01</v>
      </c>
      <c r="J744">
        <v>316.81</v>
      </c>
      <c r="K744">
        <f t="shared" si="101"/>
        <v>4752.1499999999996</v>
      </c>
      <c r="L744">
        <f t="shared" si="102"/>
        <v>0</v>
      </c>
      <c r="M744">
        <f t="shared" si="99"/>
        <v>0</v>
      </c>
      <c r="N744">
        <f t="shared" si="103"/>
        <v>0</v>
      </c>
      <c r="O744">
        <f t="shared" si="104"/>
        <v>2816.3520000000003</v>
      </c>
      <c r="P744">
        <f t="shared" si="105"/>
        <v>704.08800000000008</v>
      </c>
      <c r="Q744">
        <f t="shared" si="106"/>
        <v>718.45139520000009</v>
      </c>
      <c r="R744">
        <f t="shared" si="107"/>
        <v>472.983</v>
      </c>
      <c r="S744">
        <f t="shared" si="100"/>
        <v>4752.1499999999996</v>
      </c>
    </row>
    <row r="745" spans="1:19" x14ac:dyDescent="0.25">
      <c r="A745">
        <v>875</v>
      </c>
      <c r="B745">
        <v>1326</v>
      </c>
      <c r="C745" t="s">
        <v>35</v>
      </c>
      <c r="D745" t="s">
        <v>172</v>
      </c>
      <c r="E745">
        <v>16</v>
      </c>
      <c r="F745">
        <v>19.29</v>
      </c>
      <c r="G745">
        <v>11.22</v>
      </c>
      <c r="H745">
        <v>32.57</v>
      </c>
      <c r="I745">
        <v>1.05</v>
      </c>
      <c r="J745">
        <v>362.64</v>
      </c>
      <c r="K745">
        <f t="shared" si="101"/>
        <v>5802.24</v>
      </c>
      <c r="L745">
        <f t="shared" si="102"/>
        <v>0</v>
      </c>
      <c r="M745">
        <f t="shared" si="99"/>
        <v>0</v>
      </c>
      <c r="N745">
        <f t="shared" si="103"/>
        <v>0</v>
      </c>
      <c r="O745">
        <f t="shared" si="104"/>
        <v>3462.9407999999999</v>
      </c>
      <c r="P745">
        <f t="shared" si="105"/>
        <v>865.73519999999996</v>
      </c>
      <c r="Q745">
        <f t="shared" si="106"/>
        <v>883.39619807999998</v>
      </c>
      <c r="R745">
        <f t="shared" si="107"/>
        <v>547.17600000000004</v>
      </c>
      <c r="S745">
        <f t="shared" si="100"/>
        <v>5802.24</v>
      </c>
    </row>
    <row r="746" spans="1:19" x14ac:dyDescent="0.25">
      <c r="A746">
        <v>876</v>
      </c>
      <c r="B746">
        <v>1326</v>
      </c>
      <c r="C746" t="s">
        <v>35</v>
      </c>
      <c r="D746" t="s">
        <v>172</v>
      </c>
      <c r="E746">
        <v>23</v>
      </c>
      <c r="F746">
        <v>20.85</v>
      </c>
      <c r="G746">
        <v>11.68</v>
      </c>
      <c r="H746">
        <v>30.8</v>
      </c>
      <c r="I746">
        <v>1.04</v>
      </c>
      <c r="J746">
        <v>400.37</v>
      </c>
      <c r="K746">
        <f t="shared" si="101"/>
        <v>9208.51</v>
      </c>
      <c r="L746">
        <f t="shared" si="102"/>
        <v>0</v>
      </c>
      <c r="M746">
        <f t="shared" si="99"/>
        <v>0</v>
      </c>
      <c r="N746">
        <f t="shared" si="103"/>
        <v>0</v>
      </c>
      <c r="O746">
        <f t="shared" si="104"/>
        <v>5601.1440000000002</v>
      </c>
      <c r="P746">
        <f t="shared" si="105"/>
        <v>1400.2860000000001</v>
      </c>
      <c r="Q746">
        <f t="shared" si="106"/>
        <v>1428.8518343999999</v>
      </c>
      <c r="R746">
        <f t="shared" si="107"/>
        <v>736.7360000000001</v>
      </c>
      <c r="S746">
        <f t="shared" si="100"/>
        <v>9208.51</v>
      </c>
    </row>
    <row r="747" spans="1:19" x14ac:dyDescent="0.25">
      <c r="A747">
        <v>877</v>
      </c>
      <c r="B747">
        <v>1326</v>
      </c>
      <c r="C747" t="s">
        <v>35</v>
      </c>
      <c r="D747" t="s">
        <v>173</v>
      </c>
      <c r="E747">
        <v>11</v>
      </c>
      <c r="F747">
        <v>13.95</v>
      </c>
      <c r="G747">
        <v>2.81</v>
      </c>
      <c r="H747">
        <v>31.9</v>
      </c>
      <c r="I747">
        <v>0.77</v>
      </c>
      <c r="J747">
        <v>80.92</v>
      </c>
      <c r="K747">
        <f t="shared" si="101"/>
        <v>890.12</v>
      </c>
      <c r="L747">
        <f t="shared" si="102"/>
        <v>890.12</v>
      </c>
      <c r="M747">
        <f t="shared" si="99"/>
        <v>431.19450000000001</v>
      </c>
      <c r="N747">
        <f t="shared" si="103"/>
        <v>107.798625</v>
      </c>
      <c r="O747">
        <f t="shared" si="104"/>
        <v>431.19450000000001</v>
      </c>
      <c r="P747">
        <f t="shared" si="105"/>
        <v>107.798625</v>
      </c>
      <c r="Q747">
        <f t="shared" si="106"/>
        <v>109.99771695</v>
      </c>
      <c r="R747">
        <f t="shared" si="107"/>
        <v>270.19299999999998</v>
      </c>
      <c r="S747">
        <f t="shared" si="100"/>
        <v>890.12</v>
      </c>
    </row>
    <row r="748" spans="1:19" x14ac:dyDescent="0.25">
      <c r="A748">
        <v>878</v>
      </c>
      <c r="B748">
        <v>1326</v>
      </c>
      <c r="C748" t="s">
        <v>35</v>
      </c>
      <c r="D748" t="s">
        <v>172</v>
      </c>
      <c r="E748">
        <v>12</v>
      </c>
      <c r="F748">
        <v>20.37</v>
      </c>
      <c r="G748">
        <v>11.23</v>
      </c>
      <c r="H748">
        <v>29.66</v>
      </c>
      <c r="I748">
        <v>0.98</v>
      </c>
      <c r="J748">
        <v>374.86</v>
      </c>
      <c r="K748">
        <f t="shared" si="101"/>
        <v>4498.32</v>
      </c>
      <c r="L748">
        <f t="shared" si="102"/>
        <v>0</v>
      </c>
      <c r="M748">
        <f t="shared" si="99"/>
        <v>0</v>
      </c>
      <c r="N748">
        <f t="shared" si="103"/>
        <v>0</v>
      </c>
      <c r="O748">
        <f t="shared" si="104"/>
        <v>2745.0612000000001</v>
      </c>
      <c r="P748">
        <f t="shared" si="105"/>
        <v>686.26530000000002</v>
      </c>
      <c r="Q748">
        <f t="shared" si="106"/>
        <v>700.26511212000003</v>
      </c>
      <c r="R748">
        <f t="shared" si="107"/>
        <v>348.80160000000001</v>
      </c>
      <c r="S748">
        <f t="shared" si="100"/>
        <v>4498.32</v>
      </c>
    </row>
    <row r="749" spans="1:19" x14ac:dyDescent="0.25">
      <c r="A749">
        <v>879</v>
      </c>
      <c r="B749">
        <v>1326</v>
      </c>
      <c r="C749" t="s">
        <v>35</v>
      </c>
      <c r="D749" t="s">
        <v>173</v>
      </c>
      <c r="E749">
        <v>25</v>
      </c>
      <c r="F749">
        <v>13.79</v>
      </c>
      <c r="G749">
        <v>2.33</v>
      </c>
      <c r="H749">
        <v>27.58</v>
      </c>
      <c r="I749">
        <v>0.81</v>
      </c>
      <c r="J749">
        <v>68.75</v>
      </c>
      <c r="K749">
        <f t="shared" si="101"/>
        <v>1718.75</v>
      </c>
      <c r="L749">
        <f t="shared" si="102"/>
        <v>1718.75</v>
      </c>
      <c r="M749">
        <f t="shared" si="99"/>
        <v>803.26749999999993</v>
      </c>
      <c r="N749">
        <f t="shared" si="103"/>
        <v>200.81687499999998</v>
      </c>
      <c r="O749">
        <f t="shared" si="104"/>
        <v>803.26749999999993</v>
      </c>
      <c r="P749">
        <f t="shared" si="105"/>
        <v>200.81687499999998</v>
      </c>
      <c r="Q749">
        <f t="shared" si="106"/>
        <v>204.91353924999999</v>
      </c>
      <c r="R749">
        <f t="shared" si="107"/>
        <v>558.495</v>
      </c>
      <c r="S749">
        <f t="shared" si="100"/>
        <v>1718.75</v>
      </c>
    </row>
    <row r="750" spans="1:19" x14ac:dyDescent="0.25">
      <c r="A750">
        <v>880</v>
      </c>
      <c r="B750">
        <v>1326</v>
      </c>
      <c r="C750" t="s">
        <v>35</v>
      </c>
      <c r="D750" t="s">
        <v>172</v>
      </c>
      <c r="E750">
        <v>14</v>
      </c>
      <c r="F750">
        <v>19.07</v>
      </c>
      <c r="G750">
        <v>11.27</v>
      </c>
      <c r="H750">
        <v>33.630000000000003</v>
      </c>
      <c r="I750">
        <v>1</v>
      </c>
      <c r="J750">
        <v>359.71</v>
      </c>
      <c r="K750">
        <f t="shared" si="101"/>
        <v>5035.9399999999996</v>
      </c>
      <c r="L750">
        <f t="shared" si="102"/>
        <v>0</v>
      </c>
      <c r="M750">
        <f t="shared" si="99"/>
        <v>0</v>
      </c>
      <c r="N750">
        <f t="shared" si="103"/>
        <v>0</v>
      </c>
      <c r="O750">
        <f t="shared" si="104"/>
        <v>3008.8645999999999</v>
      </c>
      <c r="P750">
        <f t="shared" si="105"/>
        <v>752.21614999999997</v>
      </c>
      <c r="Q750">
        <f t="shared" si="106"/>
        <v>767.56135945999995</v>
      </c>
      <c r="R750">
        <f t="shared" si="107"/>
        <v>470.82000000000005</v>
      </c>
      <c r="S750">
        <f t="shared" si="100"/>
        <v>5035.9399999999996</v>
      </c>
    </row>
    <row r="751" spans="1:19" x14ac:dyDescent="0.25">
      <c r="A751">
        <v>881</v>
      </c>
      <c r="B751">
        <v>1326</v>
      </c>
      <c r="C751" t="s">
        <v>35</v>
      </c>
      <c r="D751" t="s">
        <v>173</v>
      </c>
      <c r="E751">
        <v>30</v>
      </c>
      <c r="F751">
        <v>16.190000000000001</v>
      </c>
      <c r="G751">
        <v>2.72</v>
      </c>
      <c r="H751">
        <v>29.95</v>
      </c>
      <c r="I751">
        <v>0.81</v>
      </c>
      <c r="J751">
        <v>87.24</v>
      </c>
      <c r="K751">
        <f t="shared" si="101"/>
        <v>2617.1999999999998</v>
      </c>
      <c r="L751">
        <f t="shared" si="102"/>
        <v>2617.1999999999998</v>
      </c>
      <c r="M751">
        <f t="shared" si="99"/>
        <v>1321.1040000000003</v>
      </c>
      <c r="N751">
        <f t="shared" si="103"/>
        <v>330.27600000000007</v>
      </c>
      <c r="O751">
        <f t="shared" si="104"/>
        <v>1321.1040000000003</v>
      </c>
      <c r="P751">
        <f t="shared" si="105"/>
        <v>330.27600000000007</v>
      </c>
      <c r="Q751">
        <f t="shared" si="106"/>
        <v>337.01363040000007</v>
      </c>
      <c r="R751">
        <f t="shared" si="107"/>
        <v>727.78499999999997</v>
      </c>
      <c r="S751">
        <f t="shared" si="100"/>
        <v>2617.1999999999998</v>
      </c>
    </row>
    <row r="752" spans="1:19" x14ac:dyDescent="0.25">
      <c r="A752">
        <v>882</v>
      </c>
      <c r="B752">
        <v>1327</v>
      </c>
      <c r="C752" t="s">
        <v>33</v>
      </c>
      <c r="D752" t="s">
        <v>173</v>
      </c>
      <c r="E752">
        <v>15</v>
      </c>
      <c r="F752">
        <v>14.7</v>
      </c>
      <c r="G752">
        <v>3.01</v>
      </c>
      <c r="H752">
        <v>31.83</v>
      </c>
      <c r="I752">
        <v>0.79</v>
      </c>
      <c r="J752">
        <v>88.5</v>
      </c>
      <c r="K752">
        <f t="shared" si="101"/>
        <v>1327.5</v>
      </c>
      <c r="L752">
        <f t="shared" si="102"/>
        <v>1327.5</v>
      </c>
      <c r="M752">
        <f t="shared" si="99"/>
        <v>663.70499999999993</v>
      </c>
      <c r="N752">
        <f t="shared" si="103"/>
        <v>165.92624999999998</v>
      </c>
      <c r="O752">
        <f t="shared" si="104"/>
        <v>663.70499999999993</v>
      </c>
      <c r="P752">
        <f t="shared" si="105"/>
        <v>165.92624999999998</v>
      </c>
      <c r="Q752">
        <f t="shared" si="106"/>
        <v>169.31114549999998</v>
      </c>
      <c r="R752">
        <f t="shared" si="107"/>
        <v>377.18550000000005</v>
      </c>
      <c r="S752">
        <f t="shared" si="100"/>
        <v>1327.5</v>
      </c>
    </row>
    <row r="753" spans="1:19" x14ac:dyDescent="0.25">
      <c r="A753">
        <v>883</v>
      </c>
      <c r="B753">
        <v>1327</v>
      </c>
      <c r="C753" t="s">
        <v>33</v>
      </c>
      <c r="D753" t="s">
        <v>173</v>
      </c>
      <c r="E753">
        <v>19</v>
      </c>
      <c r="F753">
        <v>14.74</v>
      </c>
      <c r="G753">
        <v>2.76</v>
      </c>
      <c r="H753">
        <v>30.86</v>
      </c>
      <c r="I753">
        <v>0.81</v>
      </c>
      <c r="J753">
        <v>83.44</v>
      </c>
      <c r="K753">
        <f t="shared" si="101"/>
        <v>1585.36</v>
      </c>
      <c r="L753">
        <f t="shared" si="102"/>
        <v>1585.36</v>
      </c>
      <c r="M753">
        <f t="shared" si="99"/>
        <v>772.96559999999999</v>
      </c>
      <c r="N753">
        <f t="shared" si="103"/>
        <v>193.2414</v>
      </c>
      <c r="O753">
        <f t="shared" si="104"/>
        <v>772.96559999999999</v>
      </c>
      <c r="P753">
        <f t="shared" si="105"/>
        <v>193.2414</v>
      </c>
      <c r="Q753">
        <f t="shared" si="106"/>
        <v>197.18352456</v>
      </c>
      <c r="R753">
        <f t="shared" si="107"/>
        <v>474.93540000000002</v>
      </c>
      <c r="S753">
        <f t="shared" si="100"/>
        <v>1585.36</v>
      </c>
    </row>
    <row r="754" spans="1:19" x14ac:dyDescent="0.25">
      <c r="A754">
        <v>884</v>
      </c>
      <c r="B754">
        <v>1327</v>
      </c>
      <c r="C754" t="s">
        <v>33</v>
      </c>
      <c r="D754" t="s">
        <v>172</v>
      </c>
      <c r="E754">
        <v>71</v>
      </c>
      <c r="F754">
        <v>20.74</v>
      </c>
      <c r="G754">
        <v>12.1</v>
      </c>
      <c r="H754">
        <v>34.729999999999997</v>
      </c>
      <c r="I754">
        <v>1.03</v>
      </c>
      <c r="J754">
        <v>415.86</v>
      </c>
      <c r="K754">
        <f t="shared" si="101"/>
        <v>29526.06</v>
      </c>
      <c r="L754">
        <f t="shared" si="102"/>
        <v>0</v>
      </c>
      <c r="M754">
        <f t="shared" si="99"/>
        <v>0</v>
      </c>
      <c r="N754">
        <f t="shared" si="103"/>
        <v>0</v>
      </c>
      <c r="O754">
        <f t="shared" si="104"/>
        <v>17817.734</v>
      </c>
      <c r="P754">
        <f t="shared" si="105"/>
        <v>4454.4335000000001</v>
      </c>
      <c r="Q754">
        <f t="shared" si="106"/>
        <v>4545.3039434000002</v>
      </c>
      <c r="R754">
        <f t="shared" si="107"/>
        <v>2539.8048999999996</v>
      </c>
      <c r="S754">
        <f t="shared" si="100"/>
        <v>29526.06</v>
      </c>
    </row>
    <row r="755" spans="1:19" x14ac:dyDescent="0.25">
      <c r="A755">
        <v>885</v>
      </c>
      <c r="B755">
        <v>1327</v>
      </c>
      <c r="C755" t="s">
        <v>33</v>
      </c>
      <c r="D755" t="s">
        <v>172</v>
      </c>
      <c r="E755">
        <v>35</v>
      </c>
      <c r="F755">
        <v>20.46</v>
      </c>
      <c r="G755">
        <v>11.05</v>
      </c>
      <c r="H755">
        <v>33.08</v>
      </c>
      <c r="I755">
        <v>1.05</v>
      </c>
      <c r="J755">
        <v>377.63</v>
      </c>
      <c r="K755">
        <f t="shared" si="101"/>
        <v>13217.05</v>
      </c>
      <c r="L755">
        <f t="shared" si="102"/>
        <v>0</v>
      </c>
      <c r="M755">
        <f t="shared" si="99"/>
        <v>0</v>
      </c>
      <c r="N755">
        <f t="shared" si="103"/>
        <v>0</v>
      </c>
      <c r="O755">
        <f t="shared" si="104"/>
        <v>7912.9050000000007</v>
      </c>
      <c r="P755">
        <f t="shared" si="105"/>
        <v>1978.2262500000002</v>
      </c>
      <c r="Q755">
        <f t="shared" si="106"/>
        <v>2018.5820655000002</v>
      </c>
      <c r="R755">
        <f t="shared" si="107"/>
        <v>1215.6899999999998</v>
      </c>
      <c r="S755">
        <f t="shared" si="100"/>
        <v>13217.05</v>
      </c>
    </row>
    <row r="756" spans="1:19" x14ac:dyDescent="0.25">
      <c r="A756">
        <v>886</v>
      </c>
      <c r="B756">
        <v>1327</v>
      </c>
      <c r="C756" t="s">
        <v>33</v>
      </c>
      <c r="D756" t="s">
        <v>173</v>
      </c>
      <c r="E756">
        <v>9</v>
      </c>
      <c r="F756">
        <v>14.74</v>
      </c>
      <c r="G756">
        <v>2.99</v>
      </c>
      <c r="H756">
        <v>29.56</v>
      </c>
      <c r="I756">
        <v>0.84</v>
      </c>
      <c r="J756">
        <v>87.91</v>
      </c>
      <c r="K756">
        <f t="shared" si="101"/>
        <v>791.18999999999994</v>
      </c>
      <c r="L756">
        <f t="shared" si="102"/>
        <v>791.18999999999994</v>
      </c>
      <c r="M756">
        <f t="shared" si="99"/>
        <v>396.65340000000003</v>
      </c>
      <c r="N756">
        <f t="shared" si="103"/>
        <v>99.163350000000008</v>
      </c>
      <c r="O756">
        <f t="shared" si="104"/>
        <v>396.65340000000003</v>
      </c>
      <c r="P756">
        <f t="shared" si="105"/>
        <v>99.163350000000008</v>
      </c>
      <c r="Q756">
        <f t="shared" si="106"/>
        <v>101.18628234000001</v>
      </c>
      <c r="R756">
        <f t="shared" si="107"/>
        <v>223.47359999999998</v>
      </c>
      <c r="S756">
        <f t="shared" si="100"/>
        <v>791.18999999999994</v>
      </c>
    </row>
    <row r="757" spans="1:19" x14ac:dyDescent="0.25">
      <c r="A757">
        <v>887</v>
      </c>
      <c r="B757">
        <v>1327</v>
      </c>
      <c r="C757" t="s">
        <v>33</v>
      </c>
      <c r="D757" t="s">
        <v>172</v>
      </c>
      <c r="E757">
        <v>12</v>
      </c>
      <c r="F757">
        <v>20.010000000000002</v>
      </c>
      <c r="G757">
        <v>11.74</v>
      </c>
      <c r="H757">
        <v>28.56</v>
      </c>
      <c r="I757">
        <v>1.05</v>
      </c>
      <c r="J757">
        <v>385.13</v>
      </c>
      <c r="K757">
        <f t="shared" si="101"/>
        <v>4621.5599999999995</v>
      </c>
      <c r="L757">
        <f t="shared" si="102"/>
        <v>0</v>
      </c>
      <c r="M757">
        <f t="shared" si="99"/>
        <v>0</v>
      </c>
      <c r="N757">
        <f t="shared" si="103"/>
        <v>0</v>
      </c>
      <c r="O757">
        <f t="shared" si="104"/>
        <v>2819.0088000000001</v>
      </c>
      <c r="P757">
        <f t="shared" si="105"/>
        <v>704.75220000000002</v>
      </c>
      <c r="Q757">
        <f t="shared" si="106"/>
        <v>719.12914488000001</v>
      </c>
      <c r="R757">
        <f t="shared" si="107"/>
        <v>359.85600000000005</v>
      </c>
      <c r="S757">
        <f t="shared" si="100"/>
        <v>4621.5599999999995</v>
      </c>
    </row>
    <row r="758" spans="1:19" x14ac:dyDescent="0.25">
      <c r="A758">
        <v>888</v>
      </c>
      <c r="B758">
        <v>1327</v>
      </c>
      <c r="C758" t="s">
        <v>33</v>
      </c>
      <c r="D758" t="s">
        <v>172</v>
      </c>
      <c r="E758">
        <v>13</v>
      </c>
      <c r="F758">
        <v>20.02</v>
      </c>
      <c r="G758">
        <v>11.3</v>
      </c>
      <c r="H758">
        <v>34.200000000000003</v>
      </c>
      <c r="I758">
        <v>0.95</v>
      </c>
      <c r="J758">
        <v>375.17</v>
      </c>
      <c r="K758">
        <f t="shared" si="101"/>
        <v>4877.21</v>
      </c>
      <c r="L758">
        <f t="shared" si="102"/>
        <v>0</v>
      </c>
      <c r="M758">
        <f t="shared" si="99"/>
        <v>0</v>
      </c>
      <c r="N758">
        <f t="shared" si="103"/>
        <v>0</v>
      </c>
      <c r="O758">
        <f t="shared" si="104"/>
        <v>2940.9380000000001</v>
      </c>
      <c r="P758">
        <f t="shared" si="105"/>
        <v>735.23450000000003</v>
      </c>
      <c r="Q758">
        <f t="shared" si="106"/>
        <v>750.23328379999998</v>
      </c>
      <c r="R758">
        <f t="shared" si="107"/>
        <v>422.37</v>
      </c>
      <c r="S758">
        <f t="shared" si="100"/>
        <v>4877.21</v>
      </c>
    </row>
    <row r="759" spans="1:19" x14ac:dyDescent="0.25">
      <c r="A759">
        <v>889</v>
      </c>
      <c r="B759">
        <v>1327</v>
      </c>
      <c r="C759" t="s">
        <v>33</v>
      </c>
      <c r="D759" t="s">
        <v>172</v>
      </c>
      <c r="E759">
        <v>16</v>
      </c>
      <c r="F759">
        <v>18.84</v>
      </c>
      <c r="G759">
        <v>11.14</v>
      </c>
      <c r="H759">
        <v>31.3</v>
      </c>
      <c r="I759">
        <v>0.97</v>
      </c>
      <c r="J759">
        <v>348.32</v>
      </c>
      <c r="K759">
        <f t="shared" si="101"/>
        <v>5573.12</v>
      </c>
      <c r="L759">
        <f t="shared" si="102"/>
        <v>0</v>
      </c>
      <c r="M759">
        <f t="shared" si="99"/>
        <v>0</v>
      </c>
      <c r="N759">
        <f t="shared" si="103"/>
        <v>0</v>
      </c>
      <c r="O759">
        <f t="shared" si="104"/>
        <v>3358.0416</v>
      </c>
      <c r="P759">
        <f t="shared" si="105"/>
        <v>839.5104</v>
      </c>
      <c r="Q759">
        <f t="shared" si="106"/>
        <v>856.63641215999996</v>
      </c>
      <c r="R759">
        <f t="shared" si="107"/>
        <v>485.77600000000001</v>
      </c>
      <c r="S759">
        <f t="shared" si="100"/>
        <v>5573.12</v>
      </c>
    </row>
    <row r="760" spans="1:19" x14ac:dyDescent="0.25">
      <c r="A760">
        <v>890</v>
      </c>
      <c r="B760">
        <v>1327</v>
      </c>
      <c r="C760" t="s">
        <v>33</v>
      </c>
      <c r="D760" t="s">
        <v>173</v>
      </c>
      <c r="E760">
        <v>25</v>
      </c>
      <c r="F760">
        <v>16.670000000000002</v>
      </c>
      <c r="G760">
        <v>3.09</v>
      </c>
      <c r="H760">
        <v>31.62</v>
      </c>
      <c r="I760">
        <v>0.77</v>
      </c>
      <c r="J760">
        <v>97.61</v>
      </c>
      <c r="K760">
        <f t="shared" si="101"/>
        <v>2440.25</v>
      </c>
      <c r="L760">
        <f t="shared" si="102"/>
        <v>2440.25</v>
      </c>
      <c r="M760">
        <f t="shared" si="99"/>
        <v>1287.7575000000002</v>
      </c>
      <c r="N760">
        <f t="shared" si="103"/>
        <v>321.93937500000004</v>
      </c>
      <c r="O760">
        <f t="shared" si="104"/>
        <v>1287.7575000000002</v>
      </c>
      <c r="P760">
        <f t="shared" si="105"/>
        <v>321.93937500000004</v>
      </c>
      <c r="Q760">
        <f t="shared" si="106"/>
        <v>328.50693825000002</v>
      </c>
      <c r="R760">
        <f t="shared" si="107"/>
        <v>608.68500000000006</v>
      </c>
      <c r="S760">
        <f t="shared" si="100"/>
        <v>2440.25</v>
      </c>
    </row>
    <row r="761" spans="1:19" x14ac:dyDescent="0.25">
      <c r="A761">
        <v>891</v>
      </c>
      <c r="B761">
        <v>1327</v>
      </c>
      <c r="C761" t="s">
        <v>33</v>
      </c>
      <c r="D761" t="s">
        <v>172</v>
      </c>
      <c r="E761">
        <v>18</v>
      </c>
      <c r="F761">
        <v>18.88</v>
      </c>
      <c r="G761">
        <v>12.3</v>
      </c>
      <c r="H761">
        <v>32.61</v>
      </c>
      <c r="I761">
        <v>1.0900000000000001</v>
      </c>
      <c r="J761">
        <v>387.73</v>
      </c>
      <c r="K761">
        <f t="shared" si="101"/>
        <v>6979.14</v>
      </c>
      <c r="L761">
        <f t="shared" si="102"/>
        <v>0</v>
      </c>
      <c r="M761">
        <f t="shared" si="99"/>
        <v>0</v>
      </c>
      <c r="N761">
        <f t="shared" si="103"/>
        <v>0</v>
      </c>
      <c r="O761">
        <f t="shared" si="104"/>
        <v>4180.0320000000002</v>
      </c>
      <c r="P761">
        <f t="shared" si="105"/>
        <v>1045.008</v>
      </c>
      <c r="Q761">
        <f t="shared" si="106"/>
        <v>1066.3261632000001</v>
      </c>
      <c r="R761">
        <f t="shared" si="107"/>
        <v>639.80820000000006</v>
      </c>
      <c r="S761">
        <f t="shared" si="100"/>
        <v>6979.14</v>
      </c>
    </row>
    <row r="762" spans="1:19" x14ac:dyDescent="0.25">
      <c r="A762">
        <v>892</v>
      </c>
      <c r="B762">
        <v>1327</v>
      </c>
      <c r="C762" t="s">
        <v>33</v>
      </c>
      <c r="D762" t="s">
        <v>173</v>
      </c>
      <c r="E762">
        <v>117</v>
      </c>
      <c r="F762">
        <v>11.89</v>
      </c>
      <c r="G762">
        <v>2.93</v>
      </c>
      <c r="H762">
        <v>30.44</v>
      </c>
      <c r="I762">
        <v>0.79</v>
      </c>
      <c r="J762">
        <v>74.349999999999994</v>
      </c>
      <c r="K762">
        <f t="shared" si="101"/>
        <v>8698.9499999999989</v>
      </c>
      <c r="L762">
        <f t="shared" si="102"/>
        <v>8698.9499999999989</v>
      </c>
      <c r="M762">
        <f t="shared" si="99"/>
        <v>4076.0109000000002</v>
      </c>
      <c r="N762">
        <f t="shared" si="103"/>
        <v>1019.0027250000001</v>
      </c>
      <c r="O762">
        <f t="shared" si="104"/>
        <v>4076.0109000000002</v>
      </c>
      <c r="P762">
        <f t="shared" si="105"/>
        <v>1019.0027250000001</v>
      </c>
      <c r="Q762">
        <f t="shared" si="106"/>
        <v>1039.79038059</v>
      </c>
      <c r="R762">
        <f t="shared" si="107"/>
        <v>2813.5692000000004</v>
      </c>
      <c r="S762">
        <f t="shared" si="100"/>
        <v>8698.9499999999989</v>
      </c>
    </row>
    <row r="763" spans="1:19" x14ac:dyDescent="0.25">
      <c r="A763">
        <v>893</v>
      </c>
      <c r="B763">
        <v>1327</v>
      </c>
      <c r="C763" t="s">
        <v>33</v>
      </c>
      <c r="D763" t="s">
        <v>172</v>
      </c>
      <c r="E763">
        <v>34</v>
      </c>
      <c r="F763">
        <v>19.059999999999999</v>
      </c>
      <c r="G763">
        <v>11.24</v>
      </c>
      <c r="H763">
        <v>32.130000000000003</v>
      </c>
      <c r="I763">
        <v>1.04</v>
      </c>
      <c r="J763">
        <v>358.44</v>
      </c>
      <c r="K763">
        <f t="shared" si="101"/>
        <v>12186.96</v>
      </c>
      <c r="L763">
        <f t="shared" si="102"/>
        <v>0</v>
      </c>
      <c r="M763">
        <f t="shared" si="99"/>
        <v>0</v>
      </c>
      <c r="N763">
        <f t="shared" si="103"/>
        <v>0</v>
      </c>
      <c r="O763">
        <f t="shared" si="104"/>
        <v>7283.9696000000004</v>
      </c>
      <c r="P763">
        <f t="shared" si="105"/>
        <v>1820.9924000000001</v>
      </c>
      <c r="Q763">
        <f t="shared" si="106"/>
        <v>1858.1406449600001</v>
      </c>
      <c r="R763">
        <f t="shared" si="107"/>
        <v>1136.1168</v>
      </c>
      <c r="S763">
        <f t="shared" si="100"/>
        <v>12186.96</v>
      </c>
    </row>
    <row r="764" spans="1:19" x14ac:dyDescent="0.25">
      <c r="A764">
        <v>894</v>
      </c>
      <c r="B764">
        <v>1327</v>
      </c>
      <c r="C764" t="s">
        <v>33</v>
      </c>
      <c r="D764" t="s">
        <v>172</v>
      </c>
      <c r="E764">
        <v>31</v>
      </c>
      <c r="F764">
        <v>20.059999999999999</v>
      </c>
      <c r="G764">
        <v>10.1</v>
      </c>
      <c r="H764">
        <v>30.24</v>
      </c>
      <c r="I764">
        <v>1.1200000000000001</v>
      </c>
      <c r="J764">
        <v>341.68</v>
      </c>
      <c r="K764">
        <f t="shared" si="101"/>
        <v>10592.08</v>
      </c>
      <c r="L764">
        <f t="shared" si="102"/>
        <v>0</v>
      </c>
      <c r="M764">
        <f t="shared" si="99"/>
        <v>0</v>
      </c>
      <c r="N764">
        <f t="shared" si="103"/>
        <v>0</v>
      </c>
      <c r="O764">
        <f t="shared" si="104"/>
        <v>6280.7859999999991</v>
      </c>
      <c r="P764">
        <f t="shared" si="105"/>
        <v>1570.1964999999998</v>
      </c>
      <c r="Q764">
        <f t="shared" si="106"/>
        <v>1602.2285085999997</v>
      </c>
      <c r="R764">
        <f t="shared" si="107"/>
        <v>1049.9328</v>
      </c>
      <c r="S764">
        <f t="shared" si="100"/>
        <v>10592.08</v>
      </c>
    </row>
    <row r="765" spans="1:19" x14ac:dyDescent="0.25">
      <c r="A765">
        <v>895</v>
      </c>
      <c r="B765">
        <v>1328</v>
      </c>
      <c r="C765" t="s">
        <v>34</v>
      </c>
      <c r="D765" t="s">
        <v>172</v>
      </c>
      <c r="E765">
        <v>9</v>
      </c>
      <c r="F765">
        <v>19.45</v>
      </c>
      <c r="G765">
        <v>11.14</v>
      </c>
      <c r="H765">
        <v>29.68</v>
      </c>
      <c r="I765">
        <v>1.1100000000000001</v>
      </c>
      <c r="J765">
        <v>361.5</v>
      </c>
      <c r="K765">
        <f t="shared" si="101"/>
        <v>3253.5</v>
      </c>
      <c r="L765">
        <f t="shared" si="102"/>
        <v>0</v>
      </c>
      <c r="M765">
        <f t="shared" si="99"/>
        <v>0</v>
      </c>
      <c r="N765">
        <f t="shared" si="103"/>
        <v>0</v>
      </c>
      <c r="O765">
        <f t="shared" si="104"/>
        <v>1950.057</v>
      </c>
      <c r="P765">
        <f t="shared" si="105"/>
        <v>487.51425</v>
      </c>
      <c r="Q765">
        <f t="shared" si="106"/>
        <v>497.45954069999999</v>
      </c>
      <c r="R765">
        <f t="shared" si="107"/>
        <v>296.50319999999999</v>
      </c>
      <c r="S765">
        <f t="shared" si="100"/>
        <v>3253.5</v>
      </c>
    </row>
    <row r="766" spans="1:19" x14ac:dyDescent="0.25">
      <c r="A766">
        <v>896</v>
      </c>
      <c r="B766">
        <v>1328</v>
      </c>
      <c r="C766" t="s">
        <v>34</v>
      </c>
      <c r="D766" t="s">
        <v>173</v>
      </c>
      <c r="E766">
        <v>12</v>
      </c>
      <c r="F766">
        <v>15.05</v>
      </c>
      <c r="G766">
        <v>2.76</v>
      </c>
      <c r="H766">
        <v>29.39</v>
      </c>
      <c r="I766">
        <v>0.8</v>
      </c>
      <c r="J766">
        <v>82.98</v>
      </c>
      <c r="K766">
        <f t="shared" si="101"/>
        <v>995.76</v>
      </c>
      <c r="L766">
        <f t="shared" si="102"/>
        <v>995.76</v>
      </c>
      <c r="M766">
        <f t="shared" si="99"/>
        <v>498.45599999999996</v>
      </c>
      <c r="N766">
        <f t="shared" si="103"/>
        <v>124.61399999999999</v>
      </c>
      <c r="O766">
        <f t="shared" si="104"/>
        <v>498.45599999999996</v>
      </c>
      <c r="P766">
        <f t="shared" si="105"/>
        <v>124.61399999999999</v>
      </c>
      <c r="Q766">
        <f t="shared" si="106"/>
        <v>127.15612559999998</v>
      </c>
      <c r="R766">
        <f t="shared" si="107"/>
        <v>282.14400000000006</v>
      </c>
      <c r="S766">
        <f t="shared" si="100"/>
        <v>995.76</v>
      </c>
    </row>
    <row r="767" spans="1:19" x14ac:dyDescent="0.25">
      <c r="A767">
        <v>897</v>
      </c>
      <c r="B767">
        <v>1328</v>
      </c>
      <c r="C767" t="s">
        <v>34</v>
      </c>
      <c r="D767" t="s">
        <v>173</v>
      </c>
      <c r="E767">
        <v>15</v>
      </c>
      <c r="F767">
        <v>15.05</v>
      </c>
      <c r="G767">
        <v>2.84</v>
      </c>
      <c r="H767">
        <v>28.47</v>
      </c>
      <c r="I767">
        <v>0.81</v>
      </c>
      <c r="J767">
        <v>84.14</v>
      </c>
      <c r="K767">
        <f t="shared" si="101"/>
        <v>1262.0999999999999</v>
      </c>
      <c r="L767">
        <f t="shared" si="102"/>
        <v>1262.0999999999999</v>
      </c>
      <c r="M767">
        <f t="shared" si="99"/>
        <v>641.13</v>
      </c>
      <c r="N767">
        <f t="shared" si="103"/>
        <v>160.2825</v>
      </c>
      <c r="O767">
        <f t="shared" si="104"/>
        <v>641.13</v>
      </c>
      <c r="P767">
        <f t="shared" si="105"/>
        <v>160.2825</v>
      </c>
      <c r="Q767">
        <f t="shared" si="106"/>
        <v>163.55226299999998</v>
      </c>
      <c r="R767">
        <f t="shared" si="107"/>
        <v>345.91050000000001</v>
      </c>
      <c r="S767">
        <f t="shared" si="100"/>
        <v>1262.0999999999999</v>
      </c>
    </row>
    <row r="768" spans="1:19" x14ac:dyDescent="0.25">
      <c r="A768">
        <v>898</v>
      </c>
      <c r="B768">
        <v>1328</v>
      </c>
      <c r="C768" t="s">
        <v>34</v>
      </c>
      <c r="D768" t="s">
        <v>173</v>
      </c>
      <c r="E768">
        <v>7</v>
      </c>
      <c r="F768">
        <v>14.48</v>
      </c>
      <c r="G768">
        <v>3</v>
      </c>
      <c r="H768">
        <v>27.89</v>
      </c>
      <c r="I768">
        <v>0.8</v>
      </c>
      <c r="J768">
        <v>84.27</v>
      </c>
      <c r="K768">
        <f t="shared" si="101"/>
        <v>589.89</v>
      </c>
      <c r="L768">
        <f t="shared" si="102"/>
        <v>589.89</v>
      </c>
      <c r="M768">
        <f t="shared" si="99"/>
        <v>304.08</v>
      </c>
      <c r="N768">
        <f t="shared" si="103"/>
        <v>76.02</v>
      </c>
      <c r="O768">
        <f t="shared" si="104"/>
        <v>304.08</v>
      </c>
      <c r="P768">
        <f t="shared" si="105"/>
        <v>76.02</v>
      </c>
      <c r="Q768">
        <f t="shared" si="106"/>
        <v>77.570808</v>
      </c>
      <c r="R768">
        <f t="shared" si="107"/>
        <v>156.18400000000003</v>
      </c>
      <c r="S768">
        <f t="shared" si="100"/>
        <v>589.89</v>
      </c>
    </row>
    <row r="769" spans="1:19" x14ac:dyDescent="0.25">
      <c r="A769">
        <v>899</v>
      </c>
      <c r="B769">
        <v>1328</v>
      </c>
      <c r="C769" t="s">
        <v>34</v>
      </c>
      <c r="D769" t="s">
        <v>172</v>
      </c>
      <c r="E769">
        <v>18</v>
      </c>
      <c r="F769">
        <v>19.62</v>
      </c>
      <c r="G769">
        <v>10.67</v>
      </c>
      <c r="H769">
        <v>38.74</v>
      </c>
      <c r="I769">
        <v>0.98</v>
      </c>
      <c r="J769">
        <v>356.58</v>
      </c>
      <c r="K769">
        <f t="shared" si="101"/>
        <v>6418.44</v>
      </c>
      <c r="L769">
        <f t="shared" si="102"/>
        <v>0</v>
      </c>
      <c r="M769">
        <f t="shared" si="99"/>
        <v>0</v>
      </c>
      <c r="N769">
        <f t="shared" si="103"/>
        <v>0</v>
      </c>
      <c r="O769">
        <f t="shared" si="104"/>
        <v>3768.2172</v>
      </c>
      <c r="P769">
        <f t="shared" si="105"/>
        <v>942.05430000000001</v>
      </c>
      <c r="Q769">
        <f t="shared" si="106"/>
        <v>961.27220771999998</v>
      </c>
      <c r="R769">
        <f t="shared" si="107"/>
        <v>683.37360000000001</v>
      </c>
      <c r="S769">
        <f t="shared" si="100"/>
        <v>6418.44</v>
      </c>
    </row>
    <row r="770" spans="1:19" x14ac:dyDescent="0.25">
      <c r="A770">
        <v>900</v>
      </c>
      <c r="B770">
        <v>1328</v>
      </c>
      <c r="C770" t="s">
        <v>34</v>
      </c>
      <c r="D770" t="s">
        <v>172</v>
      </c>
      <c r="E770">
        <v>14</v>
      </c>
      <c r="F770">
        <v>19.239999999999998</v>
      </c>
      <c r="G770">
        <v>12.06</v>
      </c>
      <c r="H770">
        <v>32.18</v>
      </c>
      <c r="I770">
        <v>1.04</v>
      </c>
      <c r="J770">
        <v>384.98</v>
      </c>
      <c r="K770">
        <f t="shared" si="101"/>
        <v>5389.72</v>
      </c>
      <c r="L770">
        <f t="shared" si="102"/>
        <v>0</v>
      </c>
      <c r="M770">
        <f t="shared" ref="M770:M833" si="108">IF(D770="SHOES",O770,0)</f>
        <v>0</v>
      </c>
      <c r="N770">
        <f t="shared" si="103"/>
        <v>0</v>
      </c>
      <c r="O770">
        <f t="shared" si="104"/>
        <v>3248.4815999999996</v>
      </c>
      <c r="P770">
        <f t="shared" si="105"/>
        <v>812.1203999999999</v>
      </c>
      <c r="Q770">
        <f t="shared" si="106"/>
        <v>828.68765615999985</v>
      </c>
      <c r="R770">
        <f t="shared" si="107"/>
        <v>468.54079999999999</v>
      </c>
      <c r="S770">
        <f t="shared" ref="S770:S833" si="109">PRODUCT(J770,E770)</f>
        <v>5389.72</v>
      </c>
    </row>
    <row r="771" spans="1:19" x14ac:dyDescent="0.25">
      <c r="A771">
        <v>901</v>
      </c>
      <c r="B771">
        <v>1328</v>
      </c>
      <c r="C771" t="s">
        <v>34</v>
      </c>
      <c r="D771" t="s">
        <v>173</v>
      </c>
      <c r="E771">
        <v>21</v>
      </c>
      <c r="F771">
        <v>17.27</v>
      </c>
      <c r="G771">
        <v>3</v>
      </c>
      <c r="H771">
        <v>30.63</v>
      </c>
      <c r="I771">
        <v>0.8</v>
      </c>
      <c r="J771">
        <v>98.19</v>
      </c>
      <c r="K771">
        <f t="shared" ref="K771:K834" si="110">E771*J771</f>
        <v>2061.9899999999998</v>
      </c>
      <c r="L771">
        <f t="shared" ref="L771:L834" si="111">IF(D771="SHOES",E771*J771,0)</f>
        <v>2061.9899999999998</v>
      </c>
      <c r="M771">
        <f t="shared" si="108"/>
        <v>1088.01</v>
      </c>
      <c r="N771">
        <f t="shared" ref="N771:N834" si="112">IF(D771="SHOES",P771,0)</f>
        <v>272.0025</v>
      </c>
      <c r="O771">
        <f t="shared" ref="O771:O834" si="113">PRODUCT(E771,G771,F771)</f>
        <v>1088.01</v>
      </c>
      <c r="P771">
        <f t="shared" ref="P771:P834" si="114">PRODUCT(O771,0.25)</f>
        <v>272.0025</v>
      </c>
      <c r="Q771">
        <f t="shared" ref="Q771:Q834" si="115">PRODUCT(O771,0.2551)</f>
        <v>277.55135100000001</v>
      </c>
      <c r="R771">
        <f t="shared" si="107"/>
        <v>514.58400000000006</v>
      </c>
      <c r="S771">
        <f t="shared" si="109"/>
        <v>2061.9899999999998</v>
      </c>
    </row>
    <row r="772" spans="1:19" x14ac:dyDescent="0.25">
      <c r="A772">
        <v>902</v>
      </c>
      <c r="B772">
        <v>1328</v>
      </c>
      <c r="C772" t="s">
        <v>34</v>
      </c>
      <c r="D772" t="s">
        <v>172</v>
      </c>
      <c r="E772">
        <v>13</v>
      </c>
      <c r="F772">
        <v>19.05</v>
      </c>
      <c r="G772">
        <v>11.54</v>
      </c>
      <c r="H772">
        <v>31.25</v>
      </c>
      <c r="I772">
        <v>1.08</v>
      </c>
      <c r="J772">
        <v>367.17</v>
      </c>
      <c r="K772">
        <f t="shared" si="110"/>
        <v>4773.21</v>
      </c>
      <c r="L772">
        <f t="shared" si="111"/>
        <v>0</v>
      </c>
      <c r="M772">
        <f t="shared" si="108"/>
        <v>0</v>
      </c>
      <c r="N772">
        <f t="shared" si="112"/>
        <v>0</v>
      </c>
      <c r="O772">
        <f t="shared" si="113"/>
        <v>2857.8809999999999</v>
      </c>
      <c r="P772">
        <f t="shared" si="114"/>
        <v>714.47024999999996</v>
      </c>
      <c r="Q772">
        <f t="shared" si="115"/>
        <v>729.04544309999994</v>
      </c>
      <c r="R772">
        <f t="shared" ref="R772:R835" si="116">PRODUCT(E772,I772,H772)</f>
        <v>438.75000000000006</v>
      </c>
      <c r="S772">
        <f t="shared" si="109"/>
        <v>4773.21</v>
      </c>
    </row>
    <row r="773" spans="1:19" x14ac:dyDescent="0.25">
      <c r="A773">
        <v>903</v>
      </c>
      <c r="B773">
        <v>1328</v>
      </c>
      <c r="C773" t="s">
        <v>34</v>
      </c>
      <c r="D773" t="s">
        <v>172</v>
      </c>
      <c r="E773">
        <v>37</v>
      </c>
      <c r="F773">
        <v>19.57</v>
      </c>
      <c r="G773">
        <v>10.09</v>
      </c>
      <c r="H773">
        <v>31.11</v>
      </c>
      <c r="I773">
        <v>1.1100000000000001</v>
      </c>
      <c r="J773">
        <v>334.82</v>
      </c>
      <c r="K773">
        <f t="shared" si="110"/>
        <v>12388.34</v>
      </c>
      <c r="L773">
        <f t="shared" si="111"/>
        <v>0</v>
      </c>
      <c r="M773">
        <f t="shared" si="108"/>
        <v>0</v>
      </c>
      <c r="N773">
        <f t="shared" si="112"/>
        <v>0</v>
      </c>
      <c r="O773">
        <f t="shared" si="113"/>
        <v>7306.0680999999995</v>
      </c>
      <c r="P773">
        <f t="shared" si="114"/>
        <v>1826.5170249999999</v>
      </c>
      <c r="Q773">
        <f t="shared" si="115"/>
        <v>1863.7779723099998</v>
      </c>
      <c r="R773">
        <f t="shared" si="116"/>
        <v>1277.6876999999999</v>
      </c>
      <c r="S773">
        <f t="shared" si="109"/>
        <v>12388.34</v>
      </c>
    </row>
    <row r="774" spans="1:19" x14ac:dyDescent="0.25">
      <c r="A774">
        <v>904</v>
      </c>
      <c r="B774">
        <v>1328</v>
      </c>
      <c r="C774" t="s">
        <v>34</v>
      </c>
      <c r="D774" t="s">
        <v>172</v>
      </c>
      <c r="E774">
        <v>21</v>
      </c>
      <c r="F774">
        <v>19.829999999999998</v>
      </c>
      <c r="G774">
        <v>11.34</v>
      </c>
      <c r="H774">
        <v>32.93</v>
      </c>
      <c r="I774">
        <v>1.02</v>
      </c>
      <c r="J774">
        <v>374.47</v>
      </c>
      <c r="K774">
        <f t="shared" si="110"/>
        <v>7863.8700000000008</v>
      </c>
      <c r="L774">
        <f t="shared" si="111"/>
        <v>0</v>
      </c>
      <c r="M774">
        <f t="shared" si="108"/>
        <v>0</v>
      </c>
      <c r="N774">
        <f t="shared" si="112"/>
        <v>0</v>
      </c>
      <c r="O774">
        <f t="shared" si="113"/>
        <v>4722.3161999999993</v>
      </c>
      <c r="P774">
        <f t="shared" si="114"/>
        <v>1180.5790499999998</v>
      </c>
      <c r="Q774">
        <f t="shared" si="115"/>
        <v>1204.6628626199997</v>
      </c>
      <c r="R774">
        <f t="shared" si="116"/>
        <v>705.36060000000009</v>
      </c>
      <c r="S774">
        <f t="shared" si="109"/>
        <v>7863.8700000000008</v>
      </c>
    </row>
    <row r="775" spans="1:19" x14ac:dyDescent="0.25">
      <c r="A775">
        <v>905</v>
      </c>
      <c r="B775">
        <v>1328</v>
      </c>
      <c r="C775" t="s">
        <v>34</v>
      </c>
      <c r="D775" t="s">
        <v>172</v>
      </c>
      <c r="E775">
        <v>31</v>
      </c>
      <c r="F775">
        <v>20.56</v>
      </c>
      <c r="G775">
        <v>11.8</v>
      </c>
      <c r="H775">
        <v>32.22</v>
      </c>
      <c r="I775">
        <v>0.93</v>
      </c>
      <c r="J775">
        <v>396.54</v>
      </c>
      <c r="K775">
        <f t="shared" si="110"/>
        <v>12292.74</v>
      </c>
      <c r="L775">
        <f t="shared" si="111"/>
        <v>0</v>
      </c>
      <c r="M775">
        <f t="shared" si="108"/>
        <v>0</v>
      </c>
      <c r="N775">
        <f t="shared" si="112"/>
        <v>0</v>
      </c>
      <c r="O775">
        <f t="shared" si="113"/>
        <v>7520.848</v>
      </c>
      <c r="P775">
        <f t="shared" si="114"/>
        <v>1880.212</v>
      </c>
      <c r="Q775">
        <f t="shared" si="115"/>
        <v>1918.5683248</v>
      </c>
      <c r="R775">
        <f t="shared" si="116"/>
        <v>928.90260000000001</v>
      </c>
      <c r="S775">
        <f t="shared" si="109"/>
        <v>12292.74</v>
      </c>
    </row>
    <row r="776" spans="1:19" x14ac:dyDescent="0.25">
      <c r="A776">
        <v>906</v>
      </c>
      <c r="B776">
        <v>1329</v>
      </c>
      <c r="C776" t="s">
        <v>33</v>
      </c>
      <c r="D776" t="s">
        <v>172</v>
      </c>
      <c r="E776">
        <v>13</v>
      </c>
      <c r="F776">
        <v>21.16</v>
      </c>
      <c r="G776">
        <v>10.98</v>
      </c>
      <c r="H776">
        <v>33.409999999999997</v>
      </c>
      <c r="I776">
        <v>1.05</v>
      </c>
      <c r="J776">
        <v>387.35</v>
      </c>
      <c r="K776">
        <f t="shared" si="110"/>
        <v>5035.55</v>
      </c>
      <c r="L776">
        <f t="shared" si="111"/>
        <v>0</v>
      </c>
      <c r="M776">
        <f t="shared" si="108"/>
        <v>0</v>
      </c>
      <c r="N776">
        <f t="shared" si="112"/>
        <v>0</v>
      </c>
      <c r="O776">
        <f t="shared" si="113"/>
        <v>3020.3784000000001</v>
      </c>
      <c r="P776">
        <f t="shared" si="114"/>
        <v>755.09460000000001</v>
      </c>
      <c r="Q776">
        <f t="shared" si="115"/>
        <v>770.49852983999995</v>
      </c>
      <c r="R776">
        <f t="shared" si="116"/>
        <v>456.04649999999998</v>
      </c>
      <c r="S776">
        <f t="shared" si="109"/>
        <v>5035.55</v>
      </c>
    </row>
    <row r="777" spans="1:19" x14ac:dyDescent="0.25">
      <c r="A777">
        <v>907</v>
      </c>
      <c r="B777">
        <v>1329</v>
      </c>
      <c r="C777" t="s">
        <v>33</v>
      </c>
      <c r="D777" t="s">
        <v>172</v>
      </c>
      <c r="E777">
        <v>14</v>
      </c>
      <c r="F777">
        <v>19.52</v>
      </c>
      <c r="G777">
        <v>11.51</v>
      </c>
      <c r="H777">
        <v>30.38</v>
      </c>
      <c r="I777">
        <v>0.99</v>
      </c>
      <c r="J777">
        <v>370</v>
      </c>
      <c r="K777">
        <f t="shared" si="110"/>
        <v>5180</v>
      </c>
      <c r="L777">
        <f t="shared" si="111"/>
        <v>0</v>
      </c>
      <c r="M777">
        <f t="shared" si="108"/>
        <v>0</v>
      </c>
      <c r="N777">
        <f t="shared" si="112"/>
        <v>0</v>
      </c>
      <c r="O777">
        <f t="shared" si="113"/>
        <v>3145.4527999999996</v>
      </c>
      <c r="P777">
        <f t="shared" si="114"/>
        <v>786.36319999999989</v>
      </c>
      <c r="Q777">
        <f t="shared" si="115"/>
        <v>802.40500927999983</v>
      </c>
      <c r="R777">
        <f t="shared" si="116"/>
        <v>421.06679999999994</v>
      </c>
      <c r="S777">
        <f t="shared" si="109"/>
        <v>5180</v>
      </c>
    </row>
    <row r="778" spans="1:19" x14ac:dyDescent="0.25">
      <c r="A778">
        <v>908</v>
      </c>
      <c r="B778">
        <v>1329</v>
      </c>
      <c r="C778" t="s">
        <v>33</v>
      </c>
      <c r="D778" t="s">
        <v>173</v>
      </c>
      <c r="E778">
        <v>31</v>
      </c>
      <c r="F778">
        <v>17.77</v>
      </c>
      <c r="G778">
        <v>2.69</v>
      </c>
      <c r="H778">
        <v>25.18</v>
      </c>
      <c r="I778">
        <v>0.8</v>
      </c>
      <c r="J778">
        <v>78.3</v>
      </c>
      <c r="K778">
        <f t="shared" si="110"/>
        <v>2427.2999999999997</v>
      </c>
      <c r="L778">
        <f t="shared" si="111"/>
        <v>2427.2999999999997</v>
      </c>
      <c r="M778">
        <f t="shared" si="108"/>
        <v>1481.8403000000001</v>
      </c>
      <c r="N778">
        <f t="shared" si="112"/>
        <v>370.46007500000002</v>
      </c>
      <c r="O778">
        <f t="shared" si="113"/>
        <v>1481.8403000000001</v>
      </c>
      <c r="P778">
        <f t="shared" si="114"/>
        <v>370.46007500000002</v>
      </c>
      <c r="Q778">
        <f t="shared" si="115"/>
        <v>378.01746052999999</v>
      </c>
      <c r="R778">
        <f t="shared" si="116"/>
        <v>624.46400000000006</v>
      </c>
      <c r="S778">
        <f t="shared" si="109"/>
        <v>2427.2999999999997</v>
      </c>
    </row>
    <row r="779" spans="1:19" x14ac:dyDescent="0.25">
      <c r="A779">
        <v>909</v>
      </c>
      <c r="B779">
        <v>1329</v>
      </c>
      <c r="C779" t="s">
        <v>33</v>
      </c>
      <c r="D779" t="s">
        <v>172</v>
      </c>
      <c r="E779">
        <v>83</v>
      </c>
      <c r="F779">
        <v>18.84</v>
      </c>
      <c r="G779">
        <v>10.49</v>
      </c>
      <c r="H779">
        <v>26.32</v>
      </c>
      <c r="I779">
        <v>0.91</v>
      </c>
      <c r="J779">
        <v>322.48</v>
      </c>
      <c r="K779">
        <f t="shared" si="110"/>
        <v>26765.84</v>
      </c>
      <c r="L779">
        <f t="shared" si="111"/>
        <v>0</v>
      </c>
      <c r="M779">
        <f t="shared" si="108"/>
        <v>0</v>
      </c>
      <c r="N779">
        <f t="shared" si="112"/>
        <v>0</v>
      </c>
      <c r="O779">
        <f t="shared" si="113"/>
        <v>16403.4228</v>
      </c>
      <c r="P779">
        <f t="shared" si="114"/>
        <v>4100.8557000000001</v>
      </c>
      <c r="Q779">
        <f t="shared" si="115"/>
        <v>4184.5131562799997</v>
      </c>
      <c r="R779">
        <f t="shared" si="116"/>
        <v>1987.9496000000001</v>
      </c>
      <c r="S779">
        <f t="shared" si="109"/>
        <v>26765.84</v>
      </c>
    </row>
    <row r="780" spans="1:19" x14ac:dyDescent="0.25">
      <c r="A780">
        <v>910</v>
      </c>
      <c r="B780">
        <v>1329</v>
      </c>
      <c r="C780" t="s">
        <v>33</v>
      </c>
      <c r="D780" t="s">
        <v>172</v>
      </c>
      <c r="E780">
        <v>16</v>
      </c>
      <c r="F780">
        <v>18.98</v>
      </c>
      <c r="G780">
        <v>10.26</v>
      </c>
      <c r="H780">
        <v>30.74</v>
      </c>
      <c r="I780">
        <v>0.99</v>
      </c>
      <c r="J780">
        <v>325.88</v>
      </c>
      <c r="K780">
        <f t="shared" si="110"/>
        <v>5214.08</v>
      </c>
      <c r="L780">
        <f t="shared" si="111"/>
        <v>0</v>
      </c>
      <c r="M780">
        <f t="shared" si="108"/>
        <v>0</v>
      </c>
      <c r="N780">
        <f t="shared" si="112"/>
        <v>0</v>
      </c>
      <c r="O780">
        <f t="shared" si="113"/>
        <v>3115.7568000000001</v>
      </c>
      <c r="P780">
        <f t="shared" si="114"/>
        <v>778.93920000000003</v>
      </c>
      <c r="Q780">
        <f t="shared" si="115"/>
        <v>794.82955967999999</v>
      </c>
      <c r="R780">
        <f t="shared" si="116"/>
        <v>486.92159999999996</v>
      </c>
      <c r="S780">
        <f t="shared" si="109"/>
        <v>5214.08</v>
      </c>
    </row>
    <row r="781" spans="1:19" x14ac:dyDescent="0.25">
      <c r="A781">
        <v>911</v>
      </c>
      <c r="B781">
        <v>1329</v>
      </c>
      <c r="C781" t="s">
        <v>33</v>
      </c>
      <c r="D781" t="s">
        <v>173</v>
      </c>
      <c r="E781">
        <v>22</v>
      </c>
      <c r="F781">
        <v>15.73</v>
      </c>
      <c r="G781">
        <v>3.15</v>
      </c>
      <c r="H781">
        <v>30.16</v>
      </c>
      <c r="I781">
        <v>0.83</v>
      </c>
      <c r="J781">
        <v>95.67</v>
      </c>
      <c r="K781">
        <f t="shared" si="110"/>
        <v>2104.7400000000002</v>
      </c>
      <c r="L781">
        <f t="shared" si="111"/>
        <v>2104.7400000000002</v>
      </c>
      <c r="M781">
        <f t="shared" si="108"/>
        <v>1090.0889999999999</v>
      </c>
      <c r="N781">
        <f t="shared" si="112"/>
        <v>272.52224999999999</v>
      </c>
      <c r="O781">
        <f t="shared" si="113"/>
        <v>1090.0889999999999</v>
      </c>
      <c r="P781">
        <f t="shared" si="114"/>
        <v>272.52224999999999</v>
      </c>
      <c r="Q781">
        <f t="shared" si="115"/>
        <v>278.08170389999998</v>
      </c>
      <c r="R781">
        <f t="shared" si="116"/>
        <v>550.72159999999997</v>
      </c>
      <c r="S781">
        <f t="shared" si="109"/>
        <v>2104.7400000000002</v>
      </c>
    </row>
    <row r="782" spans="1:19" x14ac:dyDescent="0.25">
      <c r="A782">
        <v>912</v>
      </c>
      <c r="B782">
        <v>1329</v>
      </c>
      <c r="C782" t="s">
        <v>33</v>
      </c>
      <c r="D782" t="s">
        <v>172</v>
      </c>
      <c r="E782">
        <v>16</v>
      </c>
      <c r="F782">
        <v>20.89</v>
      </c>
      <c r="G782">
        <v>10.89</v>
      </c>
      <c r="H782">
        <v>35.049999999999997</v>
      </c>
      <c r="I782">
        <v>1</v>
      </c>
      <c r="J782">
        <v>380.1</v>
      </c>
      <c r="K782">
        <f t="shared" si="110"/>
        <v>6081.6</v>
      </c>
      <c r="L782">
        <f t="shared" si="111"/>
        <v>0</v>
      </c>
      <c r="M782">
        <f t="shared" si="108"/>
        <v>0</v>
      </c>
      <c r="N782">
        <f t="shared" si="112"/>
        <v>0</v>
      </c>
      <c r="O782">
        <f t="shared" si="113"/>
        <v>3639.8736000000004</v>
      </c>
      <c r="P782">
        <f t="shared" si="114"/>
        <v>909.96840000000009</v>
      </c>
      <c r="Q782">
        <f t="shared" si="115"/>
        <v>928.53175536000003</v>
      </c>
      <c r="R782">
        <f t="shared" si="116"/>
        <v>560.79999999999995</v>
      </c>
      <c r="S782">
        <f t="shared" si="109"/>
        <v>6081.6</v>
      </c>
    </row>
    <row r="783" spans="1:19" x14ac:dyDescent="0.25">
      <c r="A783">
        <v>913</v>
      </c>
      <c r="B783">
        <v>1329</v>
      </c>
      <c r="C783" t="s">
        <v>33</v>
      </c>
      <c r="D783" t="s">
        <v>173</v>
      </c>
      <c r="E783">
        <v>12</v>
      </c>
      <c r="F783">
        <v>14.42</v>
      </c>
      <c r="G783">
        <v>2.9</v>
      </c>
      <c r="H783">
        <v>33.01</v>
      </c>
      <c r="I783">
        <v>0.78</v>
      </c>
      <c r="J783">
        <v>85.82</v>
      </c>
      <c r="K783">
        <f t="shared" si="110"/>
        <v>1029.8399999999999</v>
      </c>
      <c r="L783">
        <f t="shared" si="111"/>
        <v>1029.8399999999999</v>
      </c>
      <c r="M783">
        <f t="shared" si="108"/>
        <v>501.81599999999997</v>
      </c>
      <c r="N783">
        <f t="shared" si="112"/>
        <v>125.45399999999999</v>
      </c>
      <c r="O783">
        <f t="shared" si="113"/>
        <v>501.81599999999997</v>
      </c>
      <c r="P783">
        <f t="shared" si="114"/>
        <v>125.45399999999999</v>
      </c>
      <c r="Q783">
        <f t="shared" si="115"/>
        <v>128.01326159999999</v>
      </c>
      <c r="R783">
        <f t="shared" si="116"/>
        <v>308.97359999999998</v>
      </c>
      <c r="S783">
        <f t="shared" si="109"/>
        <v>1029.8399999999999</v>
      </c>
    </row>
    <row r="784" spans="1:19" x14ac:dyDescent="0.25">
      <c r="A784">
        <v>914</v>
      </c>
      <c r="B784">
        <v>1330</v>
      </c>
      <c r="C784" t="s">
        <v>34</v>
      </c>
      <c r="D784" t="s">
        <v>172</v>
      </c>
      <c r="E784">
        <v>33</v>
      </c>
      <c r="F784">
        <v>18.399999999999999</v>
      </c>
      <c r="G784">
        <v>11.25</v>
      </c>
      <c r="H784">
        <v>35.229999999999997</v>
      </c>
      <c r="I784">
        <v>1.06</v>
      </c>
      <c r="J784">
        <v>352.35</v>
      </c>
      <c r="K784">
        <f t="shared" si="110"/>
        <v>11627.550000000001</v>
      </c>
      <c r="L784">
        <f t="shared" si="111"/>
        <v>0</v>
      </c>
      <c r="M784">
        <f t="shared" si="108"/>
        <v>0</v>
      </c>
      <c r="N784">
        <f t="shared" si="112"/>
        <v>0</v>
      </c>
      <c r="O784">
        <f t="shared" si="113"/>
        <v>6830.9999999999991</v>
      </c>
      <c r="P784">
        <f t="shared" si="114"/>
        <v>1707.7499999999998</v>
      </c>
      <c r="Q784">
        <f t="shared" si="115"/>
        <v>1742.5880999999997</v>
      </c>
      <c r="R784">
        <f t="shared" si="116"/>
        <v>1232.3453999999999</v>
      </c>
      <c r="S784">
        <f t="shared" si="109"/>
        <v>11627.550000000001</v>
      </c>
    </row>
    <row r="785" spans="1:19" x14ac:dyDescent="0.25">
      <c r="A785">
        <v>915</v>
      </c>
      <c r="B785">
        <v>1330</v>
      </c>
      <c r="C785" t="s">
        <v>34</v>
      </c>
      <c r="D785" t="s">
        <v>173</v>
      </c>
      <c r="E785">
        <v>9</v>
      </c>
      <c r="F785">
        <v>14.28</v>
      </c>
      <c r="G785">
        <v>2.37</v>
      </c>
      <c r="H785">
        <v>28.66</v>
      </c>
      <c r="I785">
        <v>0.79</v>
      </c>
      <c r="J785">
        <v>71.44</v>
      </c>
      <c r="K785">
        <f t="shared" si="110"/>
        <v>642.96</v>
      </c>
      <c r="L785">
        <f t="shared" si="111"/>
        <v>642.96</v>
      </c>
      <c r="M785">
        <f t="shared" si="108"/>
        <v>304.5924</v>
      </c>
      <c r="N785">
        <f t="shared" si="112"/>
        <v>76.148099999999999</v>
      </c>
      <c r="O785">
        <f t="shared" si="113"/>
        <v>304.5924</v>
      </c>
      <c r="P785">
        <f t="shared" si="114"/>
        <v>76.148099999999999</v>
      </c>
      <c r="Q785">
        <f t="shared" si="115"/>
        <v>77.701521239999991</v>
      </c>
      <c r="R785">
        <f t="shared" si="116"/>
        <v>203.77260000000001</v>
      </c>
      <c r="S785">
        <f t="shared" si="109"/>
        <v>642.96</v>
      </c>
    </row>
    <row r="786" spans="1:19" x14ac:dyDescent="0.25">
      <c r="A786">
        <v>916</v>
      </c>
      <c r="B786">
        <v>1330</v>
      </c>
      <c r="C786" t="s">
        <v>34</v>
      </c>
      <c r="D786" t="s">
        <v>173</v>
      </c>
      <c r="E786">
        <v>12</v>
      </c>
      <c r="F786">
        <v>13.31</v>
      </c>
      <c r="G786">
        <v>2.83</v>
      </c>
      <c r="H786">
        <v>29.64</v>
      </c>
      <c r="I786">
        <v>0.8</v>
      </c>
      <c r="J786">
        <v>77.88</v>
      </c>
      <c r="K786">
        <f t="shared" si="110"/>
        <v>934.56</v>
      </c>
      <c r="L786">
        <f t="shared" si="111"/>
        <v>934.56</v>
      </c>
      <c r="M786">
        <f t="shared" si="108"/>
        <v>452.00760000000002</v>
      </c>
      <c r="N786">
        <f t="shared" si="112"/>
        <v>113.00190000000001</v>
      </c>
      <c r="O786">
        <f t="shared" si="113"/>
        <v>452.00760000000002</v>
      </c>
      <c r="P786">
        <f t="shared" si="114"/>
        <v>113.00190000000001</v>
      </c>
      <c r="Q786">
        <f t="shared" si="115"/>
        <v>115.30713876</v>
      </c>
      <c r="R786">
        <f t="shared" si="116"/>
        <v>284.54400000000004</v>
      </c>
      <c r="S786">
        <f t="shared" si="109"/>
        <v>934.56</v>
      </c>
    </row>
    <row r="787" spans="1:19" x14ac:dyDescent="0.25">
      <c r="A787">
        <v>917</v>
      </c>
      <c r="B787">
        <v>1330</v>
      </c>
      <c r="C787" t="s">
        <v>34</v>
      </c>
      <c r="D787" t="s">
        <v>172</v>
      </c>
      <c r="E787">
        <v>28</v>
      </c>
      <c r="F787">
        <v>21.59</v>
      </c>
      <c r="G787">
        <v>12.19</v>
      </c>
      <c r="H787">
        <v>28.8</v>
      </c>
      <c r="I787">
        <v>0.91</v>
      </c>
      <c r="J787">
        <v>341.69</v>
      </c>
      <c r="K787">
        <f t="shared" si="110"/>
        <v>9567.32</v>
      </c>
      <c r="L787">
        <f t="shared" si="111"/>
        <v>0</v>
      </c>
      <c r="M787">
        <f t="shared" si="108"/>
        <v>0</v>
      </c>
      <c r="N787">
        <f t="shared" si="112"/>
        <v>0</v>
      </c>
      <c r="O787">
        <f t="shared" si="113"/>
        <v>7369.0987999999998</v>
      </c>
      <c r="P787">
        <f t="shared" si="114"/>
        <v>1842.2746999999999</v>
      </c>
      <c r="Q787">
        <f t="shared" si="115"/>
        <v>1879.8571038799998</v>
      </c>
      <c r="R787">
        <f t="shared" si="116"/>
        <v>733.82400000000007</v>
      </c>
      <c r="S787">
        <f t="shared" si="109"/>
        <v>9567.32</v>
      </c>
    </row>
    <row r="788" spans="1:19" x14ac:dyDescent="0.25">
      <c r="A788">
        <v>918</v>
      </c>
      <c r="B788">
        <v>1330</v>
      </c>
      <c r="C788" t="s">
        <v>34</v>
      </c>
      <c r="D788" t="s">
        <v>172</v>
      </c>
      <c r="E788">
        <v>19</v>
      </c>
      <c r="F788">
        <v>18.760000000000002</v>
      </c>
      <c r="G788">
        <v>9.7200000000000006</v>
      </c>
      <c r="H788">
        <v>31.77</v>
      </c>
      <c r="I788">
        <v>1.08</v>
      </c>
      <c r="J788">
        <v>312.07</v>
      </c>
      <c r="K788">
        <f t="shared" si="110"/>
        <v>5929.33</v>
      </c>
      <c r="L788">
        <f t="shared" si="111"/>
        <v>0</v>
      </c>
      <c r="M788">
        <f t="shared" si="108"/>
        <v>0</v>
      </c>
      <c r="N788">
        <f t="shared" si="112"/>
        <v>0</v>
      </c>
      <c r="O788">
        <f t="shared" si="113"/>
        <v>3464.5968000000003</v>
      </c>
      <c r="P788">
        <f t="shared" si="114"/>
        <v>866.14920000000006</v>
      </c>
      <c r="Q788">
        <f t="shared" si="115"/>
        <v>883.81864368000004</v>
      </c>
      <c r="R788">
        <f t="shared" si="116"/>
        <v>651.92040000000009</v>
      </c>
      <c r="S788">
        <f t="shared" si="109"/>
        <v>5929.33</v>
      </c>
    </row>
    <row r="789" spans="1:19" x14ac:dyDescent="0.25">
      <c r="A789">
        <v>919</v>
      </c>
      <c r="B789">
        <v>1330</v>
      </c>
      <c r="C789" t="s">
        <v>34</v>
      </c>
      <c r="D789" t="s">
        <v>173</v>
      </c>
      <c r="E789">
        <v>12</v>
      </c>
      <c r="F789">
        <v>12.96</v>
      </c>
      <c r="G789">
        <v>2.8</v>
      </c>
      <c r="H789">
        <v>31.33</v>
      </c>
      <c r="I789">
        <v>0.82</v>
      </c>
      <c r="J789">
        <v>78.16</v>
      </c>
      <c r="K789">
        <f t="shared" si="110"/>
        <v>937.92</v>
      </c>
      <c r="L789">
        <f t="shared" si="111"/>
        <v>937.92</v>
      </c>
      <c r="M789">
        <f t="shared" si="108"/>
        <v>435.45599999999996</v>
      </c>
      <c r="N789">
        <f t="shared" si="112"/>
        <v>108.86399999999999</v>
      </c>
      <c r="O789">
        <f t="shared" si="113"/>
        <v>435.45599999999996</v>
      </c>
      <c r="P789">
        <f t="shared" si="114"/>
        <v>108.86399999999999</v>
      </c>
      <c r="Q789">
        <f t="shared" si="115"/>
        <v>111.08482559999999</v>
      </c>
      <c r="R789">
        <f t="shared" si="116"/>
        <v>308.28719999999998</v>
      </c>
      <c r="S789">
        <f t="shared" si="109"/>
        <v>937.92</v>
      </c>
    </row>
    <row r="790" spans="1:19" x14ac:dyDescent="0.25">
      <c r="A790">
        <v>920</v>
      </c>
      <c r="B790">
        <v>1330</v>
      </c>
      <c r="C790" t="s">
        <v>34</v>
      </c>
      <c r="D790" t="s">
        <v>173</v>
      </c>
      <c r="E790">
        <v>7</v>
      </c>
      <c r="F790">
        <v>16.48</v>
      </c>
      <c r="G790">
        <v>3.09</v>
      </c>
      <c r="H790">
        <v>25.49</v>
      </c>
      <c r="I790">
        <v>0.83</v>
      </c>
      <c r="J790">
        <v>93.29</v>
      </c>
      <c r="K790">
        <f t="shared" si="110"/>
        <v>653.03000000000009</v>
      </c>
      <c r="L790">
        <f t="shared" si="111"/>
        <v>653.03000000000009</v>
      </c>
      <c r="M790">
        <f t="shared" si="108"/>
        <v>356.4624</v>
      </c>
      <c r="N790">
        <f t="shared" si="112"/>
        <v>89.115600000000001</v>
      </c>
      <c r="O790">
        <f t="shared" si="113"/>
        <v>356.4624</v>
      </c>
      <c r="P790">
        <f t="shared" si="114"/>
        <v>89.115600000000001</v>
      </c>
      <c r="Q790">
        <f t="shared" si="115"/>
        <v>90.933558239999996</v>
      </c>
      <c r="R790">
        <f t="shared" si="116"/>
        <v>148.09689999999998</v>
      </c>
      <c r="S790">
        <f t="shared" si="109"/>
        <v>653.03000000000009</v>
      </c>
    </row>
    <row r="791" spans="1:19" x14ac:dyDescent="0.25">
      <c r="A791">
        <v>921</v>
      </c>
      <c r="B791">
        <v>1330</v>
      </c>
      <c r="C791" t="s">
        <v>34</v>
      </c>
      <c r="D791" t="s">
        <v>173</v>
      </c>
      <c r="E791">
        <v>13</v>
      </c>
      <c r="F791">
        <v>16.760000000000002</v>
      </c>
      <c r="G791">
        <v>2.91</v>
      </c>
      <c r="H791">
        <v>31.41</v>
      </c>
      <c r="I791">
        <v>0.83</v>
      </c>
      <c r="J791">
        <v>86.16</v>
      </c>
      <c r="K791">
        <f t="shared" si="110"/>
        <v>1120.08</v>
      </c>
      <c r="L791">
        <f t="shared" si="111"/>
        <v>1120.08</v>
      </c>
      <c r="M791">
        <f t="shared" si="108"/>
        <v>634.0308</v>
      </c>
      <c r="N791">
        <f t="shared" si="112"/>
        <v>158.5077</v>
      </c>
      <c r="O791">
        <f t="shared" si="113"/>
        <v>634.0308</v>
      </c>
      <c r="P791">
        <f t="shared" si="114"/>
        <v>158.5077</v>
      </c>
      <c r="Q791">
        <f t="shared" si="115"/>
        <v>161.74125708</v>
      </c>
      <c r="R791">
        <f t="shared" si="116"/>
        <v>338.91389999999996</v>
      </c>
      <c r="S791">
        <f t="shared" si="109"/>
        <v>1120.08</v>
      </c>
    </row>
    <row r="792" spans="1:19" x14ac:dyDescent="0.25">
      <c r="A792">
        <v>922</v>
      </c>
      <c r="B792">
        <v>1331</v>
      </c>
      <c r="C792" t="s">
        <v>34</v>
      </c>
      <c r="D792" t="s">
        <v>172</v>
      </c>
      <c r="E792">
        <v>20</v>
      </c>
      <c r="F792">
        <v>18.850000000000001</v>
      </c>
      <c r="G792">
        <v>11.01</v>
      </c>
      <c r="H792">
        <v>32.42</v>
      </c>
      <c r="I792">
        <v>1.03</v>
      </c>
      <c r="J792">
        <v>348.45</v>
      </c>
      <c r="K792">
        <f t="shared" si="110"/>
        <v>6969</v>
      </c>
      <c r="L792">
        <f t="shared" si="111"/>
        <v>0</v>
      </c>
      <c r="M792">
        <f t="shared" si="108"/>
        <v>0</v>
      </c>
      <c r="N792">
        <f t="shared" si="112"/>
        <v>0</v>
      </c>
      <c r="O792">
        <f t="shared" si="113"/>
        <v>4150.7700000000004</v>
      </c>
      <c r="P792">
        <f t="shared" si="114"/>
        <v>1037.6925000000001</v>
      </c>
      <c r="Q792">
        <f t="shared" si="115"/>
        <v>1058.861427</v>
      </c>
      <c r="R792">
        <f t="shared" si="116"/>
        <v>667.85200000000009</v>
      </c>
      <c r="S792">
        <f t="shared" si="109"/>
        <v>6969</v>
      </c>
    </row>
    <row r="793" spans="1:19" x14ac:dyDescent="0.25">
      <c r="A793">
        <v>923</v>
      </c>
      <c r="B793">
        <v>1331</v>
      </c>
      <c r="C793" t="s">
        <v>34</v>
      </c>
      <c r="D793" t="s">
        <v>172</v>
      </c>
      <c r="E793">
        <v>13</v>
      </c>
      <c r="F793">
        <v>19.899999999999999</v>
      </c>
      <c r="G793">
        <v>12.12</v>
      </c>
      <c r="H793">
        <v>30.24</v>
      </c>
      <c r="I793">
        <v>0.96</v>
      </c>
      <c r="J793">
        <v>393.31</v>
      </c>
      <c r="K793">
        <f t="shared" si="110"/>
        <v>5113.03</v>
      </c>
      <c r="L793">
        <f t="shared" si="111"/>
        <v>0</v>
      </c>
      <c r="M793">
        <f t="shared" si="108"/>
        <v>0</v>
      </c>
      <c r="N793">
        <f t="shared" si="112"/>
        <v>0</v>
      </c>
      <c r="O793">
        <f t="shared" si="113"/>
        <v>3135.444</v>
      </c>
      <c r="P793">
        <f t="shared" si="114"/>
        <v>783.86099999999999</v>
      </c>
      <c r="Q793">
        <f t="shared" si="115"/>
        <v>799.85176439999998</v>
      </c>
      <c r="R793">
        <f t="shared" si="116"/>
        <v>377.39519999999999</v>
      </c>
      <c r="S793">
        <f t="shared" si="109"/>
        <v>5113.03</v>
      </c>
    </row>
    <row r="794" spans="1:19" x14ac:dyDescent="0.25">
      <c r="A794">
        <v>924</v>
      </c>
      <c r="B794">
        <v>1331</v>
      </c>
      <c r="C794" t="s">
        <v>34</v>
      </c>
      <c r="D794" t="s">
        <v>173</v>
      </c>
      <c r="E794">
        <v>10</v>
      </c>
      <c r="F794">
        <v>13.74</v>
      </c>
      <c r="G794">
        <v>2.64</v>
      </c>
      <c r="H794">
        <v>30.6</v>
      </c>
      <c r="I794">
        <v>0.82</v>
      </c>
      <c r="J794">
        <v>77.48</v>
      </c>
      <c r="K794">
        <f t="shared" si="110"/>
        <v>774.80000000000007</v>
      </c>
      <c r="L794">
        <f t="shared" si="111"/>
        <v>774.80000000000007</v>
      </c>
      <c r="M794">
        <f t="shared" si="108"/>
        <v>362.73600000000005</v>
      </c>
      <c r="N794">
        <f t="shared" si="112"/>
        <v>90.684000000000012</v>
      </c>
      <c r="O794">
        <f t="shared" si="113"/>
        <v>362.73600000000005</v>
      </c>
      <c r="P794">
        <f t="shared" si="114"/>
        <v>90.684000000000012</v>
      </c>
      <c r="Q794">
        <f t="shared" si="115"/>
        <v>92.533953600000004</v>
      </c>
      <c r="R794">
        <f t="shared" si="116"/>
        <v>250.92</v>
      </c>
      <c r="S794">
        <f t="shared" si="109"/>
        <v>774.80000000000007</v>
      </c>
    </row>
    <row r="795" spans="1:19" x14ac:dyDescent="0.25">
      <c r="A795">
        <v>925</v>
      </c>
      <c r="B795">
        <v>1331</v>
      </c>
      <c r="C795" t="s">
        <v>34</v>
      </c>
      <c r="D795" t="s">
        <v>173</v>
      </c>
      <c r="E795">
        <v>6</v>
      </c>
      <c r="F795">
        <v>15.23</v>
      </c>
      <c r="G795">
        <v>2.54</v>
      </c>
      <c r="H795">
        <v>32.26</v>
      </c>
      <c r="I795">
        <v>0.82</v>
      </c>
      <c r="J795">
        <v>82.29</v>
      </c>
      <c r="K795">
        <f t="shared" si="110"/>
        <v>493.74</v>
      </c>
      <c r="L795">
        <f t="shared" si="111"/>
        <v>493.74</v>
      </c>
      <c r="M795">
        <f t="shared" si="108"/>
        <v>232.1052</v>
      </c>
      <c r="N795">
        <f t="shared" si="112"/>
        <v>58.026299999999999</v>
      </c>
      <c r="O795">
        <f t="shared" si="113"/>
        <v>232.1052</v>
      </c>
      <c r="P795">
        <f t="shared" si="114"/>
        <v>58.026299999999999</v>
      </c>
      <c r="Q795">
        <f t="shared" si="115"/>
        <v>59.210036519999996</v>
      </c>
      <c r="R795">
        <f t="shared" si="116"/>
        <v>158.7192</v>
      </c>
      <c r="S795">
        <f t="shared" si="109"/>
        <v>493.74</v>
      </c>
    </row>
    <row r="796" spans="1:19" x14ac:dyDescent="0.25">
      <c r="A796">
        <v>926</v>
      </c>
      <c r="B796">
        <v>1331</v>
      </c>
      <c r="C796" t="s">
        <v>34</v>
      </c>
      <c r="D796" t="s">
        <v>173</v>
      </c>
      <c r="E796">
        <v>70</v>
      </c>
      <c r="F796">
        <v>15.39</v>
      </c>
      <c r="G796">
        <v>3.04</v>
      </c>
      <c r="H796">
        <v>33.94</v>
      </c>
      <c r="I796">
        <v>0.83</v>
      </c>
      <c r="J796">
        <v>95.32</v>
      </c>
      <c r="K796">
        <f t="shared" si="110"/>
        <v>6672.4</v>
      </c>
      <c r="L796">
        <f t="shared" si="111"/>
        <v>6672.4</v>
      </c>
      <c r="M796">
        <f t="shared" si="108"/>
        <v>3274.9920000000002</v>
      </c>
      <c r="N796">
        <f t="shared" si="112"/>
        <v>818.74800000000005</v>
      </c>
      <c r="O796">
        <f t="shared" si="113"/>
        <v>3274.9920000000002</v>
      </c>
      <c r="P796">
        <f t="shared" si="114"/>
        <v>818.74800000000005</v>
      </c>
      <c r="Q796">
        <f t="shared" si="115"/>
        <v>835.45045920000007</v>
      </c>
      <c r="R796">
        <f t="shared" si="116"/>
        <v>1971.9139999999998</v>
      </c>
      <c r="S796">
        <f t="shared" si="109"/>
        <v>6672.4</v>
      </c>
    </row>
    <row r="797" spans="1:19" x14ac:dyDescent="0.25">
      <c r="A797">
        <v>927</v>
      </c>
      <c r="B797">
        <v>1331</v>
      </c>
      <c r="C797" t="s">
        <v>34</v>
      </c>
      <c r="D797" t="s">
        <v>172</v>
      </c>
      <c r="E797">
        <v>8</v>
      </c>
      <c r="F797">
        <v>19.47</v>
      </c>
      <c r="G797">
        <v>11.34</v>
      </c>
      <c r="H797">
        <v>34.15</v>
      </c>
      <c r="I797">
        <v>1.04</v>
      </c>
      <c r="J797">
        <v>370.69</v>
      </c>
      <c r="K797">
        <f t="shared" si="110"/>
        <v>2965.52</v>
      </c>
      <c r="L797">
        <f t="shared" si="111"/>
        <v>0</v>
      </c>
      <c r="M797">
        <f t="shared" si="108"/>
        <v>0</v>
      </c>
      <c r="N797">
        <f t="shared" si="112"/>
        <v>0</v>
      </c>
      <c r="O797">
        <f t="shared" si="113"/>
        <v>1766.3183999999999</v>
      </c>
      <c r="P797">
        <f t="shared" si="114"/>
        <v>441.57959999999997</v>
      </c>
      <c r="Q797">
        <f t="shared" si="115"/>
        <v>450.58782383999994</v>
      </c>
      <c r="R797">
        <f t="shared" si="116"/>
        <v>284.12799999999999</v>
      </c>
      <c r="S797">
        <f t="shared" si="109"/>
        <v>2965.52</v>
      </c>
    </row>
    <row r="798" spans="1:19" x14ac:dyDescent="0.25">
      <c r="A798">
        <v>928</v>
      </c>
      <c r="B798">
        <v>1331</v>
      </c>
      <c r="C798" t="s">
        <v>34</v>
      </c>
      <c r="D798" t="s">
        <v>173</v>
      </c>
      <c r="E798">
        <v>8</v>
      </c>
      <c r="F798">
        <v>14.06</v>
      </c>
      <c r="G798">
        <v>3.01</v>
      </c>
      <c r="H798">
        <v>31.23</v>
      </c>
      <c r="I798">
        <v>0.76</v>
      </c>
      <c r="J798">
        <v>84.3</v>
      </c>
      <c r="K798">
        <f t="shared" si="110"/>
        <v>674.4</v>
      </c>
      <c r="L798">
        <f t="shared" si="111"/>
        <v>674.4</v>
      </c>
      <c r="M798">
        <f t="shared" si="108"/>
        <v>338.56479999999999</v>
      </c>
      <c r="N798">
        <f t="shared" si="112"/>
        <v>84.641199999999998</v>
      </c>
      <c r="O798">
        <f t="shared" si="113"/>
        <v>338.56479999999999</v>
      </c>
      <c r="P798">
        <f t="shared" si="114"/>
        <v>84.641199999999998</v>
      </c>
      <c r="Q798">
        <f t="shared" si="115"/>
        <v>86.367880479999997</v>
      </c>
      <c r="R798">
        <f t="shared" si="116"/>
        <v>189.8784</v>
      </c>
      <c r="S798">
        <f t="shared" si="109"/>
        <v>674.4</v>
      </c>
    </row>
    <row r="799" spans="1:19" x14ac:dyDescent="0.25">
      <c r="A799">
        <v>929</v>
      </c>
      <c r="B799">
        <v>1331</v>
      </c>
      <c r="C799" t="s">
        <v>34</v>
      </c>
      <c r="D799" t="s">
        <v>173</v>
      </c>
      <c r="E799">
        <v>12</v>
      </c>
      <c r="F799">
        <v>15.07</v>
      </c>
      <c r="G799">
        <v>2.78</v>
      </c>
      <c r="H799">
        <v>33.729999999999997</v>
      </c>
      <c r="I799">
        <v>0.82</v>
      </c>
      <c r="J799">
        <v>88.03</v>
      </c>
      <c r="K799">
        <f t="shared" si="110"/>
        <v>1056.3600000000001</v>
      </c>
      <c r="L799">
        <f t="shared" si="111"/>
        <v>1056.3600000000001</v>
      </c>
      <c r="M799">
        <f t="shared" si="108"/>
        <v>502.73520000000002</v>
      </c>
      <c r="N799">
        <f t="shared" si="112"/>
        <v>125.68380000000001</v>
      </c>
      <c r="O799">
        <f t="shared" si="113"/>
        <v>502.73520000000002</v>
      </c>
      <c r="P799">
        <f t="shared" si="114"/>
        <v>125.68380000000001</v>
      </c>
      <c r="Q799">
        <f t="shared" si="115"/>
        <v>128.24774952000001</v>
      </c>
      <c r="R799">
        <f t="shared" si="116"/>
        <v>331.90319999999997</v>
      </c>
      <c r="S799">
        <f t="shared" si="109"/>
        <v>1056.3600000000001</v>
      </c>
    </row>
    <row r="800" spans="1:19" x14ac:dyDescent="0.25">
      <c r="A800">
        <v>930</v>
      </c>
      <c r="B800">
        <v>1332</v>
      </c>
      <c r="C800" t="s">
        <v>34</v>
      </c>
      <c r="D800" t="s">
        <v>173</v>
      </c>
      <c r="E800">
        <v>13</v>
      </c>
      <c r="F800">
        <v>13.89</v>
      </c>
      <c r="G800">
        <v>3.21</v>
      </c>
      <c r="H800">
        <v>27.63</v>
      </c>
      <c r="I800">
        <v>0.8</v>
      </c>
      <c r="J800">
        <v>85.62</v>
      </c>
      <c r="K800">
        <f t="shared" si="110"/>
        <v>1113.06</v>
      </c>
      <c r="L800">
        <f t="shared" si="111"/>
        <v>1113.06</v>
      </c>
      <c r="M800">
        <f t="shared" si="108"/>
        <v>579.62969999999996</v>
      </c>
      <c r="N800">
        <f t="shared" si="112"/>
        <v>144.90742499999999</v>
      </c>
      <c r="O800">
        <f t="shared" si="113"/>
        <v>579.62969999999996</v>
      </c>
      <c r="P800">
        <f t="shared" si="114"/>
        <v>144.90742499999999</v>
      </c>
      <c r="Q800">
        <f t="shared" si="115"/>
        <v>147.86353646999999</v>
      </c>
      <c r="R800">
        <f t="shared" si="116"/>
        <v>287.35199999999998</v>
      </c>
      <c r="S800">
        <f t="shared" si="109"/>
        <v>1113.06</v>
      </c>
    </row>
    <row r="801" spans="1:19" x14ac:dyDescent="0.25">
      <c r="A801">
        <v>931</v>
      </c>
      <c r="B801">
        <v>1332</v>
      </c>
      <c r="C801" t="s">
        <v>34</v>
      </c>
      <c r="D801" t="s">
        <v>172</v>
      </c>
      <c r="E801">
        <v>20</v>
      </c>
      <c r="F801">
        <v>19.66</v>
      </c>
      <c r="G801">
        <v>10.87</v>
      </c>
      <c r="H801">
        <v>30.92</v>
      </c>
      <c r="I801">
        <v>0.87</v>
      </c>
      <c r="J801">
        <v>349.9</v>
      </c>
      <c r="K801">
        <f t="shared" si="110"/>
        <v>6998</v>
      </c>
      <c r="L801">
        <f t="shared" si="111"/>
        <v>0</v>
      </c>
      <c r="M801">
        <f t="shared" si="108"/>
        <v>0</v>
      </c>
      <c r="N801">
        <f t="shared" si="112"/>
        <v>0</v>
      </c>
      <c r="O801">
        <f t="shared" si="113"/>
        <v>4274.0839999999998</v>
      </c>
      <c r="P801">
        <f t="shared" si="114"/>
        <v>1068.521</v>
      </c>
      <c r="Q801">
        <f t="shared" si="115"/>
        <v>1090.3188284</v>
      </c>
      <c r="R801">
        <f t="shared" si="116"/>
        <v>538.00800000000004</v>
      </c>
      <c r="S801">
        <f t="shared" si="109"/>
        <v>6998</v>
      </c>
    </row>
    <row r="802" spans="1:19" x14ac:dyDescent="0.25">
      <c r="A802">
        <v>932</v>
      </c>
      <c r="B802">
        <v>1332</v>
      </c>
      <c r="C802" t="s">
        <v>34</v>
      </c>
      <c r="D802" t="s">
        <v>172</v>
      </c>
      <c r="E802">
        <v>15</v>
      </c>
      <c r="F802">
        <v>20.239999999999998</v>
      </c>
      <c r="G802">
        <v>11.33</v>
      </c>
      <c r="H802">
        <v>26.24</v>
      </c>
      <c r="I802">
        <v>0.93</v>
      </c>
      <c r="J802">
        <v>370.15</v>
      </c>
      <c r="K802">
        <f t="shared" si="110"/>
        <v>5552.25</v>
      </c>
      <c r="L802">
        <f t="shared" si="111"/>
        <v>0</v>
      </c>
      <c r="M802">
        <f t="shared" si="108"/>
        <v>0</v>
      </c>
      <c r="N802">
        <f t="shared" si="112"/>
        <v>0</v>
      </c>
      <c r="O802">
        <f t="shared" si="113"/>
        <v>3439.7879999999996</v>
      </c>
      <c r="P802">
        <f t="shared" si="114"/>
        <v>859.94699999999989</v>
      </c>
      <c r="Q802">
        <f t="shared" si="115"/>
        <v>877.48991879999983</v>
      </c>
      <c r="R802">
        <f t="shared" si="116"/>
        <v>366.048</v>
      </c>
      <c r="S802">
        <f t="shared" si="109"/>
        <v>5552.25</v>
      </c>
    </row>
    <row r="803" spans="1:19" x14ac:dyDescent="0.25">
      <c r="A803">
        <v>933</v>
      </c>
      <c r="B803">
        <v>1332</v>
      </c>
      <c r="C803" t="s">
        <v>34</v>
      </c>
      <c r="D803" t="s">
        <v>173</v>
      </c>
      <c r="E803">
        <v>17</v>
      </c>
      <c r="F803">
        <v>15.14</v>
      </c>
      <c r="G803">
        <v>2.68</v>
      </c>
      <c r="H803">
        <v>31.56</v>
      </c>
      <c r="I803">
        <v>0.81</v>
      </c>
      <c r="J803">
        <v>83.91</v>
      </c>
      <c r="K803">
        <f t="shared" si="110"/>
        <v>1426.47</v>
      </c>
      <c r="L803">
        <f t="shared" si="111"/>
        <v>1426.47</v>
      </c>
      <c r="M803">
        <f t="shared" si="108"/>
        <v>689.77840000000003</v>
      </c>
      <c r="N803">
        <f t="shared" si="112"/>
        <v>172.44460000000001</v>
      </c>
      <c r="O803">
        <f t="shared" si="113"/>
        <v>689.77840000000003</v>
      </c>
      <c r="P803">
        <f t="shared" si="114"/>
        <v>172.44460000000001</v>
      </c>
      <c r="Q803">
        <f t="shared" si="115"/>
        <v>175.96246984000001</v>
      </c>
      <c r="R803">
        <f t="shared" si="116"/>
        <v>434.58120000000002</v>
      </c>
      <c r="S803">
        <f t="shared" si="109"/>
        <v>1426.47</v>
      </c>
    </row>
    <row r="804" spans="1:19" x14ac:dyDescent="0.25">
      <c r="A804">
        <v>934</v>
      </c>
      <c r="B804">
        <v>1332</v>
      </c>
      <c r="C804" t="s">
        <v>34</v>
      </c>
      <c r="D804" t="s">
        <v>172</v>
      </c>
      <c r="E804">
        <v>7</v>
      </c>
      <c r="F804">
        <v>19.29</v>
      </c>
      <c r="G804">
        <v>11.2</v>
      </c>
      <c r="H804">
        <v>33.28</v>
      </c>
      <c r="I804">
        <v>1.02</v>
      </c>
      <c r="J804">
        <v>361.77</v>
      </c>
      <c r="K804">
        <f t="shared" si="110"/>
        <v>2532.39</v>
      </c>
      <c r="L804">
        <f t="shared" si="111"/>
        <v>0</v>
      </c>
      <c r="M804">
        <f t="shared" si="108"/>
        <v>0</v>
      </c>
      <c r="N804">
        <f t="shared" si="112"/>
        <v>0</v>
      </c>
      <c r="O804">
        <f t="shared" si="113"/>
        <v>1512.3359999999998</v>
      </c>
      <c r="P804">
        <f t="shared" si="114"/>
        <v>378.08399999999995</v>
      </c>
      <c r="Q804">
        <f t="shared" si="115"/>
        <v>385.79691359999993</v>
      </c>
      <c r="R804">
        <f t="shared" si="116"/>
        <v>237.61920000000003</v>
      </c>
      <c r="S804">
        <f t="shared" si="109"/>
        <v>2532.39</v>
      </c>
    </row>
    <row r="805" spans="1:19" x14ac:dyDescent="0.25">
      <c r="A805">
        <v>935</v>
      </c>
      <c r="B805">
        <v>1332</v>
      </c>
      <c r="C805" t="s">
        <v>34</v>
      </c>
      <c r="D805" t="s">
        <v>173</v>
      </c>
      <c r="E805">
        <v>21</v>
      </c>
      <c r="F805">
        <v>15.63</v>
      </c>
      <c r="G805">
        <v>2.89</v>
      </c>
      <c r="H805">
        <v>29.26</v>
      </c>
      <c r="I805">
        <v>0.78</v>
      </c>
      <c r="J805">
        <v>87.21</v>
      </c>
      <c r="K805">
        <f t="shared" si="110"/>
        <v>1831.4099999999999</v>
      </c>
      <c r="L805">
        <f t="shared" si="111"/>
        <v>1831.4099999999999</v>
      </c>
      <c r="M805">
        <f t="shared" si="108"/>
        <v>948.58470000000011</v>
      </c>
      <c r="N805">
        <f t="shared" si="112"/>
        <v>237.14617500000003</v>
      </c>
      <c r="O805">
        <f t="shared" si="113"/>
        <v>948.58470000000011</v>
      </c>
      <c r="P805">
        <f t="shared" si="114"/>
        <v>237.14617500000003</v>
      </c>
      <c r="Q805">
        <f t="shared" si="115"/>
        <v>241.98395697000001</v>
      </c>
      <c r="R805">
        <f t="shared" si="116"/>
        <v>479.27879999999999</v>
      </c>
      <c r="S805">
        <f t="shared" si="109"/>
        <v>1831.4099999999999</v>
      </c>
    </row>
    <row r="806" spans="1:19" x14ac:dyDescent="0.25">
      <c r="A806">
        <v>936</v>
      </c>
      <c r="B806">
        <v>1332</v>
      </c>
      <c r="C806" t="s">
        <v>34</v>
      </c>
      <c r="D806" t="s">
        <v>173</v>
      </c>
      <c r="E806">
        <v>15</v>
      </c>
      <c r="F806">
        <v>16.03</v>
      </c>
      <c r="G806">
        <v>2.97</v>
      </c>
      <c r="H806">
        <v>29.91</v>
      </c>
      <c r="I806">
        <v>0.79</v>
      </c>
      <c r="J806">
        <v>91.45</v>
      </c>
      <c r="K806">
        <f t="shared" si="110"/>
        <v>1371.75</v>
      </c>
      <c r="L806">
        <f t="shared" si="111"/>
        <v>1371.75</v>
      </c>
      <c r="M806">
        <f t="shared" si="108"/>
        <v>714.13650000000007</v>
      </c>
      <c r="N806">
        <f t="shared" si="112"/>
        <v>178.53412500000002</v>
      </c>
      <c r="O806">
        <f t="shared" si="113"/>
        <v>714.13650000000007</v>
      </c>
      <c r="P806">
        <f t="shared" si="114"/>
        <v>178.53412500000002</v>
      </c>
      <c r="Q806">
        <f t="shared" si="115"/>
        <v>182.17622115</v>
      </c>
      <c r="R806">
        <f t="shared" si="116"/>
        <v>354.43350000000004</v>
      </c>
      <c r="S806">
        <f t="shared" si="109"/>
        <v>1371.75</v>
      </c>
    </row>
    <row r="807" spans="1:19" x14ac:dyDescent="0.25">
      <c r="A807">
        <v>937</v>
      </c>
      <c r="B807">
        <v>1332</v>
      </c>
      <c r="C807" t="s">
        <v>34</v>
      </c>
      <c r="D807" t="s">
        <v>172</v>
      </c>
      <c r="E807">
        <v>9</v>
      </c>
      <c r="F807">
        <v>18.55</v>
      </c>
      <c r="G807">
        <v>11.89</v>
      </c>
      <c r="H807">
        <v>25.56</v>
      </c>
      <c r="I807">
        <v>1.01</v>
      </c>
      <c r="J807">
        <v>358.8</v>
      </c>
      <c r="K807">
        <f t="shared" si="110"/>
        <v>3229.2000000000003</v>
      </c>
      <c r="L807">
        <f t="shared" si="111"/>
        <v>0</v>
      </c>
      <c r="M807">
        <f t="shared" si="108"/>
        <v>0</v>
      </c>
      <c r="N807">
        <f t="shared" si="112"/>
        <v>0</v>
      </c>
      <c r="O807">
        <f t="shared" si="113"/>
        <v>1985.0355000000002</v>
      </c>
      <c r="P807">
        <f t="shared" si="114"/>
        <v>496.25887500000005</v>
      </c>
      <c r="Q807">
        <f t="shared" si="115"/>
        <v>506.38255605000006</v>
      </c>
      <c r="R807">
        <f t="shared" si="116"/>
        <v>232.34039999999999</v>
      </c>
      <c r="S807">
        <f t="shared" si="109"/>
        <v>3229.2000000000003</v>
      </c>
    </row>
    <row r="808" spans="1:19" x14ac:dyDescent="0.25">
      <c r="A808">
        <v>938</v>
      </c>
      <c r="B808">
        <v>1332</v>
      </c>
      <c r="C808" t="s">
        <v>34</v>
      </c>
      <c r="D808" t="s">
        <v>173</v>
      </c>
      <c r="E808">
        <v>15</v>
      </c>
      <c r="F808">
        <v>15.32</v>
      </c>
      <c r="G808">
        <v>2.79</v>
      </c>
      <c r="H808">
        <v>32.729999999999997</v>
      </c>
      <c r="I808">
        <v>0.8</v>
      </c>
      <c r="J808">
        <v>87.57</v>
      </c>
      <c r="K808">
        <f t="shared" si="110"/>
        <v>1313.55</v>
      </c>
      <c r="L808">
        <f t="shared" si="111"/>
        <v>1313.55</v>
      </c>
      <c r="M808">
        <f t="shared" si="108"/>
        <v>641.14200000000005</v>
      </c>
      <c r="N808">
        <f t="shared" si="112"/>
        <v>160.28550000000001</v>
      </c>
      <c r="O808">
        <f t="shared" si="113"/>
        <v>641.14200000000005</v>
      </c>
      <c r="P808">
        <f t="shared" si="114"/>
        <v>160.28550000000001</v>
      </c>
      <c r="Q808">
        <f t="shared" si="115"/>
        <v>163.5553242</v>
      </c>
      <c r="R808">
        <f t="shared" si="116"/>
        <v>392.76</v>
      </c>
      <c r="S808">
        <f t="shared" si="109"/>
        <v>1313.55</v>
      </c>
    </row>
    <row r="809" spans="1:19" x14ac:dyDescent="0.25">
      <c r="A809">
        <v>939</v>
      </c>
      <c r="B809">
        <v>1332</v>
      </c>
      <c r="C809" t="s">
        <v>34</v>
      </c>
      <c r="D809" t="s">
        <v>173</v>
      </c>
      <c r="E809">
        <v>12</v>
      </c>
      <c r="F809">
        <v>14.25</v>
      </c>
      <c r="G809">
        <v>2.84</v>
      </c>
      <c r="H809">
        <v>32.520000000000003</v>
      </c>
      <c r="I809">
        <v>0.78</v>
      </c>
      <c r="J809">
        <v>83.55</v>
      </c>
      <c r="K809">
        <f t="shared" si="110"/>
        <v>1002.5999999999999</v>
      </c>
      <c r="L809">
        <f t="shared" si="111"/>
        <v>1002.5999999999999</v>
      </c>
      <c r="M809">
        <f t="shared" si="108"/>
        <v>485.64</v>
      </c>
      <c r="N809">
        <f t="shared" si="112"/>
        <v>121.41</v>
      </c>
      <c r="O809">
        <f t="shared" si="113"/>
        <v>485.64</v>
      </c>
      <c r="P809">
        <f t="shared" si="114"/>
        <v>121.41</v>
      </c>
      <c r="Q809">
        <f t="shared" si="115"/>
        <v>123.886764</v>
      </c>
      <c r="R809">
        <f t="shared" si="116"/>
        <v>304.38720000000001</v>
      </c>
      <c r="S809">
        <f t="shared" si="109"/>
        <v>1002.5999999999999</v>
      </c>
    </row>
    <row r="810" spans="1:19" x14ac:dyDescent="0.25">
      <c r="A810">
        <v>940</v>
      </c>
      <c r="B810">
        <v>1332</v>
      </c>
      <c r="C810" t="s">
        <v>34</v>
      </c>
      <c r="D810" t="s">
        <v>173</v>
      </c>
      <c r="E810">
        <v>10</v>
      </c>
      <c r="F810">
        <v>13.23</v>
      </c>
      <c r="G810">
        <v>2.97</v>
      </c>
      <c r="H810">
        <v>33.619999999999997</v>
      </c>
      <c r="I810">
        <v>0.78</v>
      </c>
      <c r="J810">
        <v>82.87</v>
      </c>
      <c r="K810">
        <f t="shared" si="110"/>
        <v>828.7</v>
      </c>
      <c r="L810">
        <f t="shared" si="111"/>
        <v>828.7</v>
      </c>
      <c r="M810">
        <f t="shared" si="108"/>
        <v>392.93100000000004</v>
      </c>
      <c r="N810">
        <f t="shared" si="112"/>
        <v>98.23275000000001</v>
      </c>
      <c r="O810">
        <f t="shared" si="113"/>
        <v>392.93100000000004</v>
      </c>
      <c r="P810">
        <f t="shared" si="114"/>
        <v>98.23275000000001</v>
      </c>
      <c r="Q810">
        <f t="shared" si="115"/>
        <v>100.23669810000001</v>
      </c>
      <c r="R810">
        <f t="shared" si="116"/>
        <v>262.23599999999999</v>
      </c>
      <c r="S810">
        <f t="shared" si="109"/>
        <v>828.7</v>
      </c>
    </row>
    <row r="811" spans="1:19" x14ac:dyDescent="0.25">
      <c r="A811">
        <v>941</v>
      </c>
      <c r="B811">
        <v>1333</v>
      </c>
      <c r="C811" t="s">
        <v>32</v>
      </c>
      <c r="D811" t="s">
        <v>173</v>
      </c>
      <c r="E811">
        <v>18</v>
      </c>
      <c r="F811">
        <v>14.93</v>
      </c>
      <c r="G811">
        <v>3.03</v>
      </c>
      <c r="H811">
        <v>26.74</v>
      </c>
      <c r="I811">
        <v>0.76</v>
      </c>
      <c r="J811">
        <v>84.56</v>
      </c>
      <c r="K811">
        <f t="shared" si="110"/>
        <v>1522.08</v>
      </c>
      <c r="L811">
        <f t="shared" si="111"/>
        <v>1522.08</v>
      </c>
      <c r="M811">
        <f t="shared" si="108"/>
        <v>814.28219999999999</v>
      </c>
      <c r="N811">
        <f t="shared" si="112"/>
        <v>203.57055</v>
      </c>
      <c r="O811">
        <f t="shared" si="113"/>
        <v>814.28219999999999</v>
      </c>
      <c r="P811">
        <f t="shared" si="114"/>
        <v>203.57055</v>
      </c>
      <c r="Q811">
        <f t="shared" si="115"/>
        <v>207.72338922</v>
      </c>
      <c r="R811">
        <f t="shared" si="116"/>
        <v>365.80319999999995</v>
      </c>
      <c r="S811">
        <f t="shared" si="109"/>
        <v>1522.08</v>
      </c>
    </row>
    <row r="812" spans="1:19" x14ac:dyDescent="0.25">
      <c r="A812">
        <v>942</v>
      </c>
      <c r="B812">
        <v>1333</v>
      </c>
      <c r="C812" t="s">
        <v>32</v>
      </c>
      <c r="D812" t="s">
        <v>173</v>
      </c>
      <c r="E812">
        <v>6</v>
      </c>
      <c r="F812">
        <v>14.71</v>
      </c>
      <c r="G812">
        <v>2.85</v>
      </c>
      <c r="H812">
        <v>28.05</v>
      </c>
      <c r="I812">
        <v>0.85</v>
      </c>
      <c r="J812">
        <v>74.72</v>
      </c>
      <c r="K812">
        <f t="shared" si="110"/>
        <v>448.32</v>
      </c>
      <c r="L812">
        <f t="shared" si="111"/>
        <v>448.32</v>
      </c>
      <c r="M812">
        <f t="shared" si="108"/>
        <v>251.54100000000003</v>
      </c>
      <c r="N812">
        <f t="shared" si="112"/>
        <v>62.885250000000006</v>
      </c>
      <c r="O812">
        <f t="shared" si="113"/>
        <v>251.54100000000003</v>
      </c>
      <c r="P812">
        <f t="shared" si="114"/>
        <v>62.885250000000006</v>
      </c>
      <c r="Q812">
        <f t="shared" si="115"/>
        <v>64.168109100000009</v>
      </c>
      <c r="R812">
        <f t="shared" si="116"/>
        <v>143.05500000000001</v>
      </c>
      <c r="S812">
        <f t="shared" si="109"/>
        <v>448.32</v>
      </c>
    </row>
    <row r="813" spans="1:19" x14ac:dyDescent="0.25">
      <c r="A813">
        <v>943</v>
      </c>
      <c r="B813">
        <v>1333</v>
      </c>
      <c r="C813" t="s">
        <v>32</v>
      </c>
      <c r="D813" t="s">
        <v>173</v>
      </c>
      <c r="E813">
        <v>31</v>
      </c>
      <c r="F813">
        <v>14.21</v>
      </c>
      <c r="G813">
        <v>2.71</v>
      </c>
      <c r="H813">
        <v>34.79</v>
      </c>
      <c r="I813">
        <v>0.75</v>
      </c>
      <c r="J813">
        <v>81.650000000000006</v>
      </c>
      <c r="K813">
        <f t="shared" si="110"/>
        <v>2531.15</v>
      </c>
      <c r="L813">
        <f t="shared" si="111"/>
        <v>2531.15</v>
      </c>
      <c r="M813">
        <f t="shared" si="108"/>
        <v>1193.7821000000001</v>
      </c>
      <c r="N813">
        <f t="shared" si="112"/>
        <v>298.44552500000003</v>
      </c>
      <c r="O813">
        <f t="shared" si="113"/>
        <v>1193.7821000000001</v>
      </c>
      <c r="P813">
        <f t="shared" si="114"/>
        <v>298.44552500000003</v>
      </c>
      <c r="Q813">
        <f t="shared" si="115"/>
        <v>304.53381371</v>
      </c>
      <c r="R813">
        <f t="shared" si="116"/>
        <v>808.86749999999995</v>
      </c>
      <c r="S813">
        <f t="shared" si="109"/>
        <v>2531.15</v>
      </c>
    </row>
    <row r="814" spans="1:19" x14ac:dyDescent="0.25">
      <c r="A814">
        <v>944</v>
      </c>
      <c r="B814">
        <v>1333</v>
      </c>
      <c r="C814" t="s">
        <v>32</v>
      </c>
      <c r="D814" t="s">
        <v>172</v>
      </c>
      <c r="E814">
        <v>16</v>
      </c>
      <c r="F814">
        <v>17.39</v>
      </c>
      <c r="G814">
        <v>10.63</v>
      </c>
      <c r="H814">
        <v>31.88</v>
      </c>
      <c r="I814">
        <v>1.04</v>
      </c>
      <c r="J814">
        <v>314.43</v>
      </c>
      <c r="K814">
        <f t="shared" si="110"/>
        <v>5030.88</v>
      </c>
      <c r="L814">
        <f t="shared" si="111"/>
        <v>0</v>
      </c>
      <c r="M814">
        <f t="shared" si="108"/>
        <v>0</v>
      </c>
      <c r="N814">
        <f t="shared" si="112"/>
        <v>0</v>
      </c>
      <c r="O814">
        <f t="shared" si="113"/>
        <v>2957.6912000000002</v>
      </c>
      <c r="P814">
        <f t="shared" si="114"/>
        <v>739.42280000000005</v>
      </c>
      <c r="Q814">
        <f t="shared" si="115"/>
        <v>754.50702511999998</v>
      </c>
      <c r="R814">
        <f t="shared" si="116"/>
        <v>530.48320000000001</v>
      </c>
      <c r="S814">
        <f t="shared" si="109"/>
        <v>5030.88</v>
      </c>
    </row>
    <row r="815" spans="1:19" x14ac:dyDescent="0.25">
      <c r="A815">
        <v>945</v>
      </c>
      <c r="B815">
        <v>1333</v>
      </c>
      <c r="C815" t="s">
        <v>32</v>
      </c>
      <c r="D815" t="s">
        <v>173</v>
      </c>
      <c r="E815">
        <v>13</v>
      </c>
      <c r="F815">
        <v>13.57</v>
      </c>
      <c r="G815">
        <v>2.73</v>
      </c>
      <c r="H815">
        <v>27.52</v>
      </c>
      <c r="I815">
        <v>0.81</v>
      </c>
      <c r="J815">
        <v>75.459999999999994</v>
      </c>
      <c r="K815">
        <f t="shared" si="110"/>
        <v>980.9799999999999</v>
      </c>
      <c r="L815">
        <f t="shared" si="111"/>
        <v>980.9799999999999</v>
      </c>
      <c r="M815">
        <f t="shared" si="108"/>
        <v>481.59930000000003</v>
      </c>
      <c r="N815">
        <f t="shared" si="112"/>
        <v>120.39982500000001</v>
      </c>
      <c r="O815">
        <f t="shared" si="113"/>
        <v>481.59930000000003</v>
      </c>
      <c r="P815">
        <f t="shared" si="114"/>
        <v>120.39982500000001</v>
      </c>
      <c r="Q815">
        <f t="shared" si="115"/>
        <v>122.85598143</v>
      </c>
      <c r="R815">
        <f t="shared" si="116"/>
        <v>289.78560000000004</v>
      </c>
      <c r="S815">
        <f t="shared" si="109"/>
        <v>980.9799999999999</v>
      </c>
    </row>
    <row r="816" spans="1:19" x14ac:dyDescent="0.25">
      <c r="A816">
        <v>946</v>
      </c>
      <c r="B816">
        <v>1333</v>
      </c>
      <c r="C816" t="s">
        <v>32</v>
      </c>
      <c r="D816" t="s">
        <v>173</v>
      </c>
      <c r="E816">
        <v>25</v>
      </c>
      <c r="F816">
        <v>15.02</v>
      </c>
      <c r="G816">
        <v>3.19</v>
      </c>
      <c r="H816">
        <v>31.76</v>
      </c>
      <c r="I816">
        <v>0.82</v>
      </c>
      <c r="J816">
        <v>85.08</v>
      </c>
      <c r="K816">
        <f t="shared" si="110"/>
        <v>2127</v>
      </c>
      <c r="L816">
        <f t="shared" si="111"/>
        <v>2127</v>
      </c>
      <c r="M816">
        <f t="shared" si="108"/>
        <v>1197.845</v>
      </c>
      <c r="N816">
        <f t="shared" si="112"/>
        <v>299.46125000000001</v>
      </c>
      <c r="O816">
        <f t="shared" si="113"/>
        <v>1197.845</v>
      </c>
      <c r="P816">
        <f t="shared" si="114"/>
        <v>299.46125000000001</v>
      </c>
      <c r="Q816">
        <f t="shared" si="115"/>
        <v>305.57025950000002</v>
      </c>
      <c r="R816">
        <f t="shared" si="116"/>
        <v>651.08000000000004</v>
      </c>
      <c r="S816">
        <f t="shared" si="109"/>
        <v>2127</v>
      </c>
    </row>
    <row r="817" spans="1:19" x14ac:dyDescent="0.25">
      <c r="A817">
        <v>947</v>
      </c>
      <c r="B817">
        <v>1333</v>
      </c>
      <c r="C817" t="s">
        <v>32</v>
      </c>
      <c r="D817" t="s">
        <v>172</v>
      </c>
      <c r="E817">
        <v>22</v>
      </c>
      <c r="F817">
        <v>19.3</v>
      </c>
      <c r="G817">
        <v>12.42</v>
      </c>
      <c r="H817">
        <v>32.049999999999997</v>
      </c>
      <c r="I817">
        <v>1.01</v>
      </c>
      <c r="J817">
        <v>395.08</v>
      </c>
      <c r="K817">
        <f t="shared" si="110"/>
        <v>8691.76</v>
      </c>
      <c r="L817">
        <f t="shared" si="111"/>
        <v>0</v>
      </c>
      <c r="M817">
        <f t="shared" si="108"/>
        <v>0</v>
      </c>
      <c r="N817">
        <f t="shared" si="112"/>
        <v>0</v>
      </c>
      <c r="O817">
        <f t="shared" si="113"/>
        <v>5273.5320000000002</v>
      </c>
      <c r="P817">
        <f t="shared" si="114"/>
        <v>1318.383</v>
      </c>
      <c r="Q817">
        <f t="shared" si="115"/>
        <v>1345.2780132</v>
      </c>
      <c r="R817">
        <f t="shared" si="116"/>
        <v>712.15099999999995</v>
      </c>
      <c r="S817">
        <f t="shared" si="109"/>
        <v>8691.76</v>
      </c>
    </row>
    <row r="818" spans="1:19" x14ac:dyDescent="0.25">
      <c r="A818">
        <v>948</v>
      </c>
      <c r="B818">
        <v>1333</v>
      </c>
      <c r="C818" t="s">
        <v>32</v>
      </c>
      <c r="D818" t="s">
        <v>173</v>
      </c>
      <c r="E818">
        <v>40</v>
      </c>
      <c r="F818">
        <v>13.78</v>
      </c>
      <c r="G818">
        <v>2.83</v>
      </c>
      <c r="H818">
        <v>33.5</v>
      </c>
      <c r="I818">
        <v>0.79</v>
      </c>
      <c r="J818">
        <v>82.73</v>
      </c>
      <c r="K818">
        <f t="shared" si="110"/>
        <v>3309.2000000000003</v>
      </c>
      <c r="L818">
        <f t="shared" si="111"/>
        <v>3309.2000000000003</v>
      </c>
      <c r="M818">
        <f t="shared" si="108"/>
        <v>1559.896</v>
      </c>
      <c r="N818">
        <f t="shared" si="112"/>
        <v>389.97399999999999</v>
      </c>
      <c r="O818">
        <f t="shared" si="113"/>
        <v>1559.896</v>
      </c>
      <c r="P818">
        <f t="shared" si="114"/>
        <v>389.97399999999999</v>
      </c>
      <c r="Q818">
        <f t="shared" si="115"/>
        <v>397.9294696</v>
      </c>
      <c r="R818">
        <f t="shared" si="116"/>
        <v>1058.6000000000001</v>
      </c>
      <c r="S818">
        <f t="shared" si="109"/>
        <v>3309.2000000000003</v>
      </c>
    </row>
    <row r="819" spans="1:19" x14ac:dyDescent="0.25">
      <c r="A819">
        <v>949</v>
      </c>
      <c r="B819">
        <v>1333</v>
      </c>
      <c r="C819" t="s">
        <v>32</v>
      </c>
      <c r="D819" t="s">
        <v>173</v>
      </c>
      <c r="E819">
        <v>13</v>
      </c>
      <c r="F819">
        <v>13.22</v>
      </c>
      <c r="G819">
        <v>2.95</v>
      </c>
      <c r="H819">
        <v>34.78</v>
      </c>
      <c r="I819">
        <v>0.78</v>
      </c>
      <c r="J819">
        <v>74.36</v>
      </c>
      <c r="K819">
        <f t="shared" si="110"/>
        <v>966.68</v>
      </c>
      <c r="L819">
        <f t="shared" si="111"/>
        <v>966.68</v>
      </c>
      <c r="M819">
        <f t="shared" si="108"/>
        <v>506.98700000000002</v>
      </c>
      <c r="N819">
        <f t="shared" si="112"/>
        <v>126.74675000000001</v>
      </c>
      <c r="O819">
        <f t="shared" si="113"/>
        <v>506.98700000000002</v>
      </c>
      <c r="P819">
        <f t="shared" si="114"/>
        <v>126.74675000000001</v>
      </c>
      <c r="Q819">
        <f t="shared" si="115"/>
        <v>129.33238370000001</v>
      </c>
      <c r="R819">
        <f t="shared" si="116"/>
        <v>352.66920000000005</v>
      </c>
      <c r="S819">
        <f t="shared" si="109"/>
        <v>966.68</v>
      </c>
    </row>
    <row r="820" spans="1:19" x14ac:dyDescent="0.25">
      <c r="A820">
        <v>950</v>
      </c>
      <c r="B820">
        <v>1333</v>
      </c>
      <c r="C820" t="s">
        <v>32</v>
      </c>
      <c r="D820" t="s">
        <v>172</v>
      </c>
      <c r="E820">
        <v>25</v>
      </c>
      <c r="F820">
        <v>19.66</v>
      </c>
      <c r="G820">
        <v>11.76</v>
      </c>
      <c r="H820">
        <v>29.56</v>
      </c>
      <c r="I820">
        <v>0.9</v>
      </c>
      <c r="J820">
        <v>375.57</v>
      </c>
      <c r="K820">
        <f t="shared" si="110"/>
        <v>9389.25</v>
      </c>
      <c r="L820">
        <f t="shared" si="111"/>
        <v>0</v>
      </c>
      <c r="M820">
        <f t="shared" si="108"/>
        <v>0</v>
      </c>
      <c r="N820">
        <f t="shared" si="112"/>
        <v>0</v>
      </c>
      <c r="O820">
        <f t="shared" si="113"/>
        <v>5780.04</v>
      </c>
      <c r="P820">
        <f t="shared" si="114"/>
        <v>1445.01</v>
      </c>
      <c r="Q820">
        <f t="shared" si="115"/>
        <v>1474.488204</v>
      </c>
      <c r="R820">
        <f t="shared" si="116"/>
        <v>665.1</v>
      </c>
      <c r="S820">
        <f t="shared" si="109"/>
        <v>9389.25</v>
      </c>
    </row>
    <row r="821" spans="1:19" x14ac:dyDescent="0.25">
      <c r="A821">
        <v>951</v>
      </c>
      <c r="B821">
        <v>1334</v>
      </c>
      <c r="C821" t="s">
        <v>34</v>
      </c>
      <c r="D821" t="s">
        <v>172</v>
      </c>
      <c r="E821">
        <v>34</v>
      </c>
      <c r="F821">
        <v>17.97</v>
      </c>
      <c r="G821">
        <v>11.14</v>
      </c>
      <c r="H821">
        <v>30.98</v>
      </c>
      <c r="I821">
        <v>1.02</v>
      </c>
      <c r="J821">
        <v>335.38</v>
      </c>
      <c r="K821">
        <f t="shared" si="110"/>
        <v>11402.92</v>
      </c>
      <c r="L821">
        <f t="shared" si="111"/>
        <v>0</v>
      </c>
      <c r="M821">
        <f t="shared" si="108"/>
        <v>0</v>
      </c>
      <c r="N821">
        <f t="shared" si="112"/>
        <v>0</v>
      </c>
      <c r="O821">
        <f t="shared" si="113"/>
        <v>6806.3171999999995</v>
      </c>
      <c r="P821">
        <f t="shared" si="114"/>
        <v>1701.5792999999999</v>
      </c>
      <c r="Q821">
        <f t="shared" si="115"/>
        <v>1736.2915177199998</v>
      </c>
      <c r="R821">
        <f t="shared" si="116"/>
        <v>1074.3864000000001</v>
      </c>
      <c r="S821">
        <f t="shared" si="109"/>
        <v>11402.92</v>
      </c>
    </row>
    <row r="822" spans="1:19" x14ac:dyDescent="0.25">
      <c r="A822">
        <v>952</v>
      </c>
      <c r="B822">
        <v>1334</v>
      </c>
      <c r="C822" t="s">
        <v>34</v>
      </c>
      <c r="D822" t="s">
        <v>172</v>
      </c>
      <c r="E822">
        <v>17</v>
      </c>
      <c r="F822">
        <v>20.84</v>
      </c>
      <c r="G822">
        <v>12.01</v>
      </c>
      <c r="H822">
        <v>30.43</v>
      </c>
      <c r="I822">
        <v>1.06</v>
      </c>
      <c r="J822">
        <v>410.69</v>
      </c>
      <c r="K822">
        <f t="shared" si="110"/>
        <v>6981.73</v>
      </c>
      <c r="L822">
        <f t="shared" si="111"/>
        <v>0</v>
      </c>
      <c r="M822">
        <f t="shared" si="108"/>
        <v>0</v>
      </c>
      <c r="N822">
        <f t="shared" si="112"/>
        <v>0</v>
      </c>
      <c r="O822">
        <f t="shared" si="113"/>
        <v>4254.9027999999998</v>
      </c>
      <c r="P822">
        <f t="shared" si="114"/>
        <v>1063.7257</v>
      </c>
      <c r="Q822">
        <f t="shared" si="115"/>
        <v>1085.42570428</v>
      </c>
      <c r="R822">
        <f t="shared" si="116"/>
        <v>548.34860000000003</v>
      </c>
      <c r="S822">
        <f t="shared" si="109"/>
        <v>6981.73</v>
      </c>
    </row>
    <row r="823" spans="1:19" x14ac:dyDescent="0.25">
      <c r="A823">
        <v>953</v>
      </c>
      <c r="B823">
        <v>1334</v>
      </c>
      <c r="C823" t="s">
        <v>34</v>
      </c>
      <c r="D823" t="s">
        <v>172</v>
      </c>
      <c r="E823">
        <v>13</v>
      </c>
      <c r="F823">
        <v>20.64</v>
      </c>
      <c r="G823">
        <v>11.59</v>
      </c>
      <c r="H823">
        <v>31.48</v>
      </c>
      <c r="I823">
        <v>1.01</v>
      </c>
      <c r="J823">
        <v>393.67</v>
      </c>
      <c r="K823">
        <f t="shared" si="110"/>
        <v>5117.71</v>
      </c>
      <c r="L823">
        <f t="shared" si="111"/>
        <v>0</v>
      </c>
      <c r="M823">
        <f t="shared" si="108"/>
        <v>0</v>
      </c>
      <c r="N823">
        <f t="shared" si="112"/>
        <v>0</v>
      </c>
      <c r="O823">
        <f t="shared" si="113"/>
        <v>3109.8287999999998</v>
      </c>
      <c r="P823">
        <f t="shared" si="114"/>
        <v>777.45719999999994</v>
      </c>
      <c r="Q823">
        <f t="shared" si="115"/>
        <v>793.31732687999988</v>
      </c>
      <c r="R823">
        <f t="shared" si="116"/>
        <v>413.33240000000001</v>
      </c>
      <c r="S823">
        <f t="shared" si="109"/>
        <v>5117.71</v>
      </c>
    </row>
    <row r="824" spans="1:19" x14ac:dyDescent="0.25">
      <c r="A824">
        <v>954</v>
      </c>
      <c r="B824">
        <v>1334</v>
      </c>
      <c r="C824" t="s">
        <v>34</v>
      </c>
      <c r="D824" t="s">
        <v>173</v>
      </c>
      <c r="E824">
        <v>8</v>
      </c>
      <c r="F824">
        <v>13.3</v>
      </c>
      <c r="G824">
        <v>2.81</v>
      </c>
      <c r="H824">
        <v>27.71</v>
      </c>
      <c r="I824">
        <v>0.78</v>
      </c>
      <c r="J824">
        <v>75.16</v>
      </c>
      <c r="K824">
        <f t="shared" si="110"/>
        <v>601.28</v>
      </c>
      <c r="L824">
        <f t="shared" si="111"/>
        <v>601.28</v>
      </c>
      <c r="M824">
        <f t="shared" si="108"/>
        <v>298.98400000000004</v>
      </c>
      <c r="N824">
        <f t="shared" si="112"/>
        <v>74.746000000000009</v>
      </c>
      <c r="O824">
        <f t="shared" si="113"/>
        <v>298.98400000000004</v>
      </c>
      <c r="P824">
        <f t="shared" si="114"/>
        <v>74.746000000000009</v>
      </c>
      <c r="Q824">
        <f t="shared" si="115"/>
        <v>76.27081840000001</v>
      </c>
      <c r="R824">
        <f t="shared" si="116"/>
        <v>172.91040000000001</v>
      </c>
      <c r="S824">
        <f t="shared" si="109"/>
        <v>601.28</v>
      </c>
    </row>
    <row r="825" spans="1:19" x14ac:dyDescent="0.25">
      <c r="A825">
        <v>955</v>
      </c>
      <c r="B825">
        <v>1334</v>
      </c>
      <c r="C825" t="s">
        <v>34</v>
      </c>
      <c r="D825" t="s">
        <v>172</v>
      </c>
      <c r="E825">
        <v>16</v>
      </c>
      <c r="F825">
        <v>21.88</v>
      </c>
      <c r="G825">
        <v>10.1</v>
      </c>
      <c r="H825">
        <v>31.66</v>
      </c>
      <c r="I825">
        <v>1.0900000000000001</v>
      </c>
      <c r="J825">
        <v>369.79</v>
      </c>
      <c r="K825">
        <f t="shared" si="110"/>
        <v>5916.64</v>
      </c>
      <c r="L825">
        <f t="shared" si="111"/>
        <v>0</v>
      </c>
      <c r="M825">
        <f t="shared" si="108"/>
        <v>0</v>
      </c>
      <c r="N825">
        <f t="shared" si="112"/>
        <v>0</v>
      </c>
      <c r="O825">
        <f t="shared" si="113"/>
        <v>3535.8079999999995</v>
      </c>
      <c r="P825">
        <f t="shared" si="114"/>
        <v>883.95199999999988</v>
      </c>
      <c r="Q825">
        <f t="shared" si="115"/>
        <v>901.9846207999999</v>
      </c>
      <c r="R825">
        <f t="shared" si="116"/>
        <v>552.15039999999999</v>
      </c>
      <c r="S825">
        <f t="shared" si="109"/>
        <v>5916.64</v>
      </c>
    </row>
    <row r="826" spans="1:19" x14ac:dyDescent="0.25">
      <c r="A826">
        <v>956</v>
      </c>
      <c r="B826">
        <v>1334</v>
      </c>
      <c r="C826" t="s">
        <v>34</v>
      </c>
      <c r="D826" t="s">
        <v>172</v>
      </c>
      <c r="E826">
        <v>16</v>
      </c>
      <c r="F826">
        <v>21.85</v>
      </c>
      <c r="G826">
        <v>11.24</v>
      </c>
      <c r="H826">
        <v>30.49</v>
      </c>
      <c r="I826">
        <v>0.98</v>
      </c>
      <c r="J826">
        <v>400.88</v>
      </c>
      <c r="K826">
        <f t="shared" si="110"/>
        <v>6414.08</v>
      </c>
      <c r="L826">
        <f t="shared" si="111"/>
        <v>0</v>
      </c>
      <c r="M826">
        <f t="shared" si="108"/>
        <v>0</v>
      </c>
      <c r="N826">
        <f t="shared" si="112"/>
        <v>0</v>
      </c>
      <c r="O826">
        <f t="shared" si="113"/>
        <v>3929.5040000000004</v>
      </c>
      <c r="P826">
        <f t="shared" si="114"/>
        <v>982.37600000000009</v>
      </c>
      <c r="Q826">
        <f t="shared" si="115"/>
        <v>1002.4164704000001</v>
      </c>
      <c r="R826">
        <f t="shared" si="116"/>
        <v>478.08319999999998</v>
      </c>
      <c r="S826">
        <f t="shared" si="109"/>
        <v>6414.08</v>
      </c>
    </row>
    <row r="827" spans="1:19" x14ac:dyDescent="0.25">
      <c r="A827">
        <v>957</v>
      </c>
      <c r="B827">
        <v>1334</v>
      </c>
      <c r="C827" t="s">
        <v>34</v>
      </c>
      <c r="D827" t="s">
        <v>173</v>
      </c>
      <c r="E827">
        <v>14</v>
      </c>
      <c r="F827">
        <v>15.66</v>
      </c>
      <c r="G827">
        <v>2.8</v>
      </c>
      <c r="H827">
        <v>30.09</v>
      </c>
      <c r="I827">
        <v>0.79</v>
      </c>
      <c r="J827">
        <v>86.44</v>
      </c>
      <c r="K827">
        <f t="shared" si="110"/>
        <v>1210.1599999999999</v>
      </c>
      <c r="L827">
        <f t="shared" si="111"/>
        <v>1210.1599999999999</v>
      </c>
      <c r="M827">
        <f t="shared" si="108"/>
        <v>613.87199999999996</v>
      </c>
      <c r="N827">
        <f t="shared" si="112"/>
        <v>153.46799999999999</v>
      </c>
      <c r="O827">
        <f t="shared" si="113"/>
        <v>613.87199999999996</v>
      </c>
      <c r="P827">
        <f t="shared" si="114"/>
        <v>153.46799999999999</v>
      </c>
      <c r="Q827">
        <f t="shared" si="115"/>
        <v>156.59874719999999</v>
      </c>
      <c r="R827">
        <f t="shared" si="116"/>
        <v>332.79540000000003</v>
      </c>
      <c r="S827">
        <f t="shared" si="109"/>
        <v>1210.1599999999999</v>
      </c>
    </row>
    <row r="828" spans="1:19" x14ac:dyDescent="0.25">
      <c r="A828">
        <v>958</v>
      </c>
      <c r="B828">
        <v>1334</v>
      </c>
      <c r="C828" t="s">
        <v>34</v>
      </c>
      <c r="D828" t="s">
        <v>172</v>
      </c>
      <c r="E828">
        <v>10</v>
      </c>
      <c r="F828">
        <v>20.45</v>
      </c>
      <c r="G828">
        <v>11.51</v>
      </c>
      <c r="H828">
        <v>33.17</v>
      </c>
      <c r="I828">
        <v>0.91</v>
      </c>
      <c r="J828">
        <v>386.05</v>
      </c>
      <c r="K828">
        <f t="shared" si="110"/>
        <v>3860.5</v>
      </c>
      <c r="L828">
        <f t="shared" si="111"/>
        <v>0</v>
      </c>
      <c r="M828">
        <f t="shared" si="108"/>
        <v>0</v>
      </c>
      <c r="N828">
        <f t="shared" si="112"/>
        <v>0</v>
      </c>
      <c r="O828">
        <f t="shared" si="113"/>
        <v>2353.7949999999996</v>
      </c>
      <c r="P828">
        <f t="shared" si="114"/>
        <v>588.4487499999999</v>
      </c>
      <c r="Q828">
        <f t="shared" si="115"/>
        <v>600.45310449999988</v>
      </c>
      <c r="R828">
        <f t="shared" si="116"/>
        <v>301.84699999999998</v>
      </c>
      <c r="S828">
        <f t="shared" si="109"/>
        <v>3860.5</v>
      </c>
    </row>
    <row r="829" spans="1:19" x14ac:dyDescent="0.25">
      <c r="A829">
        <v>959</v>
      </c>
      <c r="B829">
        <v>1334</v>
      </c>
      <c r="C829" t="s">
        <v>34</v>
      </c>
      <c r="D829" t="s">
        <v>172</v>
      </c>
      <c r="E829">
        <v>13</v>
      </c>
      <c r="F829">
        <v>18.57</v>
      </c>
      <c r="G829">
        <v>10.86</v>
      </c>
      <c r="H829">
        <v>31.11</v>
      </c>
      <c r="I829">
        <v>1.06</v>
      </c>
      <c r="J829">
        <v>339.23</v>
      </c>
      <c r="K829">
        <f t="shared" si="110"/>
        <v>4409.99</v>
      </c>
      <c r="L829">
        <f t="shared" si="111"/>
        <v>0</v>
      </c>
      <c r="M829">
        <f t="shared" si="108"/>
        <v>0</v>
      </c>
      <c r="N829">
        <f t="shared" si="112"/>
        <v>0</v>
      </c>
      <c r="O829">
        <f t="shared" si="113"/>
        <v>2621.7126000000003</v>
      </c>
      <c r="P829">
        <f t="shared" si="114"/>
        <v>655.42815000000007</v>
      </c>
      <c r="Q829">
        <f t="shared" si="115"/>
        <v>668.79888426000002</v>
      </c>
      <c r="R829">
        <f t="shared" si="116"/>
        <v>428.69580000000002</v>
      </c>
      <c r="S829">
        <f t="shared" si="109"/>
        <v>4409.99</v>
      </c>
    </row>
    <row r="830" spans="1:19" x14ac:dyDescent="0.25">
      <c r="A830">
        <v>960</v>
      </c>
      <c r="B830">
        <v>1334</v>
      </c>
      <c r="C830" t="s">
        <v>34</v>
      </c>
      <c r="D830" t="s">
        <v>173</v>
      </c>
      <c r="E830">
        <v>15</v>
      </c>
      <c r="F830">
        <v>14.91</v>
      </c>
      <c r="G830">
        <v>3.01</v>
      </c>
      <c r="H830">
        <v>29.27</v>
      </c>
      <c r="I830">
        <v>0.79</v>
      </c>
      <c r="J830">
        <v>87.14</v>
      </c>
      <c r="K830">
        <f t="shared" si="110"/>
        <v>1307.0999999999999</v>
      </c>
      <c r="L830">
        <f t="shared" si="111"/>
        <v>1307.0999999999999</v>
      </c>
      <c r="M830">
        <f t="shared" si="108"/>
        <v>673.18650000000002</v>
      </c>
      <c r="N830">
        <f t="shared" si="112"/>
        <v>168.29662500000001</v>
      </c>
      <c r="O830">
        <f t="shared" si="113"/>
        <v>673.18650000000002</v>
      </c>
      <c r="P830">
        <f t="shared" si="114"/>
        <v>168.29662500000001</v>
      </c>
      <c r="Q830">
        <f t="shared" si="115"/>
        <v>171.72987615</v>
      </c>
      <c r="R830">
        <f t="shared" si="116"/>
        <v>346.84950000000003</v>
      </c>
      <c r="S830">
        <f t="shared" si="109"/>
        <v>1307.0999999999999</v>
      </c>
    </row>
    <row r="831" spans="1:19" x14ac:dyDescent="0.25">
      <c r="A831">
        <v>961</v>
      </c>
      <c r="B831">
        <v>1334</v>
      </c>
      <c r="C831" t="s">
        <v>34</v>
      </c>
      <c r="D831" t="s">
        <v>172</v>
      </c>
      <c r="E831">
        <v>16</v>
      </c>
      <c r="F831">
        <v>20.7</v>
      </c>
      <c r="G831">
        <v>10.26</v>
      </c>
      <c r="H831">
        <v>30.02</v>
      </c>
      <c r="I831">
        <v>1.06</v>
      </c>
      <c r="J831">
        <v>353.79</v>
      </c>
      <c r="K831">
        <f t="shared" si="110"/>
        <v>5660.64</v>
      </c>
      <c r="L831">
        <f t="shared" si="111"/>
        <v>0</v>
      </c>
      <c r="M831">
        <f t="shared" si="108"/>
        <v>0</v>
      </c>
      <c r="N831">
        <f t="shared" si="112"/>
        <v>0</v>
      </c>
      <c r="O831">
        <f t="shared" si="113"/>
        <v>3398.1119999999996</v>
      </c>
      <c r="P831">
        <f t="shared" si="114"/>
        <v>849.52799999999991</v>
      </c>
      <c r="Q831">
        <f t="shared" si="115"/>
        <v>866.85837119999985</v>
      </c>
      <c r="R831">
        <f t="shared" si="116"/>
        <v>509.13920000000002</v>
      </c>
      <c r="S831">
        <f t="shared" si="109"/>
        <v>5660.64</v>
      </c>
    </row>
    <row r="832" spans="1:19" x14ac:dyDescent="0.25">
      <c r="A832">
        <v>962</v>
      </c>
      <c r="B832">
        <v>1334</v>
      </c>
      <c r="C832" t="s">
        <v>34</v>
      </c>
      <c r="D832" t="s">
        <v>172</v>
      </c>
      <c r="E832">
        <v>58</v>
      </c>
      <c r="F832">
        <v>20.12</v>
      </c>
      <c r="G832">
        <v>11.68</v>
      </c>
      <c r="H832">
        <v>38.4</v>
      </c>
      <c r="I832">
        <v>0.99</v>
      </c>
      <c r="J832">
        <v>394.8</v>
      </c>
      <c r="K832">
        <f t="shared" si="110"/>
        <v>22898.400000000001</v>
      </c>
      <c r="L832">
        <f t="shared" si="111"/>
        <v>0</v>
      </c>
      <c r="M832">
        <f t="shared" si="108"/>
        <v>0</v>
      </c>
      <c r="N832">
        <f t="shared" si="112"/>
        <v>0</v>
      </c>
      <c r="O832">
        <f t="shared" si="113"/>
        <v>13630.0928</v>
      </c>
      <c r="P832">
        <f t="shared" si="114"/>
        <v>3407.5232000000001</v>
      </c>
      <c r="Q832">
        <f t="shared" si="115"/>
        <v>3477.0366732799998</v>
      </c>
      <c r="R832">
        <f t="shared" si="116"/>
        <v>2204.9279999999999</v>
      </c>
      <c r="S832">
        <f t="shared" si="109"/>
        <v>22898.400000000001</v>
      </c>
    </row>
    <row r="833" spans="1:19" x14ac:dyDescent="0.25">
      <c r="A833">
        <v>963</v>
      </c>
      <c r="B833">
        <v>1334</v>
      </c>
      <c r="C833" t="s">
        <v>34</v>
      </c>
      <c r="D833" t="s">
        <v>172</v>
      </c>
      <c r="E833">
        <v>10</v>
      </c>
      <c r="F833">
        <v>20.56</v>
      </c>
      <c r="G833">
        <v>10.72</v>
      </c>
      <c r="H833">
        <v>24.22</v>
      </c>
      <c r="I833">
        <v>1.1000000000000001</v>
      </c>
      <c r="J833">
        <v>359.55</v>
      </c>
      <c r="K833">
        <f t="shared" si="110"/>
        <v>3595.5</v>
      </c>
      <c r="L833">
        <f t="shared" si="111"/>
        <v>0</v>
      </c>
      <c r="M833">
        <f t="shared" si="108"/>
        <v>0</v>
      </c>
      <c r="N833">
        <f t="shared" si="112"/>
        <v>0</v>
      </c>
      <c r="O833">
        <f t="shared" si="113"/>
        <v>2204.0319999999997</v>
      </c>
      <c r="P833">
        <f t="shared" si="114"/>
        <v>551.00799999999992</v>
      </c>
      <c r="Q833">
        <f t="shared" si="115"/>
        <v>562.24856319999992</v>
      </c>
      <c r="R833">
        <f t="shared" si="116"/>
        <v>266.41999999999996</v>
      </c>
      <c r="S833">
        <f t="shared" si="109"/>
        <v>3595.5</v>
      </c>
    </row>
    <row r="834" spans="1:19" x14ac:dyDescent="0.25">
      <c r="A834">
        <v>964</v>
      </c>
      <c r="B834">
        <v>1334</v>
      </c>
      <c r="C834" t="s">
        <v>34</v>
      </c>
      <c r="D834" t="s">
        <v>173</v>
      </c>
      <c r="E834">
        <v>20</v>
      </c>
      <c r="F834">
        <v>15.02</v>
      </c>
      <c r="G834">
        <v>2.9</v>
      </c>
      <c r="H834">
        <v>32.43</v>
      </c>
      <c r="I834">
        <v>0.81</v>
      </c>
      <c r="J834">
        <v>88.79</v>
      </c>
      <c r="K834">
        <f t="shared" si="110"/>
        <v>1775.8000000000002</v>
      </c>
      <c r="L834">
        <f t="shared" si="111"/>
        <v>1775.8000000000002</v>
      </c>
      <c r="M834">
        <f t="shared" ref="M834:M897" si="117">IF(D834="SHOES",O834,0)</f>
        <v>871.16</v>
      </c>
      <c r="N834">
        <f t="shared" si="112"/>
        <v>217.79</v>
      </c>
      <c r="O834">
        <f t="shared" si="113"/>
        <v>871.16</v>
      </c>
      <c r="P834">
        <f t="shared" si="114"/>
        <v>217.79</v>
      </c>
      <c r="Q834">
        <f t="shared" si="115"/>
        <v>222.23291599999999</v>
      </c>
      <c r="R834">
        <f t="shared" si="116"/>
        <v>525.3660000000001</v>
      </c>
      <c r="S834">
        <f t="shared" ref="S834:S897" si="118">PRODUCT(J834,E834)</f>
        <v>1775.8000000000002</v>
      </c>
    </row>
    <row r="835" spans="1:19" x14ac:dyDescent="0.25">
      <c r="A835">
        <v>965</v>
      </c>
      <c r="B835">
        <v>1334</v>
      </c>
      <c r="C835" t="s">
        <v>34</v>
      </c>
      <c r="D835" t="s">
        <v>173</v>
      </c>
      <c r="E835">
        <v>33</v>
      </c>
      <c r="F835">
        <v>15.85</v>
      </c>
      <c r="G835">
        <v>2.66</v>
      </c>
      <c r="H835">
        <v>33.1</v>
      </c>
      <c r="I835">
        <v>0.79</v>
      </c>
      <c r="J835">
        <v>86.74</v>
      </c>
      <c r="K835">
        <f t="shared" ref="K835:K898" si="119">E835*J835</f>
        <v>2862.4199999999996</v>
      </c>
      <c r="L835">
        <f t="shared" ref="L835:L898" si="120">IF(D835="SHOES",E835*J835,0)</f>
        <v>2862.4199999999996</v>
      </c>
      <c r="M835">
        <f t="shared" si="117"/>
        <v>1391.3129999999999</v>
      </c>
      <c r="N835">
        <f t="shared" ref="N835:N898" si="121">IF(D835="SHOES",P835,0)</f>
        <v>347.82824999999997</v>
      </c>
      <c r="O835">
        <f t="shared" ref="O835:O898" si="122">PRODUCT(E835,G835,F835)</f>
        <v>1391.3129999999999</v>
      </c>
      <c r="P835">
        <f t="shared" ref="P835:P898" si="123">PRODUCT(O835,0.25)</f>
        <v>347.82824999999997</v>
      </c>
      <c r="Q835">
        <f t="shared" ref="Q835:Q898" si="124">PRODUCT(O835,0.2551)</f>
        <v>354.92394629999995</v>
      </c>
      <c r="R835">
        <f t="shared" si="116"/>
        <v>862.91700000000003</v>
      </c>
      <c r="S835">
        <f t="shared" si="118"/>
        <v>2862.4199999999996</v>
      </c>
    </row>
    <row r="836" spans="1:19" x14ac:dyDescent="0.25">
      <c r="A836">
        <v>966</v>
      </c>
      <c r="B836">
        <v>1334</v>
      </c>
      <c r="C836" t="s">
        <v>34</v>
      </c>
      <c r="D836" t="s">
        <v>172</v>
      </c>
      <c r="E836">
        <v>20</v>
      </c>
      <c r="F836">
        <v>19.170000000000002</v>
      </c>
      <c r="G836">
        <v>11.06</v>
      </c>
      <c r="H836">
        <v>34.29</v>
      </c>
      <c r="I836">
        <v>0.98</v>
      </c>
      <c r="J836">
        <v>355.37</v>
      </c>
      <c r="K836">
        <f t="shared" si="119"/>
        <v>7107.4</v>
      </c>
      <c r="L836">
        <f t="shared" si="120"/>
        <v>0</v>
      </c>
      <c r="M836">
        <f t="shared" si="117"/>
        <v>0</v>
      </c>
      <c r="N836">
        <f t="shared" si="121"/>
        <v>0</v>
      </c>
      <c r="O836">
        <f t="shared" si="122"/>
        <v>4240.4040000000005</v>
      </c>
      <c r="P836">
        <f t="shared" si="123"/>
        <v>1060.1010000000001</v>
      </c>
      <c r="Q836">
        <f t="shared" si="124"/>
        <v>1081.7270604</v>
      </c>
      <c r="R836">
        <f t="shared" ref="R836:R899" si="125">PRODUCT(E836,I836,H836)</f>
        <v>672.08400000000006</v>
      </c>
      <c r="S836">
        <f t="shared" si="118"/>
        <v>7107.4</v>
      </c>
    </row>
    <row r="837" spans="1:19" x14ac:dyDescent="0.25">
      <c r="A837">
        <v>967</v>
      </c>
      <c r="B837">
        <v>1334</v>
      </c>
      <c r="C837" t="s">
        <v>34</v>
      </c>
      <c r="D837" t="s">
        <v>173</v>
      </c>
      <c r="E837">
        <v>23</v>
      </c>
      <c r="F837">
        <v>14.78</v>
      </c>
      <c r="G837">
        <v>3.1</v>
      </c>
      <c r="H837">
        <v>34.03</v>
      </c>
      <c r="I837">
        <v>0.78</v>
      </c>
      <c r="J837">
        <v>82.98</v>
      </c>
      <c r="K837">
        <f t="shared" si="119"/>
        <v>1908.5400000000002</v>
      </c>
      <c r="L837">
        <f t="shared" si="120"/>
        <v>1908.5400000000002</v>
      </c>
      <c r="M837">
        <f t="shared" si="117"/>
        <v>1053.8139999999999</v>
      </c>
      <c r="N837">
        <f t="shared" si="121"/>
        <v>263.45349999999996</v>
      </c>
      <c r="O837">
        <f t="shared" si="122"/>
        <v>1053.8139999999999</v>
      </c>
      <c r="P837">
        <f t="shared" si="123"/>
        <v>263.45349999999996</v>
      </c>
      <c r="Q837">
        <f t="shared" si="124"/>
        <v>268.82795139999996</v>
      </c>
      <c r="R837">
        <f t="shared" si="125"/>
        <v>610.49820000000011</v>
      </c>
      <c r="S837">
        <f t="shared" si="118"/>
        <v>1908.5400000000002</v>
      </c>
    </row>
    <row r="838" spans="1:19" x14ac:dyDescent="0.25">
      <c r="A838">
        <v>968</v>
      </c>
      <c r="B838">
        <v>1334</v>
      </c>
      <c r="C838" t="s">
        <v>34</v>
      </c>
      <c r="D838" t="s">
        <v>173</v>
      </c>
      <c r="E838">
        <v>16</v>
      </c>
      <c r="F838">
        <v>16.03</v>
      </c>
      <c r="G838">
        <v>2.94</v>
      </c>
      <c r="H838">
        <v>33.68</v>
      </c>
      <c r="I838">
        <v>0.82</v>
      </c>
      <c r="J838">
        <v>95.18</v>
      </c>
      <c r="K838">
        <f t="shared" si="119"/>
        <v>1522.88</v>
      </c>
      <c r="L838">
        <f t="shared" si="120"/>
        <v>1522.88</v>
      </c>
      <c r="M838">
        <f t="shared" si="117"/>
        <v>754.05119999999999</v>
      </c>
      <c r="N838">
        <f t="shared" si="121"/>
        <v>188.5128</v>
      </c>
      <c r="O838">
        <f t="shared" si="122"/>
        <v>754.05119999999999</v>
      </c>
      <c r="P838">
        <f t="shared" si="123"/>
        <v>188.5128</v>
      </c>
      <c r="Q838">
        <f t="shared" si="124"/>
        <v>192.35846111999999</v>
      </c>
      <c r="R838">
        <f t="shared" si="125"/>
        <v>441.88159999999999</v>
      </c>
      <c r="S838">
        <f t="shared" si="118"/>
        <v>1522.88</v>
      </c>
    </row>
    <row r="839" spans="1:19" x14ac:dyDescent="0.25">
      <c r="A839">
        <v>969</v>
      </c>
      <c r="B839">
        <v>1334</v>
      </c>
      <c r="C839" t="s">
        <v>34</v>
      </c>
      <c r="D839" t="s">
        <v>173</v>
      </c>
      <c r="E839">
        <v>10</v>
      </c>
      <c r="F839">
        <v>16.489999999999998</v>
      </c>
      <c r="G839">
        <v>3.16</v>
      </c>
      <c r="H839">
        <v>29.64</v>
      </c>
      <c r="I839">
        <v>0.78</v>
      </c>
      <c r="J839">
        <v>97.08</v>
      </c>
      <c r="K839">
        <f t="shared" si="119"/>
        <v>970.8</v>
      </c>
      <c r="L839">
        <f t="shared" si="120"/>
        <v>970.8</v>
      </c>
      <c r="M839">
        <f t="shared" si="117"/>
        <v>521.08399999999995</v>
      </c>
      <c r="N839">
        <f t="shared" si="121"/>
        <v>130.27099999999999</v>
      </c>
      <c r="O839">
        <f t="shared" si="122"/>
        <v>521.08399999999995</v>
      </c>
      <c r="P839">
        <f t="shared" si="123"/>
        <v>130.27099999999999</v>
      </c>
      <c r="Q839">
        <f t="shared" si="124"/>
        <v>132.92852839999998</v>
      </c>
      <c r="R839">
        <f t="shared" si="125"/>
        <v>231.19200000000004</v>
      </c>
      <c r="S839">
        <f t="shared" si="118"/>
        <v>970.8</v>
      </c>
    </row>
    <row r="840" spans="1:19" x14ac:dyDescent="0.25">
      <c r="A840">
        <v>970</v>
      </c>
      <c r="B840">
        <v>1334</v>
      </c>
      <c r="C840" t="s">
        <v>34</v>
      </c>
      <c r="D840" t="s">
        <v>172</v>
      </c>
      <c r="E840">
        <v>9</v>
      </c>
      <c r="F840">
        <v>19.239999999999998</v>
      </c>
      <c r="G840">
        <v>12.07</v>
      </c>
      <c r="H840">
        <v>32.869999999999997</v>
      </c>
      <c r="I840">
        <v>0.89</v>
      </c>
      <c r="J840">
        <v>380.25</v>
      </c>
      <c r="K840">
        <f t="shared" si="119"/>
        <v>3422.25</v>
      </c>
      <c r="L840">
        <f t="shared" si="120"/>
        <v>0</v>
      </c>
      <c r="M840">
        <f t="shared" si="117"/>
        <v>0</v>
      </c>
      <c r="N840">
        <f t="shared" si="121"/>
        <v>0</v>
      </c>
      <c r="O840">
        <f t="shared" si="122"/>
        <v>2090.0411999999997</v>
      </c>
      <c r="P840">
        <f t="shared" si="123"/>
        <v>522.51029999999992</v>
      </c>
      <c r="Q840">
        <f t="shared" si="124"/>
        <v>533.16951011999993</v>
      </c>
      <c r="R840">
        <f t="shared" si="125"/>
        <v>263.28869999999995</v>
      </c>
      <c r="S840">
        <f t="shared" si="118"/>
        <v>3422.25</v>
      </c>
    </row>
    <row r="841" spans="1:19" x14ac:dyDescent="0.25">
      <c r="A841">
        <v>971</v>
      </c>
      <c r="B841">
        <v>1334</v>
      </c>
      <c r="C841" t="s">
        <v>34</v>
      </c>
      <c r="D841" t="s">
        <v>173</v>
      </c>
      <c r="E841">
        <v>24</v>
      </c>
      <c r="F841">
        <v>14.15</v>
      </c>
      <c r="G841">
        <v>2.77</v>
      </c>
      <c r="H841">
        <v>31.38</v>
      </c>
      <c r="I841">
        <v>0.77</v>
      </c>
      <c r="J841">
        <v>72.42</v>
      </c>
      <c r="K841">
        <f t="shared" si="119"/>
        <v>1738.08</v>
      </c>
      <c r="L841">
        <f t="shared" si="120"/>
        <v>1738.08</v>
      </c>
      <c r="M841">
        <f t="shared" si="117"/>
        <v>940.69200000000012</v>
      </c>
      <c r="N841">
        <f t="shared" si="121"/>
        <v>235.17300000000003</v>
      </c>
      <c r="O841">
        <f t="shared" si="122"/>
        <v>940.69200000000012</v>
      </c>
      <c r="P841">
        <f t="shared" si="123"/>
        <v>235.17300000000003</v>
      </c>
      <c r="Q841">
        <f t="shared" si="124"/>
        <v>239.97052920000002</v>
      </c>
      <c r="R841">
        <f t="shared" si="125"/>
        <v>579.90239999999994</v>
      </c>
      <c r="S841">
        <f t="shared" si="118"/>
        <v>1738.08</v>
      </c>
    </row>
    <row r="842" spans="1:19" x14ac:dyDescent="0.25">
      <c r="A842">
        <v>972</v>
      </c>
      <c r="B842">
        <v>1334</v>
      </c>
      <c r="C842" t="s">
        <v>34</v>
      </c>
      <c r="D842" t="s">
        <v>173</v>
      </c>
      <c r="E842">
        <v>14</v>
      </c>
      <c r="F842">
        <v>15.38</v>
      </c>
      <c r="G842">
        <v>2.8</v>
      </c>
      <c r="H842">
        <v>30.71</v>
      </c>
      <c r="I842">
        <v>0.83</v>
      </c>
      <c r="J842">
        <v>87.25</v>
      </c>
      <c r="K842">
        <f t="shared" si="119"/>
        <v>1221.5</v>
      </c>
      <c r="L842">
        <f t="shared" si="120"/>
        <v>1221.5</v>
      </c>
      <c r="M842">
        <f t="shared" si="117"/>
        <v>602.89599999999996</v>
      </c>
      <c r="N842">
        <f t="shared" si="121"/>
        <v>150.72399999999999</v>
      </c>
      <c r="O842">
        <f t="shared" si="122"/>
        <v>602.89599999999996</v>
      </c>
      <c r="P842">
        <f t="shared" si="123"/>
        <v>150.72399999999999</v>
      </c>
      <c r="Q842">
        <f t="shared" si="124"/>
        <v>153.79876959999999</v>
      </c>
      <c r="R842">
        <f t="shared" si="125"/>
        <v>356.85019999999997</v>
      </c>
      <c r="S842">
        <f t="shared" si="118"/>
        <v>1221.5</v>
      </c>
    </row>
    <row r="843" spans="1:19" x14ac:dyDescent="0.25">
      <c r="A843">
        <v>973</v>
      </c>
      <c r="B843">
        <v>1334</v>
      </c>
      <c r="C843" t="s">
        <v>34</v>
      </c>
      <c r="D843" t="s">
        <v>172</v>
      </c>
      <c r="E843">
        <v>78</v>
      </c>
      <c r="F843">
        <v>18.72</v>
      </c>
      <c r="G843">
        <v>11.36</v>
      </c>
      <c r="H843">
        <v>29.69</v>
      </c>
      <c r="I843">
        <v>1</v>
      </c>
      <c r="J843">
        <v>351.66</v>
      </c>
      <c r="K843">
        <f t="shared" si="119"/>
        <v>27429.480000000003</v>
      </c>
      <c r="L843">
        <f t="shared" si="120"/>
        <v>0</v>
      </c>
      <c r="M843">
        <f t="shared" si="117"/>
        <v>0</v>
      </c>
      <c r="N843">
        <f t="shared" si="121"/>
        <v>0</v>
      </c>
      <c r="O843">
        <f t="shared" si="122"/>
        <v>16587.417599999997</v>
      </c>
      <c r="P843">
        <f t="shared" si="123"/>
        <v>4146.8543999999993</v>
      </c>
      <c r="Q843">
        <f t="shared" si="124"/>
        <v>4231.4502297599993</v>
      </c>
      <c r="R843">
        <f t="shared" si="125"/>
        <v>2315.8200000000002</v>
      </c>
      <c r="S843">
        <f t="shared" si="118"/>
        <v>27429.480000000003</v>
      </c>
    </row>
    <row r="844" spans="1:19" x14ac:dyDescent="0.25">
      <c r="A844">
        <v>974</v>
      </c>
      <c r="B844">
        <v>1334</v>
      </c>
      <c r="C844" t="s">
        <v>34</v>
      </c>
      <c r="D844" t="s">
        <v>173</v>
      </c>
      <c r="E844">
        <v>15</v>
      </c>
      <c r="F844">
        <v>15.29</v>
      </c>
      <c r="G844">
        <v>2.72</v>
      </c>
      <c r="H844">
        <v>30.14</v>
      </c>
      <c r="I844">
        <v>0.79</v>
      </c>
      <c r="J844">
        <v>83.38</v>
      </c>
      <c r="K844">
        <f t="shared" si="119"/>
        <v>1250.6999999999998</v>
      </c>
      <c r="L844">
        <f t="shared" si="120"/>
        <v>1250.6999999999998</v>
      </c>
      <c r="M844">
        <f t="shared" si="117"/>
        <v>623.83199999999999</v>
      </c>
      <c r="N844">
        <f t="shared" si="121"/>
        <v>155.958</v>
      </c>
      <c r="O844">
        <f t="shared" si="122"/>
        <v>623.83199999999999</v>
      </c>
      <c r="P844">
        <f t="shared" si="123"/>
        <v>155.958</v>
      </c>
      <c r="Q844">
        <f t="shared" si="124"/>
        <v>159.13954319999999</v>
      </c>
      <c r="R844">
        <f t="shared" si="125"/>
        <v>357.15900000000005</v>
      </c>
      <c r="S844">
        <f t="shared" si="118"/>
        <v>1250.6999999999998</v>
      </c>
    </row>
    <row r="845" spans="1:19" x14ac:dyDescent="0.25">
      <c r="A845">
        <v>975</v>
      </c>
      <c r="B845">
        <v>1334</v>
      </c>
      <c r="C845" t="s">
        <v>34</v>
      </c>
      <c r="D845" t="s">
        <v>172</v>
      </c>
      <c r="E845">
        <v>15</v>
      </c>
      <c r="F845">
        <v>20.78</v>
      </c>
      <c r="G845">
        <v>11.09</v>
      </c>
      <c r="H845">
        <v>29.74</v>
      </c>
      <c r="I845">
        <v>1.01</v>
      </c>
      <c r="J845">
        <v>378.54</v>
      </c>
      <c r="K845">
        <f t="shared" si="119"/>
        <v>5678.1</v>
      </c>
      <c r="L845">
        <f t="shared" si="120"/>
        <v>0</v>
      </c>
      <c r="M845">
        <f t="shared" si="117"/>
        <v>0</v>
      </c>
      <c r="N845">
        <f t="shared" si="121"/>
        <v>0</v>
      </c>
      <c r="O845">
        <f t="shared" si="122"/>
        <v>3456.7530000000002</v>
      </c>
      <c r="P845">
        <f t="shared" si="123"/>
        <v>864.18825000000004</v>
      </c>
      <c r="Q845">
        <f t="shared" si="124"/>
        <v>881.81769029999998</v>
      </c>
      <c r="R845">
        <f t="shared" si="125"/>
        <v>450.56099999999998</v>
      </c>
      <c r="S845">
        <f t="shared" si="118"/>
        <v>5678.1</v>
      </c>
    </row>
    <row r="846" spans="1:19" x14ac:dyDescent="0.25">
      <c r="A846">
        <v>976</v>
      </c>
      <c r="B846">
        <v>1334</v>
      </c>
      <c r="C846" t="s">
        <v>34</v>
      </c>
      <c r="D846" t="s">
        <v>172</v>
      </c>
      <c r="E846">
        <v>13</v>
      </c>
      <c r="F846">
        <v>20.68</v>
      </c>
      <c r="G846">
        <v>10.94</v>
      </c>
      <c r="H846">
        <v>30.81</v>
      </c>
      <c r="I846">
        <v>1.07</v>
      </c>
      <c r="J846">
        <v>375.76</v>
      </c>
      <c r="K846">
        <f t="shared" si="119"/>
        <v>4884.88</v>
      </c>
      <c r="L846">
        <f t="shared" si="120"/>
        <v>0</v>
      </c>
      <c r="M846">
        <f t="shared" si="117"/>
        <v>0</v>
      </c>
      <c r="N846">
        <f t="shared" si="121"/>
        <v>0</v>
      </c>
      <c r="O846">
        <f t="shared" si="122"/>
        <v>2941.1095999999998</v>
      </c>
      <c r="P846">
        <f t="shared" si="123"/>
        <v>735.27739999999994</v>
      </c>
      <c r="Q846">
        <f t="shared" si="124"/>
        <v>750.27705895999998</v>
      </c>
      <c r="R846">
        <f t="shared" si="125"/>
        <v>428.56709999999998</v>
      </c>
      <c r="S846">
        <f t="shared" si="118"/>
        <v>4884.88</v>
      </c>
    </row>
    <row r="847" spans="1:19" x14ac:dyDescent="0.25">
      <c r="A847">
        <v>977</v>
      </c>
      <c r="B847">
        <v>1334</v>
      </c>
      <c r="C847" t="s">
        <v>34</v>
      </c>
      <c r="D847" t="s">
        <v>172</v>
      </c>
      <c r="E847">
        <v>18</v>
      </c>
      <c r="F847">
        <v>20.61</v>
      </c>
      <c r="G847">
        <v>11.48</v>
      </c>
      <c r="H847">
        <v>27.67</v>
      </c>
      <c r="I847">
        <v>1.05</v>
      </c>
      <c r="J847">
        <v>312.45999999999998</v>
      </c>
      <c r="K847">
        <f t="shared" si="119"/>
        <v>5624.28</v>
      </c>
      <c r="L847">
        <f t="shared" si="120"/>
        <v>0</v>
      </c>
      <c r="M847">
        <f t="shared" si="117"/>
        <v>0</v>
      </c>
      <c r="N847">
        <f t="shared" si="121"/>
        <v>0</v>
      </c>
      <c r="O847">
        <f t="shared" si="122"/>
        <v>4258.8504000000003</v>
      </c>
      <c r="P847">
        <f t="shared" si="123"/>
        <v>1064.7126000000001</v>
      </c>
      <c r="Q847">
        <f t="shared" si="124"/>
        <v>1086.4327370400001</v>
      </c>
      <c r="R847">
        <f t="shared" si="125"/>
        <v>522.96300000000008</v>
      </c>
      <c r="S847">
        <f t="shared" si="118"/>
        <v>5624.28</v>
      </c>
    </row>
    <row r="848" spans="1:19" x14ac:dyDescent="0.25">
      <c r="A848">
        <v>978</v>
      </c>
      <c r="B848">
        <v>1334</v>
      </c>
      <c r="C848" t="s">
        <v>34</v>
      </c>
      <c r="D848" t="s">
        <v>173</v>
      </c>
      <c r="E848">
        <v>11</v>
      </c>
      <c r="F848">
        <v>14.56</v>
      </c>
      <c r="G848">
        <v>2.97</v>
      </c>
      <c r="H848">
        <v>28.4</v>
      </c>
      <c r="I848">
        <v>0.79</v>
      </c>
      <c r="J848">
        <v>84.14</v>
      </c>
      <c r="K848">
        <f t="shared" si="119"/>
        <v>925.54</v>
      </c>
      <c r="L848">
        <f t="shared" si="120"/>
        <v>925.54</v>
      </c>
      <c r="M848">
        <f t="shared" si="117"/>
        <v>475.67520000000002</v>
      </c>
      <c r="N848">
        <f t="shared" si="121"/>
        <v>118.9188</v>
      </c>
      <c r="O848">
        <f t="shared" si="122"/>
        <v>475.67520000000002</v>
      </c>
      <c r="P848">
        <f t="shared" si="123"/>
        <v>118.9188</v>
      </c>
      <c r="Q848">
        <f t="shared" si="124"/>
        <v>121.34474351999999</v>
      </c>
      <c r="R848">
        <f t="shared" si="125"/>
        <v>246.79600000000002</v>
      </c>
      <c r="S848">
        <f t="shared" si="118"/>
        <v>925.54</v>
      </c>
    </row>
    <row r="849" spans="1:19" x14ac:dyDescent="0.25">
      <c r="A849">
        <v>979</v>
      </c>
      <c r="B849">
        <v>1335</v>
      </c>
      <c r="C849" t="s">
        <v>35</v>
      </c>
      <c r="D849" t="s">
        <v>172</v>
      </c>
      <c r="E849">
        <v>13</v>
      </c>
      <c r="F849">
        <v>19.91</v>
      </c>
      <c r="G849">
        <v>10.52</v>
      </c>
      <c r="H849">
        <v>33.04</v>
      </c>
      <c r="I849">
        <v>0.96</v>
      </c>
      <c r="J849">
        <v>349.31</v>
      </c>
      <c r="K849">
        <f t="shared" si="119"/>
        <v>4541.03</v>
      </c>
      <c r="L849">
        <f t="shared" si="120"/>
        <v>0</v>
      </c>
      <c r="M849">
        <f t="shared" si="117"/>
        <v>0</v>
      </c>
      <c r="N849">
        <f t="shared" si="121"/>
        <v>0</v>
      </c>
      <c r="O849">
        <f t="shared" si="122"/>
        <v>2722.8915999999999</v>
      </c>
      <c r="P849">
        <f t="shared" si="123"/>
        <v>680.72289999999998</v>
      </c>
      <c r="Q849">
        <f t="shared" si="124"/>
        <v>694.60964716000001</v>
      </c>
      <c r="R849">
        <f t="shared" si="125"/>
        <v>412.33920000000001</v>
      </c>
      <c r="S849">
        <f t="shared" si="118"/>
        <v>4541.03</v>
      </c>
    </row>
    <row r="850" spans="1:19" x14ac:dyDescent="0.25">
      <c r="A850">
        <v>980</v>
      </c>
      <c r="B850">
        <v>1335</v>
      </c>
      <c r="C850" t="s">
        <v>35</v>
      </c>
      <c r="D850" t="s">
        <v>173</v>
      </c>
      <c r="E850">
        <v>18</v>
      </c>
      <c r="F850">
        <v>13.84</v>
      </c>
      <c r="G850">
        <v>3.21</v>
      </c>
      <c r="H850">
        <v>33.409999999999997</v>
      </c>
      <c r="I850">
        <v>0.79</v>
      </c>
      <c r="J850">
        <v>90.12</v>
      </c>
      <c r="K850">
        <f t="shared" si="119"/>
        <v>1622.16</v>
      </c>
      <c r="L850">
        <f t="shared" si="120"/>
        <v>1622.16</v>
      </c>
      <c r="M850">
        <f t="shared" si="117"/>
        <v>799.67520000000002</v>
      </c>
      <c r="N850">
        <f t="shared" si="121"/>
        <v>199.9188</v>
      </c>
      <c r="O850">
        <f t="shared" si="122"/>
        <v>799.67520000000002</v>
      </c>
      <c r="P850">
        <f t="shared" si="123"/>
        <v>199.9188</v>
      </c>
      <c r="Q850">
        <f t="shared" si="124"/>
        <v>203.99714352000001</v>
      </c>
      <c r="R850">
        <f t="shared" si="125"/>
        <v>475.09019999999998</v>
      </c>
      <c r="S850">
        <f t="shared" si="118"/>
        <v>1622.16</v>
      </c>
    </row>
    <row r="851" spans="1:19" x14ac:dyDescent="0.25">
      <c r="A851">
        <v>981</v>
      </c>
      <c r="B851">
        <v>1335</v>
      </c>
      <c r="C851" t="s">
        <v>35</v>
      </c>
      <c r="D851" t="s">
        <v>172</v>
      </c>
      <c r="E851">
        <v>20</v>
      </c>
      <c r="F851">
        <v>20.52</v>
      </c>
      <c r="G851">
        <v>11.24</v>
      </c>
      <c r="H851">
        <v>35.36</v>
      </c>
      <c r="I851">
        <v>1</v>
      </c>
      <c r="J851">
        <v>385.16</v>
      </c>
      <c r="K851">
        <f t="shared" si="119"/>
        <v>7703.2000000000007</v>
      </c>
      <c r="L851">
        <f t="shared" si="120"/>
        <v>0</v>
      </c>
      <c r="M851">
        <f t="shared" si="117"/>
        <v>0</v>
      </c>
      <c r="N851">
        <f t="shared" si="121"/>
        <v>0</v>
      </c>
      <c r="O851">
        <f t="shared" si="122"/>
        <v>4612.8959999999997</v>
      </c>
      <c r="P851">
        <f t="shared" si="123"/>
        <v>1153.2239999999999</v>
      </c>
      <c r="Q851">
        <f t="shared" si="124"/>
        <v>1176.7497695999998</v>
      </c>
      <c r="R851">
        <f t="shared" si="125"/>
        <v>707.2</v>
      </c>
      <c r="S851">
        <f t="shared" si="118"/>
        <v>7703.2000000000007</v>
      </c>
    </row>
    <row r="852" spans="1:19" x14ac:dyDescent="0.25">
      <c r="A852">
        <v>982</v>
      </c>
      <c r="B852">
        <v>1335</v>
      </c>
      <c r="C852" t="s">
        <v>35</v>
      </c>
      <c r="D852" t="s">
        <v>173</v>
      </c>
      <c r="E852">
        <v>12</v>
      </c>
      <c r="F852">
        <v>13.79</v>
      </c>
      <c r="G852">
        <v>2.48</v>
      </c>
      <c r="H852">
        <v>34.950000000000003</v>
      </c>
      <c r="I852">
        <v>0.8</v>
      </c>
      <c r="J852">
        <v>77.78</v>
      </c>
      <c r="K852">
        <f t="shared" si="119"/>
        <v>933.36</v>
      </c>
      <c r="L852">
        <f t="shared" si="120"/>
        <v>933.36</v>
      </c>
      <c r="M852">
        <f t="shared" si="117"/>
        <v>410.39039999999994</v>
      </c>
      <c r="N852">
        <f t="shared" si="121"/>
        <v>102.59759999999999</v>
      </c>
      <c r="O852">
        <f t="shared" si="122"/>
        <v>410.39039999999994</v>
      </c>
      <c r="P852">
        <f t="shared" si="123"/>
        <v>102.59759999999999</v>
      </c>
      <c r="Q852">
        <f t="shared" si="124"/>
        <v>104.69059103999999</v>
      </c>
      <c r="R852">
        <f t="shared" si="125"/>
        <v>335.5200000000001</v>
      </c>
      <c r="S852">
        <f t="shared" si="118"/>
        <v>933.36</v>
      </c>
    </row>
    <row r="853" spans="1:19" x14ac:dyDescent="0.25">
      <c r="A853">
        <v>983</v>
      </c>
      <c r="B853">
        <v>1335</v>
      </c>
      <c r="C853" t="s">
        <v>35</v>
      </c>
      <c r="D853" t="s">
        <v>172</v>
      </c>
      <c r="E853">
        <v>7</v>
      </c>
      <c r="F853">
        <v>20.82</v>
      </c>
      <c r="G853">
        <v>10.46</v>
      </c>
      <c r="H853">
        <v>29.52</v>
      </c>
      <c r="I853">
        <v>1</v>
      </c>
      <c r="J853">
        <v>359.07</v>
      </c>
      <c r="K853">
        <f t="shared" si="119"/>
        <v>2513.4899999999998</v>
      </c>
      <c r="L853">
        <f t="shared" si="120"/>
        <v>0</v>
      </c>
      <c r="M853">
        <f t="shared" si="117"/>
        <v>0</v>
      </c>
      <c r="N853">
        <f t="shared" si="121"/>
        <v>0</v>
      </c>
      <c r="O853">
        <f t="shared" si="122"/>
        <v>1524.4404</v>
      </c>
      <c r="P853">
        <f t="shared" si="123"/>
        <v>381.11009999999999</v>
      </c>
      <c r="Q853">
        <f t="shared" si="124"/>
        <v>388.88474603999998</v>
      </c>
      <c r="R853">
        <f t="shared" si="125"/>
        <v>206.64</v>
      </c>
      <c r="S853">
        <f t="shared" si="118"/>
        <v>2513.4899999999998</v>
      </c>
    </row>
    <row r="854" spans="1:19" x14ac:dyDescent="0.25">
      <c r="A854">
        <v>984</v>
      </c>
      <c r="B854">
        <v>1335</v>
      </c>
      <c r="C854" t="s">
        <v>35</v>
      </c>
      <c r="D854" t="s">
        <v>173</v>
      </c>
      <c r="E854">
        <v>8</v>
      </c>
      <c r="F854">
        <v>14.02</v>
      </c>
      <c r="G854">
        <v>3.12</v>
      </c>
      <c r="H854">
        <v>29.98</v>
      </c>
      <c r="I854">
        <v>0.8</v>
      </c>
      <c r="J854">
        <v>86.53</v>
      </c>
      <c r="K854">
        <f t="shared" si="119"/>
        <v>692.24</v>
      </c>
      <c r="L854">
        <f t="shared" si="120"/>
        <v>692.24</v>
      </c>
      <c r="M854">
        <f t="shared" si="117"/>
        <v>349.93920000000003</v>
      </c>
      <c r="N854">
        <f t="shared" si="121"/>
        <v>87.484800000000007</v>
      </c>
      <c r="O854">
        <f t="shared" si="122"/>
        <v>349.93920000000003</v>
      </c>
      <c r="P854">
        <f t="shared" si="123"/>
        <v>87.484800000000007</v>
      </c>
      <c r="Q854">
        <f t="shared" si="124"/>
        <v>89.269489919999998</v>
      </c>
      <c r="R854">
        <f t="shared" si="125"/>
        <v>191.87200000000001</v>
      </c>
      <c r="S854">
        <f t="shared" si="118"/>
        <v>692.24</v>
      </c>
    </row>
    <row r="855" spans="1:19" x14ac:dyDescent="0.25">
      <c r="A855">
        <v>985</v>
      </c>
      <c r="B855">
        <v>1335</v>
      </c>
      <c r="C855" t="s">
        <v>35</v>
      </c>
      <c r="D855" t="s">
        <v>173</v>
      </c>
      <c r="E855">
        <v>17</v>
      </c>
      <c r="F855">
        <v>14.96</v>
      </c>
      <c r="G855">
        <v>2.79</v>
      </c>
      <c r="H855">
        <v>30.92</v>
      </c>
      <c r="I855">
        <v>0.81</v>
      </c>
      <c r="J855">
        <v>84.94</v>
      </c>
      <c r="K855">
        <f t="shared" si="119"/>
        <v>1443.98</v>
      </c>
      <c r="L855">
        <f t="shared" si="120"/>
        <v>1443.98</v>
      </c>
      <c r="M855">
        <f t="shared" si="117"/>
        <v>709.55280000000005</v>
      </c>
      <c r="N855">
        <f t="shared" si="121"/>
        <v>177.38820000000001</v>
      </c>
      <c r="O855">
        <f t="shared" si="122"/>
        <v>709.55280000000005</v>
      </c>
      <c r="P855">
        <f t="shared" si="123"/>
        <v>177.38820000000001</v>
      </c>
      <c r="Q855">
        <f t="shared" si="124"/>
        <v>181.00691928000001</v>
      </c>
      <c r="R855">
        <f t="shared" si="125"/>
        <v>425.76840000000004</v>
      </c>
      <c r="S855">
        <f t="shared" si="118"/>
        <v>1443.98</v>
      </c>
    </row>
    <row r="856" spans="1:19" x14ac:dyDescent="0.25">
      <c r="A856">
        <v>986</v>
      </c>
      <c r="B856">
        <v>1335</v>
      </c>
      <c r="C856" t="s">
        <v>35</v>
      </c>
      <c r="D856" t="s">
        <v>172</v>
      </c>
      <c r="E856">
        <v>12</v>
      </c>
      <c r="F856">
        <v>19.8</v>
      </c>
      <c r="G856">
        <v>11.58</v>
      </c>
      <c r="H856">
        <v>29.83</v>
      </c>
      <c r="I856">
        <v>1</v>
      </c>
      <c r="J856">
        <v>376.56</v>
      </c>
      <c r="K856">
        <f t="shared" si="119"/>
        <v>4518.72</v>
      </c>
      <c r="L856">
        <f t="shared" si="120"/>
        <v>0</v>
      </c>
      <c r="M856">
        <f t="shared" si="117"/>
        <v>0</v>
      </c>
      <c r="N856">
        <f t="shared" si="121"/>
        <v>0</v>
      </c>
      <c r="O856">
        <f t="shared" si="122"/>
        <v>2751.4080000000004</v>
      </c>
      <c r="P856">
        <f t="shared" si="123"/>
        <v>687.85200000000009</v>
      </c>
      <c r="Q856">
        <f t="shared" si="124"/>
        <v>701.88418080000008</v>
      </c>
      <c r="R856">
        <f t="shared" si="125"/>
        <v>357.96</v>
      </c>
      <c r="S856">
        <f t="shared" si="118"/>
        <v>4518.72</v>
      </c>
    </row>
    <row r="857" spans="1:19" x14ac:dyDescent="0.25">
      <c r="A857">
        <v>987</v>
      </c>
      <c r="B857">
        <v>1335</v>
      </c>
      <c r="C857" t="s">
        <v>35</v>
      </c>
      <c r="D857" t="s">
        <v>173</v>
      </c>
      <c r="E857">
        <v>10</v>
      </c>
      <c r="F857">
        <v>13.46</v>
      </c>
      <c r="G857">
        <v>2.78</v>
      </c>
      <c r="H857">
        <v>31.65</v>
      </c>
      <c r="I857">
        <v>0.8</v>
      </c>
      <c r="J857">
        <v>79.3</v>
      </c>
      <c r="K857">
        <f t="shared" si="119"/>
        <v>793</v>
      </c>
      <c r="L857">
        <f t="shared" si="120"/>
        <v>793</v>
      </c>
      <c r="M857">
        <f t="shared" si="117"/>
        <v>374.18799999999999</v>
      </c>
      <c r="N857">
        <f t="shared" si="121"/>
        <v>93.546999999999997</v>
      </c>
      <c r="O857">
        <f t="shared" si="122"/>
        <v>374.18799999999999</v>
      </c>
      <c r="P857">
        <f t="shared" si="123"/>
        <v>93.546999999999997</v>
      </c>
      <c r="Q857">
        <f t="shared" si="124"/>
        <v>95.455358799999999</v>
      </c>
      <c r="R857">
        <f t="shared" si="125"/>
        <v>253.2</v>
      </c>
      <c r="S857">
        <f t="shared" si="118"/>
        <v>793</v>
      </c>
    </row>
    <row r="858" spans="1:19" x14ac:dyDescent="0.25">
      <c r="A858">
        <v>988</v>
      </c>
      <c r="B858">
        <v>1335</v>
      </c>
      <c r="C858" t="s">
        <v>35</v>
      </c>
      <c r="D858" t="s">
        <v>173</v>
      </c>
      <c r="E858">
        <v>15</v>
      </c>
      <c r="F858">
        <v>14.36</v>
      </c>
      <c r="G858">
        <v>2.86</v>
      </c>
      <c r="H858">
        <v>27.87</v>
      </c>
      <c r="I858">
        <v>0.78</v>
      </c>
      <c r="J858">
        <v>80.38</v>
      </c>
      <c r="K858">
        <f t="shared" si="119"/>
        <v>1205.6999999999998</v>
      </c>
      <c r="L858">
        <f t="shared" si="120"/>
        <v>1205.6999999999998</v>
      </c>
      <c r="M858">
        <f t="shared" si="117"/>
        <v>616.04399999999998</v>
      </c>
      <c r="N858">
        <f t="shared" si="121"/>
        <v>154.011</v>
      </c>
      <c r="O858">
        <f t="shared" si="122"/>
        <v>616.04399999999998</v>
      </c>
      <c r="P858">
        <f t="shared" si="123"/>
        <v>154.011</v>
      </c>
      <c r="Q858">
        <f t="shared" si="124"/>
        <v>157.15282439999999</v>
      </c>
      <c r="R858">
        <f t="shared" si="125"/>
        <v>326.07900000000006</v>
      </c>
      <c r="S858">
        <f t="shared" si="118"/>
        <v>1205.6999999999998</v>
      </c>
    </row>
    <row r="859" spans="1:19" x14ac:dyDescent="0.25">
      <c r="A859">
        <v>989</v>
      </c>
      <c r="B859">
        <v>1335</v>
      </c>
      <c r="C859" t="s">
        <v>35</v>
      </c>
      <c r="D859" t="s">
        <v>172</v>
      </c>
      <c r="E859">
        <v>10</v>
      </c>
      <c r="F859">
        <v>20.100000000000001</v>
      </c>
      <c r="G859">
        <v>10.85</v>
      </c>
      <c r="H859">
        <v>24.8</v>
      </c>
      <c r="I859">
        <v>0.98</v>
      </c>
      <c r="J859">
        <v>353.32</v>
      </c>
      <c r="K859">
        <f t="shared" si="119"/>
        <v>3533.2</v>
      </c>
      <c r="L859">
        <f t="shared" si="120"/>
        <v>0</v>
      </c>
      <c r="M859">
        <f t="shared" si="117"/>
        <v>0</v>
      </c>
      <c r="N859">
        <f t="shared" si="121"/>
        <v>0</v>
      </c>
      <c r="O859">
        <f t="shared" si="122"/>
        <v>2180.8500000000004</v>
      </c>
      <c r="P859">
        <f t="shared" si="123"/>
        <v>545.21250000000009</v>
      </c>
      <c r="Q859">
        <f t="shared" si="124"/>
        <v>556.33483500000011</v>
      </c>
      <c r="R859">
        <f t="shared" si="125"/>
        <v>243.04000000000002</v>
      </c>
      <c r="S859">
        <f t="shared" si="118"/>
        <v>3533.2</v>
      </c>
    </row>
    <row r="860" spans="1:19" x14ac:dyDescent="0.25">
      <c r="A860">
        <v>990</v>
      </c>
      <c r="B860">
        <v>1335</v>
      </c>
      <c r="C860" t="s">
        <v>35</v>
      </c>
      <c r="D860" t="s">
        <v>173</v>
      </c>
      <c r="E860">
        <v>24</v>
      </c>
      <c r="F860">
        <v>15.69</v>
      </c>
      <c r="G860">
        <v>2.65</v>
      </c>
      <c r="H860">
        <v>26.58</v>
      </c>
      <c r="I860">
        <v>0.82</v>
      </c>
      <c r="J860">
        <v>81.14</v>
      </c>
      <c r="K860">
        <f t="shared" si="119"/>
        <v>1947.3600000000001</v>
      </c>
      <c r="L860">
        <f t="shared" si="120"/>
        <v>1947.3600000000001</v>
      </c>
      <c r="M860">
        <f t="shared" si="117"/>
        <v>997.8839999999999</v>
      </c>
      <c r="N860">
        <f t="shared" si="121"/>
        <v>249.47099999999998</v>
      </c>
      <c r="O860">
        <f t="shared" si="122"/>
        <v>997.8839999999999</v>
      </c>
      <c r="P860">
        <f t="shared" si="123"/>
        <v>249.47099999999998</v>
      </c>
      <c r="Q860">
        <f t="shared" si="124"/>
        <v>254.56020839999996</v>
      </c>
      <c r="R860">
        <f t="shared" si="125"/>
        <v>523.09439999999995</v>
      </c>
      <c r="S860">
        <f t="shared" si="118"/>
        <v>1947.3600000000001</v>
      </c>
    </row>
    <row r="861" spans="1:19" x14ac:dyDescent="0.25">
      <c r="A861">
        <v>991</v>
      </c>
      <c r="B861">
        <v>1335</v>
      </c>
      <c r="C861" t="s">
        <v>35</v>
      </c>
      <c r="D861" t="s">
        <v>173</v>
      </c>
      <c r="E861">
        <v>19</v>
      </c>
      <c r="F861">
        <v>14.62</v>
      </c>
      <c r="G861">
        <v>2.9</v>
      </c>
      <c r="H861">
        <v>27.84</v>
      </c>
      <c r="I861">
        <v>0.81</v>
      </c>
      <c r="J861">
        <v>83.1</v>
      </c>
      <c r="K861">
        <f t="shared" si="119"/>
        <v>1578.8999999999999</v>
      </c>
      <c r="L861">
        <f t="shared" si="120"/>
        <v>1578.8999999999999</v>
      </c>
      <c r="M861">
        <f t="shared" si="117"/>
        <v>805.56200000000001</v>
      </c>
      <c r="N861">
        <f t="shared" si="121"/>
        <v>201.3905</v>
      </c>
      <c r="O861">
        <f t="shared" si="122"/>
        <v>805.56200000000001</v>
      </c>
      <c r="P861">
        <f t="shared" si="123"/>
        <v>201.3905</v>
      </c>
      <c r="Q861">
        <f t="shared" si="124"/>
        <v>205.49886620000001</v>
      </c>
      <c r="R861">
        <f t="shared" si="125"/>
        <v>428.45760000000001</v>
      </c>
      <c r="S861">
        <f t="shared" si="118"/>
        <v>1578.8999999999999</v>
      </c>
    </row>
    <row r="862" spans="1:19" x14ac:dyDescent="0.25">
      <c r="A862">
        <v>992</v>
      </c>
      <c r="B862">
        <v>1335</v>
      </c>
      <c r="C862" t="s">
        <v>35</v>
      </c>
      <c r="D862" t="s">
        <v>173</v>
      </c>
      <c r="E862">
        <v>13</v>
      </c>
      <c r="F862">
        <v>14.99</v>
      </c>
      <c r="G862">
        <v>3.28</v>
      </c>
      <c r="H862">
        <v>36.96</v>
      </c>
      <c r="I862">
        <v>0.83</v>
      </c>
      <c r="J862">
        <v>101.35</v>
      </c>
      <c r="K862">
        <f t="shared" si="119"/>
        <v>1317.55</v>
      </c>
      <c r="L862">
        <f t="shared" si="120"/>
        <v>1317.55</v>
      </c>
      <c r="M862">
        <f t="shared" si="117"/>
        <v>639.17359999999996</v>
      </c>
      <c r="N862">
        <f t="shared" si="121"/>
        <v>159.79339999999999</v>
      </c>
      <c r="O862">
        <f t="shared" si="122"/>
        <v>639.17359999999996</v>
      </c>
      <c r="P862">
        <f t="shared" si="123"/>
        <v>159.79339999999999</v>
      </c>
      <c r="Q862">
        <f t="shared" si="124"/>
        <v>163.05318535999999</v>
      </c>
      <c r="R862">
        <f t="shared" si="125"/>
        <v>398.79839999999996</v>
      </c>
      <c r="S862">
        <f t="shared" si="118"/>
        <v>1317.55</v>
      </c>
    </row>
    <row r="863" spans="1:19" x14ac:dyDescent="0.25">
      <c r="A863">
        <v>993</v>
      </c>
      <c r="B863">
        <v>1335</v>
      </c>
      <c r="C863" t="s">
        <v>35</v>
      </c>
      <c r="D863" t="s">
        <v>172</v>
      </c>
      <c r="E863">
        <v>15</v>
      </c>
      <c r="F863">
        <v>19.89</v>
      </c>
      <c r="G863">
        <v>11.95</v>
      </c>
      <c r="H863">
        <v>29.64</v>
      </c>
      <c r="I863">
        <v>0.91</v>
      </c>
      <c r="J863">
        <v>385.65</v>
      </c>
      <c r="K863">
        <f t="shared" si="119"/>
        <v>5784.75</v>
      </c>
      <c r="L863">
        <f t="shared" si="120"/>
        <v>0</v>
      </c>
      <c r="M863">
        <f t="shared" si="117"/>
        <v>0</v>
      </c>
      <c r="N863">
        <f t="shared" si="121"/>
        <v>0</v>
      </c>
      <c r="O863">
        <f t="shared" si="122"/>
        <v>3565.2825000000003</v>
      </c>
      <c r="P863">
        <f t="shared" si="123"/>
        <v>891.32062500000006</v>
      </c>
      <c r="Q863">
        <f t="shared" si="124"/>
        <v>909.50356575000001</v>
      </c>
      <c r="R863">
        <f t="shared" si="125"/>
        <v>404.58600000000001</v>
      </c>
      <c r="S863">
        <f t="shared" si="118"/>
        <v>5784.75</v>
      </c>
    </row>
    <row r="864" spans="1:19" x14ac:dyDescent="0.25">
      <c r="A864">
        <v>994</v>
      </c>
      <c r="B864">
        <v>1335</v>
      </c>
      <c r="C864" t="s">
        <v>35</v>
      </c>
      <c r="D864" t="s">
        <v>172</v>
      </c>
      <c r="E864">
        <v>15</v>
      </c>
      <c r="F864">
        <v>21.78</v>
      </c>
      <c r="G864">
        <v>11.27</v>
      </c>
      <c r="H864">
        <v>25.28</v>
      </c>
      <c r="I864">
        <v>0.96</v>
      </c>
      <c r="J864">
        <v>394</v>
      </c>
      <c r="K864">
        <f t="shared" si="119"/>
        <v>5910</v>
      </c>
      <c r="L864">
        <f t="shared" si="120"/>
        <v>0</v>
      </c>
      <c r="M864">
        <f t="shared" si="117"/>
        <v>0</v>
      </c>
      <c r="N864">
        <f t="shared" si="121"/>
        <v>0</v>
      </c>
      <c r="O864">
        <f t="shared" si="122"/>
        <v>3681.9089999999997</v>
      </c>
      <c r="P864">
        <f t="shared" si="123"/>
        <v>920.47724999999991</v>
      </c>
      <c r="Q864">
        <f t="shared" si="124"/>
        <v>939.25498589999984</v>
      </c>
      <c r="R864">
        <f t="shared" si="125"/>
        <v>364.03199999999998</v>
      </c>
      <c r="S864">
        <f t="shared" si="118"/>
        <v>5910</v>
      </c>
    </row>
    <row r="865" spans="1:19" x14ac:dyDescent="0.25">
      <c r="A865">
        <v>995</v>
      </c>
      <c r="B865">
        <v>1335</v>
      </c>
      <c r="C865" t="s">
        <v>35</v>
      </c>
      <c r="D865" t="s">
        <v>173</v>
      </c>
      <c r="E865">
        <v>15</v>
      </c>
      <c r="F865">
        <v>15.03</v>
      </c>
      <c r="G865">
        <v>2.85</v>
      </c>
      <c r="H865">
        <v>31.27</v>
      </c>
      <c r="I865">
        <v>0.8</v>
      </c>
      <c r="J865">
        <v>86.42</v>
      </c>
      <c r="K865">
        <f t="shared" si="119"/>
        <v>1296.3</v>
      </c>
      <c r="L865">
        <f t="shared" si="120"/>
        <v>1296.3</v>
      </c>
      <c r="M865">
        <f t="shared" si="117"/>
        <v>642.53250000000003</v>
      </c>
      <c r="N865">
        <f t="shared" si="121"/>
        <v>160.63312500000001</v>
      </c>
      <c r="O865">
        <f t="shared" si="122"/>
        <v>642.53250000000003</v>
      </c>
      <c r="P865">
        <f t="shared" si="123"/>
        <v>160.63312500000001</v>
      </c>
      <c r="Q865">
        <f t="shared" si="124"/>
        <v>163.91004075000001</v>
      </c>
      <c r="R865">
        <f t="shared" si="125"/>
        <v>375.24</v>
      </c>
      <c r="S865">
        <f t="shared" si="118"/>
        <v>1296.3</v>
      </c>
    </row>
    <row r="866" spans="1:19" x14ac:dyDescent="0.25">
      <c r="A866">
        <v>996</v>
      </c>
      <c r="B866">
        <v>1335</v>
      </c>
      <c r="C866" t="s">
        <v>35</v>
      </c>
      <c r="D866" t="s">
        <v>172</v>
      </c>
      <c r="E866">
        <v>17</v>
      </c>
      <c r="F866">
        <v>20.23</v>
      </c>
      <c r="G866">
        <v>10.72</v>
      </c>
      <c r="H866">
        <v>29.59</v>
      </c>
      <c r="I866">
        <v>1.03</v>
      </c>
      <c r="J866">
        <v>295.83</v>
      </c>
      <c r="K866">
        <f t="shared" si="119"/>
        <v>5029.1099999999997</v>
      </c>
      <c r="L866">
        <f t="shared" si="120"/>
        <v>0</v>
      </c>
      <c r="M866">
        <f t="shared" si="117"/>
        <v>0</v>
      </c>
      <c r="N866">
        <f t="shared" si="121"/>
        <v>0</v>
      </c>
      <c r="O866">
        <f t="shared" si="122"/>
        <v>3686.7152000000001</v>
      </c>
      <c r="P866">
        <f t="shared" si="123"/>
        <v>921.67880000000002</v>
      </c>
      <c r="Q866">
        <f t="shared" si="124"/>
        <v>940.48104751999995</v>
      </c>
      <c r="R866">
        <f t="shared" si="125"/>
        <v>518.12090000000001</v>
      </c>
      <c r="S866">
        <f t="shared" si="118"/>
        <v>5029.1099999999997</v>
      </c>
    </row>
    <row r="867" spans="1:19" x14ac:dyDescent="0.25">
      <c r="A867">
        <v>997</v>
      </c>
      <c r="B867">
        <v>1335</v>
      </c>
      <c r="C867" t="s">
        <v>35</v>
      </c>
      <c r="D867" t="s">
        <v>173</v>
      </c>
      <c r="E867">
        <v>11</v>
      </c>
      <c r="F867">
        <v>14.2</v>
      </c>
      <c r="G867">
        <v>2.82</v>
      </c>
      <c r="H867">
        <v>29.38</v>
      </c>
      <c r="I867">
        <v>0.81</v>
      </c>
      <c r="J867">
        <v>81.239999999999995</v>
      </c>
      <c r="K867">
        <f t="shared" si="119"/>
        <v>893.64</v>
      </c>
      <c r="L867">
        <f t="shared" si="120"/>
        <v>893.64</v>
      </c>
      <c r="M867">
        <f t="shared" si="117"/>
        <v>440.48399999999998</v>
      </c>
      <c r="N867">
        <f t="shared" si="121"/>
        <v>110.121</v>
      </c>
      <c r="O867">
        <f t="shared" si="122"/>
        <v>440.48399999999998</v>
      </c>
      <c r="P867">
        <f t="shared" si="123"/>
        <v>110.121</v>
      </c>
      <c r="Q867">
        <f t="shared" si="124"/>
        <v>112.36746839999999</v>
      </c>
      <c r="R867">
        <f t="shared" si="125"/>
        <v>261.7758</v>
      </c>
      <c r="S867">
        <f t="shared" si="118"/>
        <v>893.64</v>
      </c>
    </row>
    <row r="868" spans="1:19" x14ac:dyDescent="0.25">
      <c r="A868">
        <v>998</v>
      </c>
      <c r="B868">
        <v>1335</v>
      </c>
      <c r="C868" t="s">
        <v>35</v>
      </c>
      <c r="D868" t="s">
        <v>173</v>
      </c>
      <c r="E868">
        <v>16</v>
      </c>
      <c r="F868">
        <v>13.98</v>
      </c>
      <c r="G868">
        <v>2.73</v>
      </c>
      <c r="H868">
        <v>33.46</v>
      </c>
      <c r="I868">
        <v>0.83</v>
      </c>
      <c r="J868">
        <v>83.03</v>
      </c>
      <c r="K868">
        <f t="shared" si="119"/>
        <v>1328.48</v>
      </c>
      <c r="L868">
        <f t="shared" si="120"/>
        <v>1328.48</v>
      </c>
      <c r="M868">
        <f t="shared" si="117"/>
        <v>610.64639999999997</v>
      </c>
      <c r="N868">
        <f t="shared" si="121"/>
        <v>152.66159999999999</v>
      </c>
      <c r="O868">
        <f t="shared" si="122"/>
        <v>610.64639999999997</v>
      </c>
      <c r="P868">
        <f t="shared" si="123"/>
        <v>152.66159999999999</v>
      </c>
      <c r="Q868">
        <f t="shared" si="124"/>
        <v>155.77589663999998</v>
      </c>
      <c r="R868">
        <f t="shared" si="125"/>
        <v>444.34879999999998</v>
      </c>
      <c r="S868">
        <f t="shared" si="118"/>
        <v>1328.48</v>
      </c>
    </row>
    <row r="869" spans="1:19" x14ac:dyDescent="0.25">
      <c r="A869">
        <v>999</v>
      </c>
      <c r="B869">
        <v>1335</v>
      </c>
      <c r="C869" t="s">
        <v>35</v>
      </c>
      <c r="D869" t="s">
        <v>173</v>
      </c>
      <c r="E869">
        <v>17</v>
      </c>
      <c r="F869">
        <v>14.8</v>
      </c>
      <c r="G869">
        <v>2.84</v>
      </c>
      <c r="H869">
        <v>31.33</v>
      </c>
      <c r="I869">
        <v>0.78</v>
      </c>
      <c r="J869">
        <v>84.68</v>
      </c>
      <c r="K869">
        <f t="shared" si="119"/>
        <v>1439.5600000000002</v>
      </c>
      <c r="L869">
        <f t="shared" si="120"/>
        <v>1439.5600000000002</v>
      </c>
      <c r="M869">
        <f t="shared" si="117"/>
        <v>714.5440000000001</v>
      </c>
      <c r="N869">
        <f t="shared" si="121"/>
        <v>178.63600000000002</v>
      </c>
      <c r="O869">
        <f t="shared" si="122"/>
        <v>714.5440000000001</v>
      </c>
      <c r="P869">
        <f t="shared" si="123"/>
        <v>178.63600000000002</v>
      </c>
      <c r="Q869">
        <f t="shared" si="124"/>
        <v>182.28017440000002</v>
      </c>
      <c r="R869">
        <f t="shared" si="125"/>
        <v>415.43579999999997</v>
      </c>
      <c r="S869">
        <f t="shared" si="118"/>
        <v>1439.5600000000002</v>
      </c>
    </row>
    <row r="870" spans="1:19" x14ac:dyDescent="0.25">
      <c r="A870">
        <v>1000</v>
      </c>
      <c r="B870">
        <v>1335</v>
      </c>
      <c r="C870" t="s">
        <v>35</v>
      </c>
      <c r="D870" t="s">
        <v>173</v>
      </c>
      <c r="E870">
        <v>19</v>
      </c>
      <c r="F870">
        <v>14.04</v>
      </c>
      <c r="G870">
        <v>2.63</v>
      </c>
      <c r="H870">
        <v>32.74</v>
      </c>
      <c r="I870">
        <v>0.77</v>
      </c>
      <c r="J870">
        <v>78.5</v>
      </c>
      <c r="K870">
        <f t="shared" si="119"/>
        <v>1491.5</v>
      </c>
      <c r="L870">
        <f t="shared" si="120"/>
        <v>1491.5</v>
      </c>
      <c r="M870">
        <f t="shared" si="117"/>
        <v>701.57879999999989</v>
      </c>
      <c r="N870">
        <f t="shared" si="121"/>
        <v>175.39469999999997</v>
      </c>
      <c r="O870">
        <f t="shared" si="122"/>
        <v>701.57879999999989</v>
      </c>
      <c r="P870">
        <f t="shared" si="123"/>
        <v>175.39469999999997</v>
      </c>
      <c r="Q870">
        <f t="shared" si="124"/>
        <v>178.97275187999998</v>
      </c>
      <c r="R870">
        <f t="shared" si="125"/>
        <v>478.98620000000005</v>
      </c>
      <c r="S870">
        <f t="shared" si="118"/>
        <v>1491.5</v>
      </c>
    </row>
    <row r="871" spans="1:19" x14ac:dyDescent="0.25">
      <c r="A871">
        <v>1001</v>
      </c>
      <c r="B871">
        <v>1335</v>
      </c>
      <c r="C871" t="s">
        <v>35</v>
      </c>
      <c r="D871" t="s">
        <v>173</v>
      </c>
      <c r="E871">
        <v>20</v>
      </c>
      <c r="F871">
        <v>16.8</v>
      </c>
      <c r="G871">
        <v>3.29</v>
      </c>
      <c r="H871">
        <v>32.54</v>
      </c>
      <c r="I871">
        <v>0.82</v>
      </c>
      <c r="J871">
        <v>105.35</v>
      </c>
      <c r="K871">
        <f t="shared" si="119"/>
        <v>2107</v>
      </c>
      <c r="L871">
        <f t="shared" si="120"/>
        <v>2107</v>
      </c>
      <c r="M871">
        <f t="shared" si="117"/>
        <v>1105.44</v>
      </c>
      <c r="N871">
        <f t="shared" si="121"/>
        <v>276.36</v>
      </c>
      <c r="O871">
        <f t="shared" si="122"/>
        <v>1105.44</v>
      </c>
      <c r="P871">
        <f t="shared" si="123"/>
        <v>276.36</v>
      </c>
      <c r="Q871">
        <f t="shared" si="124"/>
        <v>281.99774400000001</v>
      </c>
      <c r="R871">
        <f t="shared" si="125"/>
        <v>533.65599999999995</v>
      </c>
      <c r="S871">
        <f t="shared" si="118"/>
        <v>2107</v>
      </c>
    </row>
    <row r="872" spans="1:19" x14ac:dyDescent="0.25">
      <c r="A872">
        <v>1002</v>
      </c>
      <c r="B872">
        <v>1335</v>
      </c>
      <c r="C872" t="s">
        <v>35</v>
      </c>
      <c r="D872" t="s">
        <v>173</v>
      </c>
      <c r="E872">
        <v>14</v>
      </c>
      <c r="F872">
        <v>14.23</v>
      </c>
      <c r="G872">
        <v>2.97</v>
      </c>
      <c r="H872">
        <v>31.4</v>
      </c>
      <c r="I872">
        <v>0.82</v>
      </c>
      <c r="J872">
        <v>86.43</v>
      </c>
      <c r="K872">
        <f t="shared" si="119"/>
        <v>1210.02</v>
      </c>
      <c r="L872">
        <f t="shared" si="120"/>
        <v>1210.02</v>
      </c>
      <c r="M872">
        <f t="shared" si="117"/>
        <v>591.68340000000012</v>
      </c>
      <c r="N872">
        <f t="shared" si="121"/>
        <v>147.92085000000003</v>
      </c>
      <c r="O872">
        <f t="shared" si="122"/>
        <v>591.68340000000012</v>
      </c>
      <c r="P872">
        <f t="shared" si="123"/>
        <v>147.92085000000003</v>
      </c>
      <c r="Q872">
        <f t="shared" si="124"/>
        <v>150.93843534000004</v>
      </c>
      <c r="R872">
        <f t="shared" si="125"/>
        <v>360.47199999999992</v>
      </c>
      <c r="S872">
        <f t="shared" si="118"/>
        <v>1210.02</v>
      </c>
    </row>
    <row r="873" spans="1:19" x14ac:dyDescent="0.25">
      <c r="A873">
        <v>1003</v>
      </c>
      <c r="B873">
        <v>1335</v>
      </c>
      <c r="C873" t="s">
        <v>35</v>
      </c>
      <c r="D873" t="s">
        <v>172</v>
      </c>
      <c r="E873">
        <v>15</v>
      </c>
      <c r="F873">
        <v>20.66</v>
      </c>
      <c r="G873">
        <v>10.46</v>
      </c>
      <c r="H873">
        <v>29.35</v>
      </c>
      <c r="I873">
        <v>0.98</v>
      </c>
      <c r="J873">
        <v>355.68</v>
      </c>
      <c r="K873">
        <f t="shared" si="119"/>
        <v>5335.2</v>
      </c>
      <c r="L873">
        <f t="shared" si="120"/>
        <v>0</v>
      </c>
      <c r="M873">
        <f t="shared" si="117"/>
        <v>0</v>
      </c>
      <c r="N873">
        <f t="shared" si="121"/>
        <v>0</v>
      </c>
      <c r="O873">
        <f t="shared" si="122"/>
        <v>3241.5540000000001</v>
      </c>
      <c r="P873">
        <f t="shared" si="123"/>
        <v>810.38850000000002</v>
      </c>
      <c r="Q873">
        <f t="shared" si="124"/>
        <v>826.9204254</v>
      </c>
      <c r="R873">
        <f t="shared" si="125"/>
        <v>431.44499999999999</v>
      </c>
      <c r="S873">
        <f t="shared" si="118"/>
        <v>5335.2</v>
      </c>
    </row>
    <row r="874" spans="1:19" x14ac:dyDescent="0.25">
      <c r="A874">
        <v>1004</v>
      </c>
      <c r="B874">
        <v>1335</v>
      </c>
      <c r="C874" t="s">
        <v>35</v>
      </c>
      <c r="D874" t="s">
        <v>173</v>
      </c>
      <c r="E874">
        <v>13</v>
      </c>
      <c r="F874">
        <v>15.88</v>
      </c>
      <c r="G874">
        <v>3.34</v>
      </c>
      <c r="H874">
        <v>33.28</v>
      </c>
      <c r="I874">
        <v>0.82</v>
      </c>
      <c r="J874">
        <v>102.95</v>
      </c>
      <c r="K874">
        <f t="shared" si="119"/>
        <v>1338.3500000000001</v>
      </c>
      <c r="L874">
        <f t="shared" si="120"/>
        <v>1338.3500000000001</v>
      </c>
      <c r="M874">
        <f t="shared" si="117"/>
        <v>689.50960000000009</v>
      </c>
      <c r="N874">
        <f t="shared" si="121"/>
        <v>172.37740000000002</v>
      </c>
      <c r="O874">
        <f t="shared" si="122"/>
        <v>689.50960000000009</v>
      </c>
      <c r="P874">
        <f t="shared" si="123"/>
        <v>172.37740000000002</v>
      </c>
      <c r="Q874">
        <f t="shared" si="124"/>
        <v>175.89389896000003</v>
      </c>
      <c r="R874">
        <f t="shared" si="125"/>
        <v>354.76480000000004</v>
      </c>
      <c r="S874">
        <f t="shared" si="118"/>
        <v>1338.3500000000001</v>
      </c>
    </row>
    <row r="875" spans="1:19" x14ac:dyDescent="0.25">
      <c r="A875">
        <v>1005</v>
      </c>
      <c r="B875">
        <v>1335</v>
      </c>
      <c r="C875" t="s">
        <v>35</v>
      </c>
      <c r="D875" t="s">
        <v>173</v>
      </c>
      <c r="E875">
        <v>16</v>
      </c>
      <c r="F875">
        <v>15.14</v>
      </c>
      <c r="G875">
        <v>2.8</v>
      </c>
      <c r="H875">
        <v>28.66</v>
      </c>
      <c r="I875">
        <v>0.81</v>
      </c>
      <c r="J875">
        <v>83.82</v>
      </c>
      <c r="K875">
        <f t="shared" si="119"/>
        <v>1341.12</v>
      </c>
      <c r="L875">
        <f t="shared" si="120"/>
        <v>1341.12</v>
      </c>
      <c r="M875">
        <f t="shared" si="117"/>
        <v>678.27199999999993</v>
      </c>
      <c r="N875">
        <f t="shared" si="121"/>
        <v>169.56799999999998</v>
      </c>
      <c r="O875">
        <f t="shared" si="122"/>
        <v>678.27199999999993</v>
      </c>
      <c r="P875">
        <f t="shared" si="123"/>
        <v>169.56799999999998</v>
      </c>
      <c r="Q875">
        <f t="shared" si="124"/>
        <v>173.02718719999999</v>
      </c>
      <c r="R875">
        <f t="shared" si="125"/>
        <v>371.43360000000001</v>
      </c>
      <c r="S875">
        <f t="shared" si="118"/>
        <v>1341.12</v>
      </c>
    </row>
    <row r="876" spans="1:19" x14ac:dyDescent="0.25">
      <c r="A876">
        <v>1006</v>
      </c>
      <c r="B876">
        <v>1335</v>
      </c>
      <c r="C876" t="s">
        <v>35</v>
      </c>
      <c r="D876" t="s">
        <v>172</v>
      </c>
      <c r="E876">
        <v>10</v>
      </c>
      <c r="F876">
        <v>20.100000000000001</v>
      </c>
      <c r="G876">
        <v>11.34</v>
      </c>
      <c r="H876">
        <v>35</v>
      </c>
      <c r="I876">
        <v>0.99</v>
      </c>
      <c r="J876">
        <v>380.29</v>
      </c>
      <c r="K876">
        <f t="shared" si="119"/>
        <v>3802.9</v>
      </c>
      <c r="L876">
        <f t="shared" si="120"/>
        <v>0</v>
      </c>
      <c r="M876">
        <f t="shared" si="117"/>
        <v>0</v>
      </c>
      <c r="N876">
        <f t="shared" si="121"/>
        <v>0</v>
      </c>
      <c r="O876">
        <f t="shared" si="122"/>
        <v>2279.34</v>
      </c>
      <c r="P876">
        <f t="shared" si="123"/>
        <v>569.83500000000004</v>
      </c>
      <c r="Q876">
        <f t="shared" si="124"/>
        <v>581.45963400000005</v>
      </c>
      <c r="R876">
        <f t="shared" si="125"/>
        <v>346.5</v>
      </c>
      <c r="S876">
        <f t="shared" si="118"/>
        <v>3802.9</v>
      </c>
    </row>
    <row r="877" spans="1:19" x14ac:dyDescent="0.25">
      <c r="A877">
        <v>1007</v>
      </c>
      <c r="B877">
        <v>1335</v>
      </c>
      <c r="C877" t="s">
        <v>35</v>
      </c>
      <c r="D877" t="s">
        <v>173</v>
      </c>
      <c r="E877">
        <v>11</v>
      </c>
      <c r="F877">
        <v>14.99</v>
      </c>
      <c r="G877">
        <v>2.61</v>
      </c>
      <c r="H877">
        <v>30.54</v>
      </c>
      <c r="I877">
        <v>0.8</v>
      </c>
      <c r="J877">
        <v>71.87</v>
      </c>
      <c r="K877">
        <f t="shared" si="119"/>
        <v>790.57</v>
      </c>
      <c r="L877">
        <f t="shared" si="120"/>
        <v>790.57</v>
      </c>
      <c r="M877">
        <f t="shared" si="117"/>
        <v>430.36289999999997</v>
      </c>
      <c r="N877">
        <f t="shared" si="121"/>
        <v>107.59072499999999</v>
      </c>
      <c r="O877">
        <f t="shared" si="122"/>
        <v>430.36289999999997</v>
      </c>
      <c r="P877">
        <f t="shared" si="123"/>
        <v>107.59072499999999</v>
      </c>
      <c r="Q877">
        <f t="shared" si="124"/>
        <v>109.78557579</v>
      </c>
      <c r="R877">
        <f t="shared" si="125"/>
        <v>268.75200000000001</v>
      </c>
      <c r="S877">
        <f t="shared" si="118"/>
        <v>790.57</v>
      </c>
    </row>
    <row r="878" spans="1:19" x14ac:dyDescent="0.25">
      <c r="A878">
        <v>1008</v>
      </c>
      <c r="B878">
        <v>1335</v>
      </c>
      <c r="C878" t="s">
        <v>35</v>
      </c>
      <c r="D878" t="s">
        <v>172</v>
      </c>
      <c r="E878">
        <v>13</v>
      </c>
      <c r="F878">
        <v>19.309999999999999</v>
      </c>
      <c r="G878">
        <v>10.71</v>
      </c>
      <c r="H878">
        <v>28.33</v>
      </c>
      <c r="I878">
        <v>1.01</v>
      </c>
      <c r="J878">
        <v>341.68</v>
      </c>
      <c r="K878">
        <f t="shared" si="119"/>
        <v>4441.84</v>
      </c>
      <c r="L878">
        <f t="shared" si="120"/>
        <v>0</v>
      </c>
      <c r="M878">
        <f t="shared" si="117"/>
        <v>0</v>
      </c>
      <c r="N878">
        <f t="shared" si="121"/>
        <v>0</v>
      </c>
      <c r="O878">
        <f t="shared" si="122"/>
        <v>2688.5313000000001</v>
      </c>
      <c r="P878">
        <f t="shared" si="123"/>
        <v>672.13282500000003</v>
      </c>
      <c r="Q878">
        <f t="shared" si="124"/>
        <v>685.84433463000005</v>
      </c>
      <c r="R878">
        <f t="shared" si="125"/>
        <v>371.97289999999998</v>
      </c>
      <c r="S878">
        <f t="shared" si="118"/>
        <v>4441.84</v>
      </c>
    </row>
    <row r="879" spans="1:19" x14ac:dyDescent="0.25">
      <c r="A879">
        <v>1009</v>
      </c>
      <c r="B879">
        <v>1335</v>
      </c>
      <c r="C879" t="s">
        <v>35</v>
      </c>
      <c r="D879" t="s">
        <v>172</v>
      </c>
      <c r="E879">
        <v>12</v>
      </c>
      <c r="F879">
        <v>19.170000000000002</v>
      </c>
      <c r="G879">
        <v>10.95</v>
      </c>
      <c r="H879">
        <v>31.76</v>
      </c>
      <c r="I879">
        <v>1.03</v>
      </c>
      <c r="J879">
        <v>351.17</v>
      </c>
      <c r="K879">
        <f t="shared" si="119"/>
        <v>4214.04</v>
      </c>
      <c r="L879">
        <f t="shared" si="120"/>
        <v>0</v>
      </c>
      <c r="M879">
        <f t="shared" si="117"/>
        <v>0</v>
      </c>
      <c r="N879">
        <f t="shared" si="121"/>
        <v>0</v>
      </c>
      <c r="O879">
        <f t="shared" si="122"/>
        <v>2518.9379999999996</v>
      </c>
      <c r="P879">
        <f t="shared" si="123"/>
        <v>629.73449999999991</v>
      </c>
      <c r="Q879">
        <f t="shared" si="124"/>
        <v>642.58108379999987</v>
      </c>
      <c r="R879">
        <f t="shared" si="125"/>
        <v>392.55360000000002</v>
      </c>
      <c r="S879">
        <f t="shared" si="118"/>
        <v>4214.04</v>
      </c>
    </row>
    <row r="880" spans="1:19" x14ac:dyDescent="0.25">
      <c r="A880">
        <v>1010</v>
      </c>
      <c r="B880">
        <v>1335</v>
      </c>
      <c r="C880" t="s">
        <v>35</v>
      </c>
      <c r="D880" t="s">
        <v>172</v>
      </c>
      <c r="E880">
        <v>43</v>
      </c>
      <c r="F880">
        <v>19.600000000000001</v>
      </c>
      <c r="G880">
        <v>10.43</v>
      </c>
      <c r="H880">
        <v>35.799999999999997</v>
      </c>
      <c r="I880">
        <v>0.96</v>
      </c>
      <c r="J880">
        <v>344.98</v>
      </c>
      <c r="K880">
        <f t="shared" si="119"/>
        <v>14834.140000000001</v>
      </c>
      <c r="L880">
        <f t="shared" si="120"/>
        <v>0</v>
      </c>
      <c r="M880">
        <f t="shared" si="117"/>
        <v>0</v>
      </c>
      <c r="N880">
        <f t="shared" si="121"/>
        <v>0</v>
      </c>
      <c r="O880">
        <f t="shared" si="122"/>
        <v>8790.4040000000005</v>
      </c>
      <c r="P880">
        <f t="shared" si="123"/>
        <v>2197.6010000000001</v>
      </c>
      <c r="Q880">
        <f t="shared" si="124"/>
        <v>2242.4320604</v>
      </c>
      <c r="R880">
        <f t="shared" si="125"/>
        <v>1477.8239999999998</v>
      </c>
      <c r="S880">
        <f t="shared" si="118"/>
        <v>14834.140000000001</v>
      </c>
    </row>
    <row r="881" spans="1:19" x14ac:dyDescent="0.25">
      <c r="A881">
        <v>1011</v>
      </c>
      <c r="B881">
        <v>1335</v>
      </c>
      <c r="C881" t="s">
        <v>35</v>
      </c>
      <c r="D881" t="s">
        <v>173</v>
      </c>
      <c r="E881">
        <v>14</v>
      </c>
      <c r="F881">
        <v>15.81</v>
      </c>
      <c r="G881">
        <v>2.91</v>
      </c>
      <c r="H881">
        <v>28.18</v>
      </c>
      <c r="I881">
        <v>0.81</v>
      </c>
      <c r="J881">
        <v>88.37</v>
      </c>
      <c r="K881">
        <f t="shared" si="119"/>
        <v>1237.18</v>
      </c>
      <c r="L881">
        <f t="shared" si="120"/>
        <v>1237.18</v>
      </c>
      <c r="M881">
        <f t="shared" si="117"/>
        <v>644.09940000000006</v>
      </c>
      <c r="N881">
        <f t="shared" si="121"/>
        <v>161.02485000000001</v>
      </c>
      <c r="O881">
        <f t="shared" si="122"/>
        <v>644.09940000000006</v>
      </c>
      <c r="P881">
        <f t="shared" si="123"/>
        <v>161.02485000000001</v>
      </c>
      <c r="Q881">
        <f t="shared" si="124"/>
        <v>164.30975694</v>
      </c>
      <c r="R881">
        <f t="shared" si="125"/>
        <v>319.56119999999999</v>
      </c>
      <c r="S881">
        <f t="shared" si="118"/>
        <v>1237.18</v>
      </c>
    </row>
    <row r="882" spans="1:19" x14ac:dyDescent="0.25">
      <c r="A882">
        <v>1012</v>
      </c>
      <c r="B882">
        <v>1336</v>
      </c>
      <c r="C882" t="s">
        <v>33</v>
      </c>
      <c r="D882" t="s">
        <v>172</v>
      </c>
      <c r="E882">
        <v>11</v>
      </c>
      <c r="F882">
        <v>19.22</v>
      </c>
      <c r="G882">
        <v>10.15</v>
      </c>
      <c r="H882">
        <v>31.91</v>
      </c>
      <c r="I882">
        <v>0.97</v>
      </c>
      <c r="J882">
        <v>327.02</v>
      </c>
      <c r="K882">
        <f t="shared" si="119"/>
        <v>3597.22</v>
      </c>
      <c r="L882">
        <f t="shared" si="120"/>
        <v>0</v>
      </c>
      <c r="M882">
        <f t="shared" si="117"/>
        <v>0</v>
      </c>
      <c r="N882">
        <f t="shared" si="121"/>
        <v>0</v>
      </c>
      <c r="O882">
        <f t="shared" si="122"/>
        <v>2145.913</v>
      </c>
      <c r="P882">
        <f t="shared" si="123"/>
        <v>536.47825</v>
      </c>
      <c r="Q882">
        <f t="shared" si="124"/>
        <v>547.42240630000003</v>
      </c>
      <c r="R882">
        <f t="shared" si="125"/>
        <v>340.47969999999998</v>
      </c>
      <c r="S882">
        <f t="shared" si="118"/>
        <v>3597.22</v>
      </c>
    </row>
    <row r="883" spans="1:19" x14ac:dyDescent="0.25">
      <c r="A883">
        <v>1013</v>
      </c>
      <c r="B883">
        <v>1336</v>
      </c>
      <c r="C883" t="s">
        <v>33</v>
      </c>
      <c r="D883" t="s">
        <v>173</v>
      </c>
      <c r="E883">
        <v>12</v>
      </c>
      <c r="F883">
        <v>16.649999999999999</v>
      </c>
      <c r="G883">
        <v>2.98</v>
      </c>
      <c r="H883">
        <v>33.82</v>
      </c>
      <c r="I883">
        <v>0.78</v>
      </c>
      <c r="J883">
        <v>97.24</v>
      </c>
      <c r="K883">
        <f t="shared" si="119"/>
        <v>1166.8799999999999</v>
      </c>
      <c r="L883">
        <f t="shared" si="120"/>
        <v>1166.8799999999999</v>
      </c>
      <c r="M883">
        <f t="shared" si="117"/>
        <v>595.40399999999988</v>
      </c>
      <c r="N883">
        <f t="shared" si="121"/>
        <v>148.85099999999997</v>
      </c>
      <c r="O883">
        <f t="shared" si="122"/>
        <v>595.40399999999988</v>
      </c>
      <c r="P883">
        <f t="shared" si="123"/>
        <v>148.85099999999997</v>
      </c>
      <c r="Q883">
        <f t="shared" si="124"/>
        <v>151.88756039999996</v>
      </c>
      <c r="R883">
        <f t="shared" si="125"/>
        <v>316.55519999999996</v>
      </c>
      <c r="S883">
        <f t="shared" si="118"/>
        <v>1166.8799999999999</v>
      </c>
    </row>
    <row r="884" spans="1:19" x14ac:dyDescent="0.25">
      <c r="A884">
        <v>1014</v>
      </c>
      <c r="B884">
        <v>1336</v>
      </c>
      <c r="C884" t="s">
        <v>33</v>
      </c>
      <c r="D884" t="s">
        <v>173</v>
      </c>
      <c r="E884">
        <v>15</v>
      </c>
      <c r="F884">
        <v>14.08</v>
      </c>
      <c r="G884">
        <v>3.04</v>
      </c>
      <c r="H884">
        <v>28.26</v>
      </c>
      <c r="I884">
        <v>0.77</v>
      </c>
      <c r="J884">
        <v>82.79</v>
      </c>
      <c r="K884">
        <f t="shared" si="119"/>
        <v>1241.8500000000001</v>
      </c>
      <c r="L884">
        <f t="shared" si="120"/>
        <v>1241.8500000000001</v>
      </c>
      <c r="M884">
        <f t="shared" si="117"/>
        <v>642.048</v>
      </c>
      <c r="N884">
        <f t="shared" si="121"/>
        <v>160.512</v>
      </c>
      <c r="O884">
        <f t="shared" si="122"/>
        <v>642.048</v>
      </c>
      <c r="P884">
        <f t="shared" si="123"/>
        <v>160.512</v>
      </c>
      <c r="Q884">
        <f t="shared" si="124"/>
        <v>163.7864448</v>
      </c>
      <c r="R884">
        <f t="shared" si="125"/>
        <v>326.40300000000002</v>
      </c>
      <c r="S884">
        <f t="shared" si="118"/>
        <v>1241.8500000000001</v>
      </c>
    </row>
    <row r="885" spans="1:19" x14ac:dyDescent="0.25">
      <c r="A885">
        <v>1015</v>
      </c>
      <c r="B885">
        <v>1336</v>
      </c>
      <c r="C885" t="s">
        <v>33</v>
      </c>
      <c r="D885" t="s">
        <v>173</v>
      </c>
      <c r="E885">
        <v>12</v>
      </c>
      <c r="F885">
        <v>15</v>
      </c>
      <c r="G885">
        <v>2.88</v>
      </c>
      <c r="H885">
        <v>32.69</v>
      </c>
      <c r="I885">
        <v>0.81</v>
      </c>
      <c r="J885">
        <v>88.53</v>
      </c>
      <c r="K885">
        <f t="shared" si="119"/>
        <v>1062.3600000000001</v>
      </c>
      <c r="L885">
        <f t="shared" si="120"/>
        <v>1062.3600000000001</v>
      </c>
      <c r="M885">
        <f t="shared" si="117"/>
        <v>518.40000000000009</v>
      </c>
      <c r="N885">
        <f t="shared" si="121"/>
        <v>129.60000000000002</v>
      </c>
      <c r="O885">
        <f t="shared" si="122"/>
        <v>518.40000000000009</v>
      </c>
      <c r="P885">
        <f t="shared" si="123"/>
        <v>129.60000000000002</v>
      </c>
      <c r="Q885">
        <f t="shared" si="124"/>
        <v>132.24384000000001</v>
      </c>
      <c r="R885">
        <f t="shared" si="125"/>
        <v>317.74680000000001</v>
      </c>
      <c r="S885">
        <f t="shared" si="118"/>
        <v>1062.3600000000001</v>
      </c>
    </row>
    <row r="886" spans="1:19" x14ac:dyDescent="0.25">
      <c r="A886">
        <v>1016</v>
      </c>
      <c r="B886">
        <v>1336</v>
      </c>
      <c r="C886" t="s">
        <v>33</v>
      </c>
      <c r="D886" t="s">
        <v>173</v>
      </c>
      <c r="E886">
        <v>12</v>
      </c>
      <c r="F886">
        <v>14.72</v>
      </c>
      <c r="G886">
        <v>3.1</v>
      </c>
      <c r="H886">
        <v>33.36</v>
      </c>
      <c r="I886">
        <v>0.79</v>
      </c>
      <c r="J886">
        <v>82.56</v>
      </c>
      <c r="K886">
        <f t="shared" si="119"/>
        <v>990.72</v>
      </c>
      <c r="L886">
        <f t="shared" si="120"/>
        <v>990.72</v>
      </c>
      <c r="M886">
        <f t="shared" si="117"/>
        <v>547.58400000000006</v>
      </c>
      <c r="N886">
        <f t="shared" si="121"/>
        <v>136.89600000000002</v>
      </c>
      <c r="O886">
        <f t="shared" si="122"/>
        <v>547.58400000000006</v>
      </c>
      <c r="P886">
        <f t="shared" si="123"/>
        <v>136.89600000000002</v>
      </c>
      <c r="Q886">
        <f t="shared" si="124"/>
        <v>139.68867840000001</v>
      </c>
      <c r="R886">
        <f t="shared" si="125"/>
        <v>316.25280000000004</v>
      </c>
      <c r="S886">
        <f t="shared" si="118"/>
        <v>990.72</v>
      </c>
    </row>
    <row r="887" spans="1:19" x14ac:dyDescent="0.25">
      <c r="A887">
        <v>1017</v>
      </c>
      <c r="B887">
        <v>1336</v>
      </c>
      <c r="C887" t="s">
        <v>33</v>
      </c>
      <c r="D887" t="s">
        <v>173</v>
      </c>
      <c r="E887">
        <v>26</v>
      </c>
      <c r="F887">
        <v>15.15</v>
      </c>
      <c r="G887">
        <v>2.93</v>
      </c>
      <c r="H887">
        <v>24.68</v>
      </c>
      <c r="I887">
        <v>0.81</v>
      </c>
      <c r="J887">
        <v>83.03</v>
      </c>
      <c r="K887">
        <f t="shared" si="119"/>
        <v>2158.7800000000002</v>
      </c>
      <c r="L887">
        <f t="shared" si="120"/>
        <v>2158.7800000000002</v>
      </c>
      <c r="M887">
        <f t="shared" si="117"/>
        <v>1154.1270000000002</v>
      </c>
      <c r="N887">
        <f t="shared" si="121"/>
        <v>288.53175000000005</v>
      </c>
      <c r="O887">
        <f t="shared" si="122"/>
        <v>1154.1270000000002</v>
      </c>
      <c r="P887">
        <f t="shared" si="123"/>
        <v>288.53175000000005</v>
      </c>
      <c r="Q887">
        <f t="shared" si="124"/>
        <v>294.41779770000005</v>
      </c>
      <c r="R887">
        <f t="shared" si="125"/>
        <v>519.76080000000002</v>
      </c>
      <c r="S887">
        <f t="shared" si="118"/>
        <v>2158.7800000000002</v>
      </c>
    </row>
    <row r="888" spans="1:19" x14ac:dyDescent="0.25">
      <c r="A888">
        <v>1018</v>
      </c>
      <c r="B888">
        <v>1336</v>
      </c>
      <c r="C888" t="s">
        <v>33</v>
      </c>
      <c r="D888" t="s">
        <v>172</v>
      </c>
      <c r="E888">
        <v>16</v>
      </c>
      <c r="F888">
        <v>19.079999999999998</v>
      </c>
      <c r="G888">
        <v>11.88</v>
      </c>
      <c r="H888">
        <v>29.15</v>
      </c>
      <c r="I888">
        <v>0.98</v>
      </c>
      <c r="J888">
        <v>371.17</v>
      </c>
      <c r="K888">
        <f t="shared" si="119"/>
        <v>5938.72</v>
      </c>
      <c r="L888">
        <f t="shared" si="120"/>
        <v>0</v>
      </c>
      <c r="M888">
        <f t="shared" si="117"/>
        <v>0</v>
      </c>
      <c r="N888">
        <f t="shared" si="121"/>
        <v>0</v>
      </c>
      <c r="O888">
        <f t="shared" si="122"/>
        <v>3626.7264</v>
      </c>
      <c r="P888">
        <f t="shared" si="123"/>
        <v>906.6816</v>
      </c>
      <c r="Q888">
        <f t="shared" si="124"/>
        <v>925.17790463999995</v>
      </c>
      <c r="R888">
        <f t="shared" si="125"/>
        <v>457.07199999999995</v>
      </c>
      <c r="S888">
        <f t="shared" si="118"/>
        <v>5938.72</v>
      </c>
    </row>
    <row r="889" spans="1:19" x14ac:dyDescent="0.25">
      <c r="A889">
        <v>1019</v>
      </c>
      <c r="B889">
        <v>1336</v>
      </c>
      <c r="C889" t="s">
        <v>33</v>
      </c>
      <c r="D889" t="s">
        <v>172</v>
      </c>
      <c r="E889">
        <v>13</v>
      </c>
      <c r="F889">
        <v>18.739999999999998</v>
      </c>
      <c r="G889">
        <v>10.39</v>
      </c>
      <c r="H889">
        <v>30.54</v>
      </c>
      <c r="I889">
        <v>1.1100000000000001</v>
      </c>
      <c r="J889">
        <v>329.97</v>
      </c>
      <c r="K889">
        <f t="shared" si="119"/>
        <v>4289.6100000000006</v>
      </c>
      <c r="L889">
        <f t="shared" si="120"/>
        <v>0</v>
      </c>
      <c r="M889">
        <f t="shared" si="117"/>
        <v>0</v>
      </c>
      <c r="N889">
        <f t="shared" si="121"/>
        <v>0</v>
      </c>
      <c r="O889">
        <f t="shared" si="122"/>
        <v>2531.2117999999996</v>
      </c>
      <c r="P889">
        <f t="shared" si="123"/>
        <v>632.8029499999999</v>
      </c>
      <c r="Q889">
        <f t="shared" si="124"/>
        <v>645.71213017999992</v>
      </c>
      <c r="R889">
        <f t="shared" si="125"/>
        <v>440.69220000000001</v>
      </c>
      <c r="S889">
        <f t="shared" si="118"/>
        <v>4289.6100000000006</v>
      </c>
    </row>
    <row r="890" spans="1:19" x14ac:dyDescent="0.25">
      <c r="A890">
        <v>1020</v>
      </c>
      <c r="B890">
        <v>1337</v>
      </c>
      <c r="C890" t="s">
        <v>33</v>
      </c>
      <c r="D890" t="s">
        <v>173</v>
      </c>
      <c r="E890">
        <v>10</v>
      </c>
      <c r="F890">
        <v>16.12</v>
      </c>
      <c r="G890">
        <v>2.79</v>
      </c>
      <c r="H890">
        <v>30.43</v>
      </c>
      <c r="I890">
        <v>0.78</v>
      </c>
      <c r="J890">
        <v>87.95</v>
      </c>
      <c r="K890">
        <f t="shared" si="119"/>
        <v>879.5</v>
      </c>
      <c r="L890">
        <f t="shared" si="120"/>
        <v>879.5</v>
      </c>
      <c r="M890">
        <f t="shared" si="117"/>
        <v>449.74799999999999</v>
      </c>
      <c r="N890">
        <f t="shared" si="121"/>
        <v>112.437</v>
      </c>
      <c r="O890">
        <f t="shared" si="122"/>
        <v>449.74799999999999</v>
      </c>
      <c r="P890">
        <f t="shared" si="123"/>
        <v>112.437</v>
      </c>
      <c r="Q890">
        <f t="shared" si="124"/>
        <v>114.7307148</v>
      </c>
      <c r="R890">
        <f t="shared" si="125"/>
        <v>237.35400000000001</v>
      </c>
      <c r="S890">
        <f t="shared" si="118"/>
        <v>879.5</v>
      </c>
    </row>
    <row r="891" spans="1:19" x14ac:dyDescent="0.25">
      <c r="A891">
        <v>1021</v>
      </c>
      <c r="B891">
        <v>1337</v>
      </c>
      <c r="C891" t="s">
        <v>33</v>
      </c>
      <c r="D891" t="s">
        <v>172</v>
      </c>
      <c r="E891">
        <v>13</v>
      </c>
      <c r="F891">
        <v>21.8</v>
      </c>
      <c r="G891">
        <v>10.79</v>
      </c>
      <c r="H891">
        <v>32.14</v>
      </c>
      <c r="I891">
        <v>0.94</v>
      </c>
      <c r="J891">
        <v>385.84</v>
      </c>
      <c r="K891">
        <f t="shared" si="119"/>
        <v>5015.92</v>
      </c>
      <c r="L891">
        <f t="shared" si="120"/>
        <v>0</v>
      </c>
      <c r="M891">
        <f t="shared" si="117"/>
        <v>0</v>
      </c>
      <c r="N891">
        <f t="shared" si="121"/>
        <v>0</v>
      </c>
      <c r="O891">
        <f t="shared" si="122"/>
        <v>3057.8859999999995</v>
      </c>
      <c r="P891">
        <f t="shared" si="123"/>
        <v>764.47149999999988</v>
      </c>
      <c r="Q891">
        <f t="shared" si="124"/>
        <v>780.06671859999983</v>
      </c>
      <c r="R891">
        <f t="shared" si="125"/>
        <v>392.75079999999997</v>
      </c>
      <c r="S891">
        <f t="shared" si="118"/>
        <v>5015.92</v>
      </c>
    </row>
    <row r="892" spans="1:19" x14ac:dyDescent="0.25">
      <c r="A892">
        <v>1022</v>
      </c>
      <c r="B892">
        <v>1337</v>
      </c>
      <c r="C892" t="s">
        <v>33</v>
      </c>
      <c r="D892" t="s">
        <v>172</v>
      </c>
      <c r="E892">
        <v>69</v>
      </c>
      <c r="F892">
        <v>19.47</v>
      </c>
      <c r="G892">
        <v>10.68</v>
      </c>
      <c r="H892">
        <v>31.13</v>
      </c>
      <c r="I892">
        <v>1.01</v>
      </c>
      <c r="J892">
        <v>346.73</v>
      </c>
      <c r="K892">
        <f t="shared" si="119"/>
        <v>23924.370000000003</v>
      </c>
      <c r="L892">
        <f t="shared" si="120"/>
        <v>0</v>
      </c>
      <c r="M892">
        <f t="shared" si="117"/>
        <v>0</v>
      </c>
      <c r="N892">
        <f t="shared" si="121"/>
        <v>0</v>
      </c>
      <c r="O892">
        <f t="shared" si="122"/>
        <v>14347.832399999998</v>
      </c>
      <c r="P892">
        <f t="shared" si="123"/>
        <v>3586.9580999999994</v>
      </c>
      <c r="Q892">
        <f t="shared" si="124"/>
        <v>3660.1320452399991</v>
      </c>
      <c r="R892">
        <f t="shared" si="125"/>
        <v>2169.4496999999997</v>
      </c>
      <c r="S892">
        <f t="shared" si="118"/>
        <v>23924.370000000003</v>
      </c>
    </row>
    <row r="893" spans="1:19" x14ac:dyDescent="0.25">
      <c r="A893">
        <v>1023</v>
      </c>
      <c r="B893">
        <v>1337</v>
      </c>
      <c r="C893" t="s">
        <v>33</v>
      </c>
      <c r="D893" t="s">
        <v>172</v>
      </c>
      <c r="E893">
        <v>12</v>
      </c>
      <c r="F893">
        <v>18.22</v>
      </c>
      <c r="G893">
        <v>12.4</v>
      </c>
      <c r="H893">
        <v>33.93</v>
      </c>
      <c r="I893">
        <v>0.99</v>
      </c>
      <c r="J893">
        <v>376.04</v>
      </c>
      <c r="K893">
        <f t="shared" si="119"/>
        <v>4512.4800000000005</v>
      </c>
      <c r="L893">
        <f t="shared" si="120"/>
        <v>0</v>
      </c>
      <c r="M893">
        <f t="shared" si="117"/>
        <v>0</v>
      </c>
      <c r="N893">
        <f t="shared" si="121"/>
        <v>0</v>
      </c>
      <c r="O893">
        <f t="shared" si="122"/>
        <v>2711.136</v>
      </c>
      <c r="P893">
        <f t="shared" si="123"/>
        <v>677.78399999999999</v>
      </c>
      <c r="Q893">
        <f t="shared" si="124"/>
        <v>691.61079359999997</v>
      </c>
      <c r="R893">
        <f t="shared" si="125"/>
        <v>403.08839999999998</v>
      </c>
      <c r="S893">
        <f t="shared" si="118"/>
        <v>4512.4800000000005</v>
      </c>
    </row>
    <row r="894" spans="1:19" x14ac:dyDescent="0.25">
      <c r="A894">
        <v>1024</v>
      </c>
      <c r="B894">
        <v>1337</v>
      </c>
      <c r="C894" t="s">
        <v>33</v>
      </c>
      <c r="D894" t="s">
        <v>172</v>
      </c>
      <c r="E894">
        <v>14</v>
      </c>
      <c r="F894">
        <v>18.809999999999999</v>
      </c>
      <c r="G894">
        <v>11.05</v>
      </c>
      <c r="H894">
        <v>27.41</v>
      </c>
      <c r="I894">
        <v>1.01</v>
      </c>
      <c r="J894">
        <v>342.12</v>
      </c>
      <c r="K894">
        <f t="shared" si="119"/>
        <v>4789.68</v>
      </c>
      <c r="L894">
        <f t="shared" si="120"/>
        <v>0</v>
      </c>
      <c r="M894">
        <f t="shared" si="117"/>
        <v>0</v>
      </c>
      <c r="N894">
        <f t="shared" si="121"/>
        <v>0</v>
      </c>
      <c r="O894">
        <f t="shared" si="122"/>
        <v>2909.9070000000002</v>
      </c>
      <c r="P894">
        <f t="shared" si="123"/>
        <v>727.47675000000004</v>
      </c>
      <c r="Q894">
        <f t="shared" si="124"/>
        <v>742.31727569999998</v>
      </c>
      <c r="R894">
        <f t="shared" si="125"/>
        <v>387.57740000000001</v>
      </c>
      <c r="S894">
        <f t="shared" si="118"/>
        <v>4789.68</v>
      </c>
    </row>
    <row r="895" spans="1:19" x14ac:dyDescent="0.25">
      <c r="A895">
        <v>1025</v>
      </c>
      <c r="B895">
        <v>1337</v>
      </c>
      <c r="C895" t="s">
        <v>33</v>
      </c>
      <c r="D895" t="s">
        <v>172</v>
      </c>
      <c r="E895">
        <v>7</v>
      </c>
      <c r="F895">
        <v>18.829999999999998</v>
      </c>
      <c r="G895">
        <v>11.1</v>
      </c>
      <c r="H895">
        <v>38.299999999999997</v>
      </c>
      <c r="I895">
        <v>1.02</v>
      </c>
      <c r="J895">
        <v>357.39</v>
      </c>
      <c r="K895">
        <f t="shared" si="119"/>
        <v>2501.73</v>
      </c>
      <c r="L895">
        <f t="shared" si="120"/>
        <v>0</v>
      </c>
      <c r="M895">
        <f t="shared" si="117"/>
        <v>0</v>
      </c>
      <c r="N895">
        <f t="shared" si="121"/>
        <v>0</v>
      </c>
      <c r="O895">
        <f t="shared" si="122"/>
        <v>1463.0909999999999</v>
      </c>
      <c r="P895">
        <f t="shared" si="123"/>
        <v>365.77274999999997</v>
      </c>
      <c r="Q895">
        <f t="shared" si="124"/>
        <v>373.23451409999996</v>
      </c>
      <c r="R895">
        <f t="shared" si="125"/>
        <v>273.46199999999999</v>
      </c>
      <c r="S895">
        <f t="shared" si="118"/>
        <v>2501.73</v>
      </c>
    </row>
    <row r="896" spans="1:19" x14ac:dyDescent="0.25">
      <c r="A896">
        <v>1026</v>
      </c>
      <c r="B896">
        <v>1337</v>
      </c>
      <c r="C896" t="s">
        <v>33</v>
      </c>
      <c r="D896" t="s">
        <v>172</v>
      </c>
      <c r="E896">
        <v>14</v>
      </c>
      <c r="F896">
        <v>20.32</v>
      </c>
      <c r="G896">
        <v>10.3</v>
      </c>
      <c r="H896">
        <v>29.77</v>
      </c>
      <c r="I896">
        <v>0.99</v>
      </c>
      <c r="J896">
        <v>346.4</v>
      </c>
      <c r="K896">
        <f t="shared" si="119"/>
        <v>4849.5999999999995</v>
      </c>
      <c r="L896">
        <f t="shared" si="120"/>
        <v>0</v>
      </c>
      <c r="M896">
        <f t="shared" si="117"/>
        <v>0</v>
      </c>
      <c r="N896">
        <f t="shared" si="121"/>
        <v>0</v>
      </c>
      <c r="O896">
        <f t="shared" si="122"/>
        <v>2930.1440000000002</v>
      </c>
      <c r="P896">
        <f t="shared" si="123"/>
        <v>732.53600000000006</v>
      </c>
      <c r="Q896">
        <f t="shared" si="124"/>
        <v>747.47973439999998</v>
      </c>
      <c r="R896">
        <f t="shared" si="125"/>
        <v>412.61219999999997</v>
      </c>
      <c r="S896">
        <f t="shared" si="118"/>
        <v>4849.5999999999995</v>
      </c>
    </row>
    <row r="897" spans="1:19" x14ac:dyDescent="0.25">
      <c r="A897">
        <v>1027</v>
      </c>
      <c r="B897">
        <v>1337</v>
      </c>
      <c r="C897" t="s">
        <v>33</v>
      </c>
      <c r="D897" t="s">
        <v>172</v>
      </c>
      <c r="E897">
        <v>11</v>
      </c>
      <c r="F897">
        <v>21.17</v>
      </c>
      <c r="G897">
        <v>10.4</v>
      </c>
      <c r="H897">
        <v>36.92</v>
      </c>
      <c r="I897">
        <v>0.99</v>
      </c>
      <c r="J897">
        <v>371</v>
      </c>
      <c r="K897">
        <f t="shared" si="119"/>
        <v>4081</v>
      </c>
      <c r="L897">
        <f t="shared" si="120"/>
        <v>0</v>
      </c>
      <c r="M897">
        <f t="shared" si="117"/>
        <v>0</v>
      </c>
      <c r="N897">
        <f t="shared" si="121"/>
        <v>0</v>
      </c>
      <c r="O897">
        <f t="shared" si="122"/>
        <v>2421.8480000000004</v>
      </c>
      <c r="P897">
        <f t="shared" si="123"/>
        <v>605.4620000000001</v>
      </c>
      <c r="Q897">
        <f t="shared" si="124"/>
        <v>617.81342480000012</v>
      </c>
      <c r="R897">
        <f t="shared" si="125"/>
        <v>402.05880000000002</v>
      </c>
      <c r="S897">
        <f t="shared" si="118"/>
        <v>4081</v>
      </c>
    </row>
    <row r="898" spans="1:19" x14ac:dyDescent="0.25">
      <c r="A898">
        <v>1028</v>
      </c>
      <c r="B898">
        <v>1337</v>
      </c>
      <c r="C898" t="s">
        <v>33</v>
      </c>
      <c r="D898" t="s">
        <v>172</v>
      </c>
      <c r="E898">
        <v>17</v>
      </c>
      <c r="F898">
        <v>20.47</v>
      </c>
      <c r="G898">
        <v>10.7</v>
      </c>
      <c r="H898">
        <v>30.5</v>
      </c>
      <c r="I898">
        <v>1.02</v>
      </c>
      <c r="J898">
        <v>299.10000000000002</v>
      </c>
      <c r="K898">
        <f t="shared" si="119"/>
        <v>5084.7000000000007</v>
      </c>
      <c r="L898">
        <f t="shared" si="120"/>
        <v>0</v>
      </c>
      <c r="M898">
        <f t="shared" ref="M898:M961" si="126">IF(D898="SHOES",O898,0)</f>
        <v>0</v>
      </c>
      <c r="N898">
        <f t="shared" si="121"/>
        <v>0</v>
      </c>
      <c r="O898">
        <f t="shared" si="122"/>
        <v>3723.4929999999995</v>
      </c>
      <c r="P898">
        <f t="shared" si="123"/>
        <v>930.87324999999987</v>
      </c>
      <c r="Q898">
        <f t="shared" si="124"/>
        <v>949.86306429999979</v>
      </c>
      <c r="R898">
        <f t="shared" si="125"/>
        <v>528.87</v>
      </c>
      <c r="S898">
        <f t="shared" ref="S898:S961" si="127">PRODUCT(J898,E898)</f>
        <v>5084.7000000000007</v>
      </c>
    </row>
    <row r="899" spans="1:19" x14ac:dyDescent="0.25">
      <c r="A899">
        <v>1029</v>
      </c>
      <c r="B899">
        <v>1337</v>
      </c>
      <c r="C899" t="s">
        <v>33</v>
      </c>
      <c r="D899" t="s">
        <v>172</v>
      </c>
      <c r="E899">
        <v>83</v>
      </c>
      <c r="F899">
        <v>19.559999999999999</v>
      </c>
      <c r="G899">
        <v>11.77</v>
      </c>
      <c r="H899">
        <v>27.52</v>
      </c>
      <c r="I899">
        <v>0.95</v>
      </c>
      <c r="J899">
        <v>373.57</v>
      </c>
      <c r="K899">
        <f t="shared" ref="K899:K962" si="128">E899*J899</f>
        <v>31006.309999999998</v>
      </c>
      <c r="L899">
        <f t="shared" ref="L899:L962" si="129">IF(D899="SHOES",E899*J899,0)</f>
        <v>0</v>
      </c>
      <c r="M899">
        <f t="shared" si="126"/>
        <v>0</v>
      </c>
      <c r="N899">
        <f t="shared" ref="N899:N962" si="130">IF(D899="SHOES",P899,0)</f>
        <v>0</v>
      </c>
      <c r="O899">
        <f t="shared" ref="O899:O962" si="131">PRODUCT(E899,G899,F899)</f>
        <v>19108.3596</v>
      </c>
      <c r="P899">
        <f t="shared" ref="P899:P962" si="132">PRODUCT(O899,0.25)</f>
        <v>4777.0898999999999</v>
      </c>
      <c r="Q899">
        <f t="shared" ref="Q899:Q962" si="133">PRODUCT(O899,0.2551)</f>
        <v>4874.5425339599997</v>
      </c>
      <c r="R899">
        <f t="shared" si="125"/>
        <v>2169.9519999999998</v>
      </c>
      <c r="S899">
        <f t="shared" si="127"/>
        <v>31006.309999999998</v>
      </c>
    </row>
    <row r="900" spans="1:19" x14ac:dyDescent="0.25">
      <c r="A900">
        <v>1030</v>
      </c>
      <c r="B900">
        <v>1337</v>
      </c>
      <c r="C900" t="s">
        <v>33</v>
      </c>
      <c r="D900" t="s">
        <v>173</v>
      </c>
      <c r="E900">
        <v>38</v>
      </c>
      <c r="F900">
        <v>14.05</v>
      </c>
      <c r="G900">
        <v>2.64</v>
      </c>
      <c r="H900">
        <v>32.69</v>
      </c>
      <c r="I900">
        <v>0.76</v>
      </c>
      <c r="J900">
        <v>78.33</v>
      </c>
      <c r="K900">
        <f t="shared" si="128"/>
        <v>2976.54</v>
      </c>
      <c r="L900">
        <f t="shared" si="129"/>
        <v>2976.54</v>
      </c>
      <c r="M900">
        <f t="shared" si="126"/>
        <v>1409.4960000000001</v>
      </c>
      <c r="N900">
        <f t="shared" si="130"/>
        <v>352.37400000000002</v>
      </c>
      <c r="O900">
        <f t="shared" si="131"/>
        <v>1409.4960000000001</v>
      </c>
      <c r="P900">
        <f t="shared" si="132"/>
        <v>352.37400000000002</v>
      </c>
      <c r="Q900">
        <f t="shared" si="133"/>
        <v>359.56242960000003</v>
      </c>
      <c r="R900">
        <f t="shared" ref="R900:R963" si="134">PRODUCT(E900,I900,H900)</f>
        <v>944.08719999999994</v>
      </c>
      <c r="S900">
        <f t="shared" si="127"/>
        <v>2976.54</v>
      </c>
    </row>
    <row r="901" spans="1:19" x14ac:dyDescent="0.25">
      <c r="A901">
        <v>1031</v>
      </c>
      <c r="B901">
        <v>1337</v>
      </c>
      <c r="C901" t="s">
        <v>33</v>
      </c>
      <c r="D901" t="s">
        <v>173</v>
      </c>
      <c r="E901">
        <v>33</v>
      </c>
      <c r="F901">
        <v>15.1</v>
      </c>
      <c r="G901">
        <v>2.86</v>
      </c>
      <c r="H901">
        <v>27.05</v>
      </c>
      <c r="I901">
        <v>0.8</v>
      </c>
      <c r="J901">
        <v>83.18</v>
      </c>
      <c r="K901">
        <f t="shared" si="128"/>
        <v>2744.94</v>
      </c>
      <c r="L901">
        <f t="shared" si="129"/>
        <v>2744.94</v>
      </c>
      <c r="M901">
        <f t="shared" si="126"/>
        <v>1425.1379999999999</v>
      </c>
      <c r="N901">
        <f t="shared" si="130"/>
        <v>356.28449999999998</v>
      </c>
      <c r="O901">
        <f t="shared" si="131"/>
        <v>1425.1379999999999</v>
      </c>
      <c r="P901">
        <f t="shared" si="132"/>
        <v>356.28449999999998</v>
      </c>
      <c r="Q901">
        <f t="shared" si="133"/>
        <v>363.55270379999996</v>
      </c>
      <c r="R901">
        <f t="shared" si="134"/>
        <v>714.12000000000012</v>
      </c>
      <c r="S901">
        <f t="shared" si="127"/>
        <v>2744.94</v>
      </c>
    </row>
    <row r="902" spans="1:19" x14ac:dyDescent="0.25">
      <c r="A902">
        <v>1032</v>
      </c>
      <c r="B902">
        <v>1337</v>
      </c>
      <c r="C902" t="s">
        <v>33</v>
      </c>
      <c r="D902" t="s">
        <v>172</v>
      </c>
      <c r="E902">
        <v>12</v>
      </c>
      <c r="F902">
        <v>16.5</v>
      </c>
      <c r="G902">
        <v>12.03</v>
      </c>
      <c r="H902">
        <v>29.79</v>
      </c>
      <c r="I902">
        <v>0.95</v>
      </c>
      <c r="J902">
        <v>328.94</v>
      </c>
      <c r="K902">
        <f t="shared" si="128"/>
        <v>3947.2799999999997</v>
      </c>
      <c r="L902">
        <f t="shared" si="129"/>
        <v>0</v>
      </c>
      <c r="M902">
        <f t="shared" si="126"/>
        <v>0</v>
      </c>
      <c r="N902">
        <f t="shared" si="130"/>
        <v>0</v>
      </c>
      <c r="O902">
        <f t="shared" si="131"/>
        <v>2381.9399999999996</v>
      </c>
      <c r="P902">
        <f t="shared" si="132"/>
        <v>595.4849999999999</v>
      </c>
      <c r="Q902">
        <f t="shared" si="133"/>
        <v>607.63289399999985</v>
      </c>
      <c r="R902">
        <f t="shared" si="134"/>
        <v>339.60599999999994</v>
      </c>
      <c r="S902">
        <f t="shared" si="127"/>
        <v>3947.2799999999997</v>
      </c>
    </row>
    <row r="903" spans="1:19" x14ac:dyDescent="0.25">
      <c r="A903">
        <v>1033</v>
      </c>
      <c r="B903">
        <v>1338</v>
      </c>
      <c r="C903" t="s">
        <v>34</v>
      </c>
      <c r="D903" t="s">
        <v>173</v>
      </c>
      <c r="E903">
        <v>10</v>
      </c>
      <c r="F903">
        <v>14.18</v>
      </c>
      <c r="G903">
        <v>2.63</v>
      </c>
      <c r="H903">
        <v>27.96</v>
      </c>
      <c r="I903">
        <v>0.78</v>
      </c>
      <c r="J903">
        <v>75.27</v>
      </c>
      <c r="K903">
        <f t="shared" si="128"/>
        <v>752.69999999999993</v>
      </c>
      <c r="L903">
        <f t="shared" si="129"/>
        <v>752.69999999999993</v>
      </c>
      <c r="M903">
        <f t="shared" si="126"/>
        <v>372.93399999999997</v>
      </c>
      <c r="N903">
        <f t="shared" si="130"/>
        <v>93.233499999999992</v>
      </c>
      <c r="O903">
        <f t="shared" si="131"/>
        <v>372.93399999999997</v>
      </c>
      <c r="P903">
        <f t="shared" si="132"/>
        <v>93.233499999999992</v>
      </c>
      <c r="Q903">
        <f t="shared" si="133"/>
        <v>95.135463399999992</v>
      </c>
      <c r="R903">
        <f t="shared" si="134"/>
        <v>218.08800000000002</v>
      </c>
      <c r="S903">
        <f t="shared" si="127"/>
        <v>752.69999999999993</v>
      </c>
    </row>
    <row r="904" spans="1:19" x14ac:dyDescent="0.25">
      <c r="A904">
        <v>1034</v>
      </c>
      <c r="B904">
        <v>1338</v>
      </c>
      <c r="C904" t="s">
        <v>34</v>
      </c>
      <c r="D904" t="s">
        <v>173</v>
      </c>
      <c r="E904">
        <v>17</v>
      </c>
      <c r="F904">
        <v>14.82</v>
      </c>
      <c r="G904">
        <v>2.94</v>
      </c>
      <c r="H904">
        <v>35.79</v>
      </c>
      <c r="I904">
        <v>0.81</v>
      </c>
      <c r="J904">
        <v>91.8</v>
      </c>
      <c r="K904">
        <f t="shared" si="128"/>
        <v>1560.6</v>
      </c>
      <c r="L904">
        <f t="shared" si="129"/>
        <v>1560.6</v>
      </c>
      <c r="M904">
        <f t="shared" si="126"/>
        <v>740.70359999999994</v>
      </c>
      <c r="N904">
        <f t="shared" si="130"/>
        <v>185.17589999999998</v>
      </c>
      <c r="O904">
        <f t="shared" si="131"/>
        <v>740.70359999999994</v>
      </c>
      <c r="P904">
        <f t="shared" si="132"/>
        <v>185.17589999999998</v>
      </c>
      <c r="Q904">
        <f t="shared" si="133"/>
        <v>188.95348835999997</v>
      </c>
      <c r="R904">
        <f t="shared" si="134"/>
        <v>492.82830000000001</v>
      </c>
      <c r="S904">
        <f t="shared" si="127"/>
        <v>1560.6</v>
      </c>
    </row>
    <row r="905" spans="1:19" x14ac:dyDescent="0.25">
      <c r="A905">
        <v>1035</v>
      </c>
      <c r="B905">
        <v>1338</v>
      </c>
      <c r="C905" t="s">
        <v>34</v>
      </c>
      <c r="D905" t="s">
        <v>173</v>
      </c>
      <c r="E905">
        <v>13</v>
      </c>
      <c r="F905">
        <v>14.04</v>
      </c>
      <c r="G905">
        <v>2.85</v>
      </c>
      <c r="H905">
        <v>30.47</v>
      </c>
      <c r="I905">
        <v>0.8</v>
      </c>
      <c r="J905">
        <v>81.83</v>
      </c>
      <c r="K905">
        <f t="shared" si="128"/>
        <v>1063.79</v>
      </c>
      <c r="L905">
        <f t="shared" si="129"/>
        <v>1063.79</v>
      </c>
      <c r="M905">
        <f t="shared" si="126"/>
        <v>520.18200000000002</v>
      </c>
      <c r="N905">
        <f t="shared" si="130"/>
        <v>130.0455</v>
      </c>
      <c r="O905">
        <f t="shared" si="131"/>
        <v>520.18200000000002</v>
      </c>
      <c r="P905">
        <f t="shared" si="132"/>
        <v>130.0455</v>
      </c>
      <c r="Q905">
        <f t="shared" si="133"/>
        <v>132.6984282</v>
      </c>
      <c r="R905">
        <f t="shared" si="134"/>
        <v>316.88799999999998</v>
      </c>
      <c r="S905">
        <f t="shared" si="127"/>
        <v>1063.79</v>
      </c>
    </row>
    <row r="906" spans="1:19" x14ac:dyDescent="0.25">
      <c r="A906">
        <v>1036</v>
      </c>
      <c r="B906">
        <v>1338</v>
      </c>
      <c r="C906" t="s">
        <v>34</v>
      </c>
      <c r="D906" t="s">
        <v>173</v>
      </c>
      <c r="E906">
        <v>7</v>
      </c>
      <c r="F906">
        <v>15.29</v>
      </c>
      <c r="G906">
        <v>3</v>
      </c>
      <c r="H906">
        <v>31.61</v>
      </c>
      <c r="I906">
        <v>0.81</v>
      </c>
      <c r="J906">
        <v>91.24</v>
      </c>
      <c r="K906">
        <f t="shared" si="128"/>
        <v>638.67999999999995</v>
      </c>
      <c r="L906">
        <f t="shared" si="129"/>
        <v>638.67999999999995</v>
      </c>
      <c r="M906">
        <f t="shared" si="126"/>
        <v>321.08999999999997</v>
      </c>
      <c r="N906">
        <f t="shared" si="130"/>
        <v>80.272499999999994</v>
      </c>
      <c r="O906">
        <f t="shared" si="131"/>
        <v>321.08999999999997</v>
      </c>
      <c r="P906">
        <f t="shared" si="132"/>
        <v>80.272499999999994</v>
      </c>
      <c r="Q906">
        <f t="shared" si="133"/>
        <v>81.91005899999999</v>
      </c>
      <c r="R906">
        <f t="shared" si="134"/>
        <v>179.2287</v>
      </c>
      <c r="S906">
        <f t="shared" si="127"/>
        <v>638.67999999999995</v>
      </c>
    </row>
    <row r="907" spans="1:19" x14ac:dyDescent="0.25">
      <c r="A907">
        <v>1037</v>
      </c>
      <c r="B907">
        <v>1338</v>
      </c>
      <c r="C907" t="s">
        <v>34</v>
      </c>
      <c r="D907" t="s">
        <v>173</v>
      </c>
      <c r="E907">
        <v>12</v>
      </c>
      <c r="F907">
        <v>14.57</v>
      </c>
      <c r="G907">
        <v>2.72</v>
      </c>
      <c r="H907">
        <v>27.74</v>
      </c>
      <c r="I907">
        <v>0.8</v>
      </c>
      <c r="J907">
        <v>78.900000000000006</v>
      </c>
      <c r="K907">
        <f t="shared" si="128"/>
        <v>946.80000000000007</v>
      </c>
      <c r="L907">
        <f t="shared" si="129"/>
        <v>946.80000000000007</v>
      </c>
      <c r="M907">
        <f t="shared" si="126"/>
        <v>475.56479999999999</v>
      </c>
      <c r="N907">
        <f t="shared" si="130"/>
        <v>118.8912</v>
      </c>
      <c r="O907">
        <f t="shared" si="131"/>
        <v>475.56479999999999</v>
      </c>
      <c r="P907">
        <f t="shared" si="132"/>
        <v>118.8912</v>
      </c>
      <c r="Q907">
        <f t="shared" si="133"/>
        <v>121.31658048</v>
      </c>
      <c r="R907">
        <f t="shared" si="134"/>
        <v>266.30400000000003</v>
      </c>
      <c r="S907">
        <f t="shared" si="127"/>
        <v>946.80000000000007</v>
      </c>
    </row>
    <row r="908" spans="1:19" x14ac:dyDescent="0.25">
      <c r="A908">
        <v>1038</v>
      </c>
      <c r="B908">
        <v>1338</v>
      </c>
      <c r="C908" t="s">
        <v>34</v>
      </c>
      <c r="D908" t="s">
        <v>172</v>
      </c>
      <c r="E908">
        <v>17</v>
      </c>
      <c r="F908">
        <v>21.23</v>
      </c>
      <c r="G908">
        <v>10.24</v>
      </c>
      <c r="H908">
        <v>33.72</v>
      </c>
      <c r="I908">
        <v>0.92</v>
      </c>
      <c r="J908">
        <v>360.29</v>
      </c>
      <c r="K908">
        <f t="shared" si="128"/>
        <v>6124.93</v>
      </c>
      <c r="L908">
        <f t="shared" si="129"/>
        <v>0</v>
      </c>
      <c r="M908">
        <f t="shared" si="126"/>
        <v>0</v>
      </c>
      <c r="N908">
        <f t="shared" si="130"/>
        <v>0</v>
      </c>
      <c r="O908">
        <f t="shared" si="131"/>
        <v>3695.7184000000002</v>
      </c>
      <c r="P908">
        <f t="shared" si="132"/>
        <v>923.92960000000005</v>
      </c>
      <c r="Q908">
        <f t="shared" si="133"/>
        <v>942.77776384000003</v>
      </c>
      <c r="R908">
        <f t="shared" si="134"/>
        <v>527.38080000000002</v>
      </c>
      <c r="S908">
        <f t="shared" si="127"/>
        <v>6124.93</v>
      </c>
    </row>
    <row r="909" spans="1:19" x14ac:dyDescent="0.25">
      <c r="A909">
        <v>1039</v>
      </c>
      <c r="B909">
        <v>1338</v>
      </c>
      <c r="C909" t="s">
        <v>34</v>
      </c>
      <c r="D909" t="s">
        <v>173</v>
      </c>
      <c r="E909">
        <v>22</v>
      </c>
      <c r="F909">
        <v>14.45</v>
      </c>
      <c r="G909">
        <v>2.83</v>
      </c>
      <c r="H909">
        <v>32.03</v>
      </c>
      <c r="I909">
        <v>0.79</v>
      </c>
      <c r="J909">
        <v>84.06</v>
      </c>
      <c r="K909">
        <f t="shared" si="128"/>
        <v>1849.3200000000002</v>
      </c>
      <c r="L909">
        <f t="shared" si="129"/>
        <v>1849.3200000000002</v>
      </c>
      <c r="M909">
        <f t="shared" si="126"/>
        <v>899.65700000000004</v>
      </c>
      <c r="N909">
        <f t="shared" si="130"/>
        <v>224.91425000000001</v>
      </c>
      <c r="O909">
        <f t="shared" si="131"/>
        <v>899.65700000000004</v>
      </c>
      <c r="P909">
        <f t="shared" si="132"/>
        <v>224.91425000000001</v>
      </c>
      <c r="Q909">
        <f t="shared" si="133"/>
        <v>229.50250070000001</v>
      </c>
      <c r="R909">
        <f t="shared" si="134"/>
        <v>556.68140000000005</v>
      </c>
      <c r="S909">
        <f t="shared" si="127"/>
        <v>1849.3200000000002</v>
      </c>
    </row>
    <row r="910" spans="1:19" x14ac:dyDescent="0.25">
      <c r="A910">
        <v>1040</v>
      </c>
      <c r="B910">
        <v>1339</v>
      </c>
      <c r="C910" t="s">
        <v>33</v>
      </c>
      <c r="D910" t="s">
        <v>173</v>
      </c>
      <c r="E910">
        <v>12</v>
      </c>
      <c r="F910">
        <v>14.93</v>
      </c>
      <c r="G910">
        <v>3.2</v>
      </c>
      <c r="H910">
        <v>34.799999999999997</v>
      </c>
      <c r="I910">
        <v>0.79</v>
      </c>
      <c r="J910">
        <v>95.93</v>
      </c>
      <c r="K910">
        <f t="shared" si="128"/>
        <v>1151.1600000000001</v>
      </c>
      <c r="L910">
        <f t="shared" si="129"/>
        <v>1151.1600000000001</v>
      </c>
      <c r="M910">
        <f t="shared" si="126"/>
        <v>573.31200000000013</v>
      </c>
      <c r="N910">
        <f t="shared" si="130"/>
        <v>143.32800000000003</v>
      </c>
      <c r="O910">
        <f t="shared" si="131"/>
        <v>573.31200000000013</v>
      </c>
      <c r="P910">
        <f t="shared" si="132"/>
        <v>143.32800000000003</v>
      </c>
      <c r="Q910">
        <f t="shared" si="133"/>
        <v>146.25189120000002</v>
      </c>
      <c r="R910">
        <f t="shared" si="134"/>
        <v>329.904</v>
      </c>
      <c r="S910">
        <f t="shared" si="127"/>
        <v>1151.1600000000001</v>
      </c>
    </row>
    <row r="911" spans="1:19" x14ac:dyDescent="0.25">
      <c r="A911">
        <v>1041</v>
      </c>
      <c r="B911">
        <v>1339</v>
      </c>
      <c r="C911" t="s">
        <v>33</v>
      </c>
      <c r="D911" t="s">
        <v>173</v>
      </c>
      <c r="E911">
        <v>12</v>
      </c>
      <c r="F911">
        <v>12.64</v>
      </c>
      <c r="G911">
        <v>2.78</v>
      </c>
      <c r="H911">
        <v>33.4</v>
      </c>
      <c r="I911">
        <v>0.82</v>
      </c>
      <c r="J911">
        <v>78.44</v>
      </c>
      <c r="K911">
        <f t="shared" si="128"/>
        <v>941.28</v>
      </c>
      <c r="L911">
        <f t="shared" si="129"/>
        <v>941.28</v>
      </c>
      <c r="M911">
        <f t="shared" si="126"/>
        <v>421.67040000000003</v>
      </c>
      <c r="N911">
        <f t="shared" si="130"/>
        <v>105.41760000000001</v>
      </c>
      <c r="O911">
        <f t="shared" si="131"/>
        <v>421.67040000000003</v>
      </c>
      <c r="P911">
        <f t="shared" si="132"/>
        <v>105.41760000000001</v>
      </c>
      <c r="Q911">
        <f t="shared" si="133"/>
        <v>107.56811904</v>
      </c>
      <c r="R911">
        <f t="shared" si="134"/>
        <v>328.65600000000001</v>
      </c>
      <c r="S911">
        <f t="shared" si="127"/>
        <v>941.28</v>
      </c>
    </row>
    <row r="912" spans="1:19" x14ac:dyDescent="0.25">
      <c r="A912">
        <v>1042</v>
      </c>
      <c r="B912">
        <v>1339</v>
      </c>
      <c r="C912" t="s">
        <v>33</v>
      </c>
      <c r="D912" t="s">
        <v>173</v>
      </c>
      <c r="E912">
        <v>17</v>
      </c>
      <c r="F912">
        <v>14.21</v>
      </c>
      <c r="G912">
        <v>2.95</v>
      </c>
      <c r="H912">
        <v>29.77</v>
      </c>
      <c r="I912">
        <v>0.81</v>
      </c>
      <c r="J912">
        <v>84.16</v>
      </c>
      <c r="K912">
        <f t="shared" si="128"/>
        <v>1430.72</v>
      </c>
      <c r="L912">
        <f t="shared" si="129"/>
        <v>1430.72</v>
      </c>
      <c r="M912">
        <f t="shared" si="126"/>
        <v>712.63150000000007</v>
      </c>
      <c r="N912">
        <f t="shared" si="130"/>
        <v>178.15787500000002</v>
      </c>
      <c r="O912">
        <f t="shared" si="131"/>
        <v>712.63150000000007</v>
      </c>
      <c r="P912">
        <f t="shared" si="132"/>
        <v>178.15787500000002</v>
      </c>
      <c r="Q912">
        <f t="shared" si="133"/>
        <v>181.79229565000003</v>
      </c>
      <c r="R912">
        <f t="shared" si="134"/>
        <v>409.93290000000002</v>
      </c>
      <c r="S912">
        <f t="shared" si="127"/>
        <v>1430.72</v>
      </c>
    </row>
    <row r="913" spans="1:19" x14ac:dyDescent="0.25">
      <c r="A913">
        <v>1043</v>
      </c>
      <c r="B913">
        <v>1339</v>
      </c>
      <c r="C913" t="s">
        <v>33</v>
      </c>
      <c r="D913" t="s">
        <v>173</v>
      </c>
      <c r="E913">
        <v>25</v>
      </c>
      <c r="F913">
        <v>15.39</v>
      </c>
      <c r="G913">
        <v>2.83</v>
      </c>
      <c r="H913">
        <v>30.7</v>
      </c>
      <c r="I913">
        <v>0.8</v>
      </c>
      <c r="J913">
        <v>86.9</v>
      </c>
      <c r="K913">
        <f t="shared" si="128"/>
        <v>2172.5</v>
      </c>
      <c r="L913">
        <f t="shared" si="129"/>
        <v>2172.5</v>
      </c>
      <c r="M913">
        <f t="shared" si="126"/>
        <v>1088.8425</v>
      </c>
      <c r="N913">
        <f t="shared" si="130"/>
        <v>272.21062499999999</v>
      </c>
      <c r="O913">
        <f t="shared" si="131"/>
        <v>1088.8425</v>
      </c>
      <c r="P913">
        <f t="shared" si="132"/>
        <v>272.21062499999999</v>
      </c>
      <c r="Q913">
        <f t="shared" si="133"/>
        <v>277.76372175</v>
      </c>
      <c r="R913">
        <f t="shared" si="134"/>
        <v>614</v>
      </c>
      <c r="S913">
        <f t="shared" si="127"/>
        <v>2172.5</v>
      </c>
    </row>
    <row r="914" spans="1:19" x14ac:dyDescent="0.25">
      <c r="A914">
        <v>1044</v>
      </c>
      <c r="B914">
        <v>1339</v>
      </c>
      <c r="C914" t="s">
        <v>33</v>
      </c>
      <c r="D914" t="s">
        <v>173</v>
      </c>
      <c r="E914">
        <v>14</v>
      </c>
      <c r="F914">
        <v>14.52</v>
      </c>
      <c r="G914">
        <v>3.03</v>
      </c>
      <c r="H914">
        <v>30.66</v>
      </c>
      <c r="I914">
        <v>0.78</v>
      </c>
      <c r="J914">
        <v>86.8</v>
      </c>
      <c r="K914">
        <f t="shared" si="128"/>
        <v>1215.2</v>
      </c>
      <c r="L914">
        <f t="shared" si="129"/>
        <v>1215.2</v>
      </c>
      <c r="M914">
        <f t="shared" si="126"/>
        <v>615.93839999999989</v>
      </c>
      <c r="N914">
        <f t="shared" si="130"/>
        <v>153.98459999999997</v>
      </c>
      <c r="O914">
        <f t="shared" si="131"/>
        <v>615.93839999999989</v>
      </c>
      <c r="P914">
        <f t="shared" si="132"/>
        <v>153.98459999999997</v>
      </c>
      <c r="Q914">
        <f t="shared" si="133"/>
        <v>157.12588583999997</v>
      </c>
      <c r="R914">
        <f t="shared" si="134"/>
        <v>334.80720000000002</v>
      </c>
      <c r="S914">
        <f t="shared" si="127"/>
        <v>1215.2</v>
      </c>
    </row>
    <row r="915" spans="1:19" x14ac:dyDescent="0.25">
      <c r="A915">
        <v>1045</v>
      </c>
      <c r="B915">
        <v>1339</v>
      </c>
      <c r="C915" t="s">
        <v>33</v>
      </c>
      <c r="D915" t="s">
        <v>173</v>
      </c>
      <c r="E915">
        <v>10</v>
      </c>
      <c r="F915">
        <v>14.9</v>
      </c>
      <c r="G915">
        <v>2.9</v>
      </c>
      <c r="H915">
        <v>29.87</v>
      </c>
      <c r="I915">
        <v>0.78</v>
      </c>
      <c r="J915">
        <v>85.04</v>
      </c>
      <c r="K915">
        <f t="shared" si="128"/>
        <v>850.40000000000009</v>
      </c>
      <c r="L915">
        <f t="shared" si="129"/>
        <v>850.40000000000009</v>
      </c>
      <c r="M915">
        <f t="shared" si="126"/>
        <v>432.1</v>
      </c>
      <c r="N915">
        <f t="shared" si="130"/>
        <v>108.02500000000001</v>
      </c>
      <c r="O915">
        <f t="shared" si="131"/>
        <v>432.1</v>
      </c>
      <c r="P915">
        <f t="shared" si="132"/>
        <v>108.02500000000001</v>
      </c>
      <c r="Q915">
        <f t="shared" si="133"/>
        <v>110.22871000000001</v>
      </c>
      <c r="R915">
        <f t="shared" si="134"/>
        <v>232.98600000000002</v>
      </c>
      <c r="S915">
        <f t="shared" si="127"/>
        <v>850.40000000000009</v>
      </c>
    </row>
    <row r="916" spans="1:19" x14ac:dyDescent="0.25">
      <c r="A916">
        <v>1046</v>
      </c>
      <c r="B916">
        <v>1339</v>
      </c>
      <c r="C916" t="s">
        <v>33</v>
      </c>
      <c r="D916" t="s">
        <v>172</v>
      </c>
      <c r="E916">
        <v>21</v>
      </c>
      <c r="F916">
        <v>19.11</v>
      </c>
      <c r="G916">
        <v>11.74</v>
      </c>
      <c r="H916">
        <v>32.31</v>
      </c>
      <c r="I916">
        <v>1.04</v>
      </c>
      <c r="J916">
        <v>308.07</v>
      </c>
      <c r="K916">
        <f t="shared" si="128"/>
        <v>6469.47</v>
      </c>
      <c r="L916">
        <f t="shared" si="129"/>
        <v>0</v>
      </c>
      <c r="M916">
        <f t="shared" si="126"/>
        <v>0</v>
      </c>
      <c r="N916">
        <f t="shared" si="130"/>
        <v>0</v>
      </c>
      <c r="O916">
        <f t="shared" si="131"/>
        <v>4711.3793999999998</v>
      </c>
      <c r="P916">
        <f t="shared" si="132"/>
        <v>1177.84485</v>
      </c>
      <c r="Q916">
        <f t="shared" si="133"/>
        <v>1201.8728849399999</v>
      </c>
      <c r="R916">
        <f t="shared" si="134"/>
        <v>705.65039999999999</v>
      </c>
      <c r="S916">
        <f t="shared" si="127"/>
        <v>6469.47</v>
      </c>
    </row>
    <row r="917" spans="1:19" x14ac:dyDescent="0.25">
      <c r="A917">
        <v>1047</v>
      </c>
      <c r="B917">
        <v>1339</v>
      </c>
      <c r="C917" t="s">
        <v>33</v>
      </c>
      <c r="D917" t="s">
        <v>172</v>
      </c>
      <c r="E917">
        <v>13</v>
      </c>
      <c r="F917">
        <v>20.079999999999998</v>
      </c>
      <c r="G917">
        <v>10.46</v>
      </c>
      <c r="H917">
        <v>36.68</v>
      </c>
      <c r="I917">
        <v>0.84</v>
      </c>
      <c r="J917">
        <v>349.1</v>
      </c>
      <c r="K917">
        <f t="shared" si="128"/>
        <v>4538.3</v>
      </c>
      <c r="L917">
        <f t="shared" si="129"/>
        <v>0</v>
      </c>
      <c r="M917">
        <f t="shared" si="126"/>
        <v>0</v>
      </c>
      <c r="N917">
        <f t="shared" si="130"/>
        <v>0</v>
      </c>
      <c r="O917">
        <f t="shared" si="131"/>
        <v>2730.4784</v>
      </c>
      <c r="P917">
        <f t="shared" si="132"/>
        <v>682.61959999999999</v>
      </c>
      <c r="Q917">
        <f t="shared" si="133"/>
        <v>696.54503983999996</v>
      </c>
      <c r="R917">
        <f t="shared" si="134"/>
        <v>400.54559999999998</v>
      </c>
      <c r="S917">
        <f t="shared" si="127"/>
        <v>4538.3</v>
      </c>
    </row>
    <row r="918" spans="1:19" x14ac:dyDescent="0.25">
      <c r="A918">
        <v>1048</v>
      </c>
      <c r="B918">
        <v>1339</v>
      </c>
      <c r="C918" t="s">
        <v>33</v>
      </c>
      <c r="D918" t="s">
        <v>173</v>
      </c>
      <c r="E918">
        <v>14</v>
      </c>
      <c r="F918">
        <v>15.91</v>
      </c>
      <c r="G918">
        <v>3.06</v>
      </c>
      <c r="H918">
        <v>31.82</v>
      </c>
      <c r="I918">
        <v>0.8</v>
      </c>
      <c r="J918">
        <v>94.94</v>
      </c>
      <c r="K918">
        <f t="shared" si="128"/>
        <v>1329.1599999999999</v>
      </c>
      <c r="L918">
        <f t="shared" si="129"/>
        <v>1329.1599999999999</v>
      </c>
      <c r="M918">
        <f t="shared" si="126"/>
        <v>681.58440000000007</v>
      </c>
      <c r="N918">
        <f t="shared" si="130"/>
        <v>170.39610000000002</v>
      </c>
      <c r="O918">
        <f t="shared" si="131"/>
        <v>681.58440000000007</v>
      </c>
      <c r="P918">
        <f t="shared" si="132"/>
        <v>170.39610000000002</v>
      </c>
      <c r="Q918">
        <f t="shared" si="133"/>
        <v>173.87218044000002</v>
      </c>
      <c r="R918">
        <f t="shared" si="134"/>
        <v>356.38400000000001</v>
      </c>
      <c r="S918">
        <f t="shared" si="127"/>
        <v>1329.1599999999999</v>
      </c>
    </row>
    <row r="919" spans="1:19" x14ac:dyDescent="0.25">
      <c r="A919">
        <v>1049</v>
      </c>
      <c r="B919">
        <v>1339</v>
      </c>
      <c r="C919" t="s">
        <v>33</v>
      </c>
      <c r="D919" t="s">
        <v>173</v>
      </c>
      <c r="E919">
        <v>14</v>
      </c>
      <c r="F919">
        <v>14.65</v>
      </c>
      <c r="G919">
        <v>3.15</v>
      </c>
      <c r="H919">
        <v>31.15</v>
      </c>
      <c r="I919">
        <v>0.81</v>
      </c>
      <c r="J919">
        <v>91.21</v>
      </c>
      <c r="K919">
        <f t="shared" si="128"/>
        <v>1276.9399999999998</v>
      </c>
      <c r="L919">
        <f t="shared" si="129"/>
        <v>1276.9399999999998</v>
      </c>
      <c r="M919">
        <f t="shared" si="126"/>
        <v>646.06500000000005</v>
      </c>
      <c r="N919">
        <f t="shared" si="130"/>
        <v>161.51625000000001</v>
      </c>
      <c r="O919">
        <f t="shared" si="131"/>
        <v>646.06500000000005</v>
      </c>
      <c r="P919">
        <f t="shared" si="132"/>
        <v>161.51625000000001</v>
      </c>
      <c r="Q919">
        <f t="shared" si="133"/>
        <v>164.8111815</v>
      </c>
      <c r="R919">
        <f t="shared" si="134"/>
        <v>353.24099999999999</v>
      </c>
      <c r="S919">
        <f t="shared" si="127"/>
        <v>1276.9399999999998</v>
      </c>
    </row>
    <row r="920" spans="1:19" x14ac:dyDescent="0.25">
      <c r="A920">
        <v>1050</v>
      </c>
      <c r="B920">
        <v>1339</v>
      </c>
      <c r="C920" t="s">
        <v>33</v>
      </c>
      <c r="D920" t="s">
        <v>173</v>
      </c>
      <c r="E920">
        <v>6</v>
      </c>
      <c r="F920">
        <v>15.13</v>
      </c>
      <c r="G920">
        <v>3</v>
      </c>
      <c r="H920">
        <v>28.22</v>
      </c>
      <c r="I920">
        <v>0.78</v>
      </c>
      <c r="J920">
        <v>86.62</v>
      </c>
      <c r="K920">
        <f t="shared" si="128"/>
        <v>519.72</v>
      </c>
      <c r="L920">
        <f t="shared" si="129"/>
        <v>519.72</v>
      </c>
      <c r="M920">
        <f t="shared" si="126"/>
        <v>272.34000000000003</v>
      </c>
      <c r="N920">
        <f t="shared" si="130"/>
        <v>68.085000000000008</v>
      </c>
      <c r="O920">
        <f t="shared" si="131"/>
        <v>272.34000000000003</v>
      </c>
      <c r="P920">
        <f t="shared" si="132"/>
        <v>68.085000000000008</v>
      </c>
      <c r="Q920">
        <f t="shared" si="133"/>
        <v>69.473934</v>
      </c>
      <c r="R920">
        <f t="shared" si="134"/>
        <v>132.06959999999998</v>
      </c>
      <c r="S920">
        <f t="shared" si="127"/>
        <v>519.72</v>
      </c>
    </row>
    <row r="921" spans="1:19" x14ac:dyDescent="0.25">
      <c r="A921">
        <v>1051</v>
      </c>
      <c r="B921">
        <v>1340</v>
      </c>
      <c r="C921" t="s">
        <v>32</v>
      </c>
      <c r="D921" t="s">
        <v>172</v>
      </c>
      <c r="E921">
        <v>15</v>
      </c>
      <c r="F921">
        <v>19.88</v>
      </c>
      <c r="G921">
        <v>11.61</v>
      </c>
      <c r="H921">
        <v>31.52</v>
      </c>
      <c r="I921">
        <v>1.1200000000000001</v>
      </c>
      <c r="J921">
        <v>385.34</v>
      </c>
      <c r="K921">
        <f t="shared" si="128"/>
        <v>5780.0999999999995</v>
      </c>
      <c r="L921">
        <f t="shared" si="129"/>
        <v>0</v>
      </c>
      <c r="M921">
        <f t="shared" si="126"/>
        <v>0</v>
      </c>
      <c r="N921">
        <f t="shared" si="130"/>
        <v>0</v>
      </c>
      <c r="O921">
        <f t="shared" si="131"/>
        <v>3462.1019999999994</v>
      </c>
      <c r="P921">
        <f t="shared" si="132"/>
        <v>865.52549999999985</v>
      </c>
      <c r="Q921">
        <f t="shared" si="133"/>
        <v>883.18222019999985</v>
      </c>
      <c r="R921">
        <f t="shared" si="134"/>
        <v>529.53600000000006</v>
      </c>
      <c r="S921">
        <f t="shared" si="127"/>
        <v>5780.0999999999995</v>
      </c>
    </row>
    <row r="922" spans="1:19" x14ac:dyDescent="0.25">
      <c r="A922">
        <v>1052</v>
      </c>
      <c r="B922">
        <v>1340</v>
      </c>
      <c r="C922" t="s">
        <v>32</v>
      </c>
      <c r="D922" t="s">
        <v>172</v>
      </c>
      <c r="E922">
        <v>17</v>
      </c>
      <c r="F922">
        <v>18.8</v>
      </c>
      <c r="G922">
        <v>9.94</v>
      </c>
      <c r="H922">
        <v>33.880000000000003</v>
      </c>
      <c r="I922">
        <v>1.1399999999999999</v>
      </c>
      <c r="J922">
        <v>323.93</v>
      </c>
      <c r="K922">
        <f t="shared" si="128"/>
        <v>5506.81</v>
      </c>
      <c r="L922">
        <f t="shared" si="129"/>
        <v>0</v>
      </c>
      <c r="M922">
        <f t="shared" si="126"/>
        <v>0</v>
      </c>
      <c r="N922">
        <f t="shared" si="130"/>
        <v>0</v>
      </c>
      <c r="O922">
        <f t="shared" si="131"/>
        <v>3176.8240000000001</v>
      </c>
      <c r="P922">
        <f t="shared" si="132"/>
        <v>794.20600000000002</v>
      </c>
      <c r="Q922">
        <f t="shared" si="133"/>
        <v>810.40780240000004</v>
      </c>
      <c r="R922">
        <f t="shared" si="134"/>
        <v>656.59440000000006</v>
      </c>
      <c r="S922">
        <f t="shared" si="127"/>
        <v>5506.81</v>
      </c>
    </row>
    <row r="923" spans="1:19" x14ac:dyDescent="0.25">
      <c r="A923">
        <v>1053</v>
      </c>
      <c r="B923">
        <v>1340</v>
      </c>
      <c r="C923" t="s">
        <v>32</v>
      </c>
      <c r="D923" t="s">
        <v>172</v>
      </c>
      <c r="E923">
        <v>12</v>
      </c>
      <c r="F923">
        <v>21.25</v>
      </c>
      <c r="G923">
        <v>12.06</v>
      </c>
      <c r="H923">
        <v>33.369999999999997</v>
      </c>
      <c r="I923">
        <v>1</v>
      </c>
      <c r="J923">
        <v>420.92</v>
      </c>
      <c r="K923">
        <f t="shared" si="128"/>
        <v>5051.04</v>
      </c>
      <c r="L923">
        <f t="shared" si="129"/>
        <v>0</v>
      </c>
      <c r="M923">
        <f t="shared" si="126"/>
        <v>0</v>
      </c>
      <c r="N923">
        <f t="shared" si="130"/>
        <v>0</v>
      </c>
      <c r="O923">
        <f t="shared" si="131"/>
        <v>3075.3</v>
      </c>
      <c r="P923">
        <f t="shared" si="132"/>
        <v>768.82500000000005</v>
      </c>
      <c r="Q923">
        <f t="shared" si="133"/>
        <v>784.50903000000005</v>
      </c>
      <c r="R923">
        <f t="shared" si="134"/>
        <v>400.43999999999994</v>
      </c>
      <c r="S923">
        <f t="shared" si="127"/>
        <v>5051.04</v>
      </c>
    </row>
    <row r="924" spans="1:19" x14ac:dyDescent="0.25">
      <c r="A924">
        <v>1054</v>
      </c>
      <c r="B924">
        <v>1340</v>
      </c>
      <c r="C924" t="s">
        <v>32</v>
      </c>
      <c r="D924" t="s">
        <v>173</v>
      </c>
      <c r="E924">
        <v>20</v>
      </c>
      <c r="F924">
        <v>15.69</v>
      </c>
      <c r="G924">
        <v>2.94</v>
      </c>
      <c r="H924">
        <v>27.14</v>
      </c>
      <c r="I924">
        <v>0.8</v>
      </c>
      <c r="J924">
        <v>87.31</v>
      </c>
      <c r="K924">
        <f t="shared" si="128"/>
        <v>1746.2</v>
      </c>
      <c r="L924">
        <f t="shared" si="129"/>
        <v>1746.2</v>
      </c>
      <c r="M924">
        <f t="shared" si="126"/>
        <v>922.57199999999989</v>
      </c>
      <c r="N924">
        <f t="shared" si="130"/>
        <v>230.64299999999997</v>
      </c>
      <c r="O924">
        <f t="shared" si="131"/>
        <v>922.57199999999989</v>
      </c>
      <c r="P924">
        <f t="shared" si="132"/>
        <v>230.64299999999997</v>
      </c>
      <c r="Q924">
        <f t="shared" si="133"/>
        <v>235.34811719999996</v>
      </c>
      <c r="R924">
        <f t="shared" si="134"/>
        <v>434.24</v>
      </c>
      <c r="S924">
        <f t="shared" si="127"/>
        <v>1746.2</v>
      </c>
    </row>
    <row r="925" spans="1:19" x14ac:dyDescent="0.25">
      <c r="A925">
        <v>1055</v>
      </c>
      <c r="B925">
        <v>1340</v>
      </c>
      <c r="C925" t="s">
        <v>32</v>
      </c>
      <c r="D925" t="s">
        <v>172</v>
      </c>
      <c r="E925">
        <v>15</v>
      </c>
      <c r="F925">
        <v>20.010000000000002</v>
      </c>
      <c r="G925">
        <v>11.97</v>
      </c>
      <c r="H925">
        <v>30.59</v>
      </c>
      <c r="I925">
        <v>0.98</v>
      </c>
      <c r="J925">
        <v>391.96</v>
      </c>
      <c r="K925">
        <f t="shared" si="128"/>
        <v>5879.4</v>
      </c>
      <c r="L925">
        <f t="shared" si="129"/>
        <v>0</v>
      </c>
      <c r="M925">
        <f t="shared" si="126"/>
        <v>0</v>
      </c>
      <c r="N925">
        <f t="shared" si="130"/>
        <v>0</v>
      </c>
      <c r="O925">
        <f t="shared" si="131"/>
        <v>3592.7955000000006</v>
      </c>
      <c r="P925">
        <f t="shared" si="132"/>
        <v>898.19887500000016</v>
      </c>
      <c r="Q925">
        <f t="shared" si="133"/>
        <v>916.5221320500001</v>
      </c>
      <c r="R925">
        <f t="shared" si="134"/>
        <v>449.673</v>
      </c>
      <c r="S925">
        <f t="shared" si="127"/>
        <v>5879.4</v>
      </c>
    </row>
    <row r="926" spans="1:19" x14ac:dyDescent="0.25">
      <c r="A926">
        <v>1056</v>
      </c>
      <c r="B926">
        <v>1340</v>
      </c>
      <c r="C926" t="s">
        <v>32</v>
      </c>
      <c r="D926" t="s">
        <v>173</v>
      </c>
      <c r="E926">
        <v>21</v>
      </c>
      <c r="F926">
        <v>13.33</v>
      </c>
      <c r="G926">
        <v>2.82</v>
      </c>
      <c r="H926">
        <v>30.6</v>
      </c>
      <c r="I926">
        <v>0.78</v>
      </c>
      <c r="J926">
        <v>77.94</v>
      </c>
      <c r="K926">
        <f t="shared" si="128"/>
        <v>1636.74</v>
      </c>
      <c r="L926">
        <f t="shared" si="129"/>
        <v>1636.74</v>
      </c>
      <c r="M926">
        <f t="shared" si="126"/>
        <v>789.40260000000001</v>
      </c>
      <c r="N926">
        <f t="shared" si="130"/>
        <v>197.35065</v>
      </c>
      <c r="O926">
        <f t="shared" si="131"/>
        <v>789.40260000000001</v>
      </c>
      <c r="P926">
        <f t="shared" si="132"/>
        <v>197.35065</v>
      </c>
      <c r="Q926">
        <f t="shared" si="133"/>
        <v>201.37660326</v>
      </c>
      <c r="R926">
        <f t="shared" si="134"/>
        <v>501.22800000000001</v>
      </c>
      <c r="S926">
        <f t="shared" si="127"/>
        <v>1636.74</v>
      </c>
    </row>
    <row r="927" spans="1:19" x14ac:dyDescent="0.25">
      <c r="A927">
        <v>1057</v>
      </c>
      <c r="B927">
        <v>1340</v>
      </c>
      <c r="C927" t="s">
        <v>32</v>
      </c>
      <c r="D927" t="s">
        <v>173</v>
      </c>
      <c r="E927">
        <v>22</v>
      </c>
      <c r="F927">
        <v>14.39</v>
      </c>
      <c r="G927">
        <v>2.93</v>
      </c>
      <c r="H927">
        <v>34.85</v>
      </c>
      <c r="I927">
        <v>0.8</v>
      </c>
      <c r="J927">
        <v>88.64</v>
      </c>
      <c r="K927">
        <f t="shared" si="128"/>
        <v>1950.08</v>
      </c>
      <c r="L927">
        <f t="shared" si="129"/>
        <v>1950.08</v>
      </c>
      <c r="M927">
        <f t="shared" si="126"/>
        <v>927.57940000000019</v>
      </c>
      <c r="N927">
        <f t="shared" si="130"/>
        <v>231.89485000000005</v>
      </c>
      <c r="O927">
        <f t="shared" si="131"/>
        <v>927.57940000000019</v>
      </c>
      <c r="P927">
        <f t="shared" si="132"/>
        <v>231.89485000000005</v>
      </c>
      <c r="Q927">
        <f t="shared" si="133"/>
        <v>236.62550494000004</v>
      </c>
      <c r="R927">
        <f t="shared" si="134"/>
        <v>613.36000000000013</v>
      </c>
      <c r="S927">
        <f t="shared" si="127"/>
        <v>1950.08</v>
      </c>
    </row>
    <row r="928" spans="1:19" x14ac:dyDescent="0.25">
      <c r="A928">
        <v>1058</v>
      </c>
      <c r="B928">
        <v>1340</v>
      </c>
      <c r="C928" t="s">
        <v>32</v>
      </c>
      <c r="D928" t="s">
        <v>173</v>
      </c>
      <c r="E928">
        <v>9</v>
      </c>
      <c r="F928">
        <v>14.6</v>
      </c>
      <c r="G928">
        <v>2.91</v>
      </c>
      <c r="H928">
        <v>32.83</v>
      </c>
      <c r="I928">
        <v>0.8</v>
      </c>
      <c r="J928">
        <v>77.78</v>
      </c>
      <c r="K928">
        <f t="shared" si="128"/>
        <v>700.02</v>
      </c>
      <c r="L928">
        <f t="shared" si="129"/>
        <v>700.02</v>
      </c>
      <c r="M928">
        <f t="shared" si="126"/>
        <v>382.37400000000002</v>
      </c>
      <c r="N928">
        <f t="shared" si="130"/>
        <v>95.593500000000006</v>
      </c>
      <c r="O928">
        <f t="shared" si="131"/>
        <v>382.37400000000002</v>
      </c>
      <c r="P928">
        <f t="shared" si="132"/>
        <v>95.593500000000006</v>
      </c>
      <c r="Q928">
        <f t="shared" si="133"/>
        <v>97.543607399999999</v>
      </c>
      <c r="R928">
        <f t="shared" si="134"/>
        <v>236.376</v>
      </c>
      <c r="S928">
        <f t="shared" si="127"/>
        <v>700.02</v>
      </c>
    </row>
    <row r="929" spans="1:19" x14ac:dyDescent="0.25">
      <c r="A929">
        <v>1059</v>
      </c>
      <c r="B929">
        <v>1340</v>
      </c>
      <c r="C929" t="s">
        <v>32</v>
      </c>
      <c r="D929" t="s">
        <v>172</v>
      </c>
      <c r="E929">
        <v>12</v>
      </c>
      <c r="F929">
        <v>20.89</v>
      </c>
      <c r="G929">
        <v>10.25</v>
      </c>
      <c r="H929">
        <v>35</v>
      </c>
      <c r="I929">
        <v>1</v>
      </c>
      <c r="J929">
        <v>291.14999999999998</v>
      </c>
      <c r="K929">
        <f t="shared" si="128"/>
        <v>3493.7999999999997</v>
      </c>
      <c r="L929">
        <f t="shared" si="129"/>
        <v>0</v>
      </c>
      <c r="M929">
        <f t="shared" si="126"/>
        <v>0</v>
      </c>
      <c r="N929">
        <f t="shared" si="130"/>
        <v>0</v>
      </c>
      <c r="O929">
        <f t="shared" si="131"/>
        <v>2569.4700000000003</v>
      </c>
      <c r="P929">
        <f t="shared" si="132"/>
        <v>642.36750000000006</v>
      </c>
      <c r="Q929">
        <f t="shared" si="133"/>
        <v>655.47179700000004</v>
      </c>
      <c r="R929">
        <f t="shared" si="134"/>
        <v>420</v>
      </c>
      <c r="S929">
        <f t="shared" si="127"/>
        <v>3493.7999999999997</v>
      </c>
    </row>
    <row r="930" spans="1:19" x14ac:dyDescent="0.25">
      <c r="A930">
        <v>1060</v>
      </c>
      <c r="B930">
        <v>1340</v>
      </c>
      <c r="C930" t="s">
        <v>32</v>
      </c>
      <c r="D930" t="s">
        <v>173</v>
      </c>
      <c r="E930">
        <v>12</v>
      </c>
      <c r="F930">
        <v>13.9</v>
      </c>
      <c r="G930">
        <v>2.89</v>
      </c>
      <c r="H930">
        <v>30.69</v>
      </c>
      <c r="I930">
        <v>0.79</v>
      </c>
      <c r="J930">
        <v>81.900000000000006</v>
      </c>
      <c r="K930">
        <f t="shared" si="128"/>
        <v>982.80000000000007</v>
      </c>
      <c r="L930">
        <f t="shared" si="129"/>
        <v>982.80000000000007</v>
      </c>
      <c r="M930">
        <f t="shared" si="126"/>
        <v>482.05200000000002</v>
      </c>
      <c r="N930">
        <f t="shared" si="130"/>
        <v>120.51300000000001</v>
      </c>
      <c r="O930">
        <f t="shared" si="131"/>
        <v>482.05200000000002</v>
      </c>
      <c r="P930">
        <f t="shared" si="132"/>
        <v>120.51300000000001</v>
      </c>
      <c r="Q930">
        <f t="shared" si="133"/>
        <v>122.9714652</v>
      </c>
      <c r="R930">
        <f t="shared" si="134"/>
        <v>290.94120000000004</v>
      </c>
      <c r="S930">
        <f t="shared" si="127"/>
        <v>982.80000000000007</v>
      </c>
    </row>
    <row r="931" spans="1:19" x14ac:dyDescent="0.25">
      <c r="A931">
        <v>1061</v>
      </c>
      <c r="B931">
        <v>1341</v>
      </c>
      <c r="C931" t="s">
        <v>32</v>
      </c>
      <c r="D931" t="s">
        <v>172</v>
      </c>
      <c r="E931">
        <v>17</v>
      </c>
      <c r="F931">
        <v>19.23</v>
      </c>
      <c r="G931">
        <v>9.7899999999999991</v>
      </c>
      <c r="H931">
        <v>34.869999999999997</v>
      </c>
      <c r="I931">
        <v>1.08</v>
      </c>
      <c r="J931">
        <v>324.85000000000002</v>
      </c>
      <c r="K931">
        <f t="shared" si="128"/>
        <v>5522.4500000000007</v>
      </c>
      <c r="L931">
        <f t="shared" si="129"/>
        <v>0</v>
      </c>
      <c r="M931">
        <f t="shared" si="126"/>
        <v>0</v>
      </c>
      <c r="N931">
        <f t="shared" si="130"/>
        <v>0</v>
      </c>
      <c r="O931">
        <f t="shared" si="131"/>
        <v>3200.4488999999999</v>
      </c>
      <c r="P931">
        <f t="shared" si="132"/>
        <v>800.11222499999997</v>
      </c>
      <c r="Q931">
        <f t="shared" si="133"/>
        <v>816.43451438999989</v>
      </c>
      <c r="R931">
        <f t="shared" si="134"/>
        <v>640.21319999999992</v>
      </c>
      <c r="S931">
        <f t="shared" si="127"/>
        <v>5522.4500000000007</v>
      </c>
    </row>
    <row r="932" spans="1:19" x14ac:dyDescent="0.25">
      <c r="A932">
        <v>1062</v>
      </c>
      <c r="B932">
        <v>1341</v>
      </c>
      <c r="C932" t="s">
        <v>32</v>
      </c>
      <c r="D932" t="s">
        <v>172</v>
      </c>
      <c r="E932">
        <v>11</v>
      </c>
      <c r="F932">
        <v>19.8</v>
      </c>
      <c r="G932">
        <v>11.27</v>
      </c>
      <c r="H932">
        <v>31.64</v>
      </c>
      <c r="I932">
        <v>1.02</v>
      </c>
      <c r="J932">
        <v>370.33</v>
      </c>
      <c r="K932">
        <f t="shared" si="128"/>
        <v>4073.6299999999997</v>
      </c>
      <c r="L932">
        <f t="shared" si="129"/>
        <v>0</v>
      </c>
      <c r="M932">
        <f t="shared" si="126"/>
        <v>0</v>
      </c>
      <c r="N932">
        <f t="shared" si="130"/>
        <v>0</v>
      </c>
      <c r="O932">
        <f t="shared" si="131"/>
        <v>2454.6060000000002</v>
      </c>
      <c r="P932">
        <f t="shared" si="132"/>
        <v>613.65150000000006</v>
      </c>
      <c r="Q932">
        <f t="shared" si="133"/>
        <v>626.16999060000001</v>
      </c>
      <c r="R932">
        <f t="shared" si="134"/>
        <v>355.00080000000003</v>
      </c>
      <c r="S932">
        <f t="shared" si="127"/>
        <v>4073.6299999999997</v>
      </c>
    </row>
    <row r="933" spans="1:19" x14ac:dyDescent="0.25">
      <c r="A933">
        <v>1063</v>
      </c>
      <c r="B933">
        <v>1341</v>
      </c>
      <c r="C933" t="s">
        <v>32</v>
      </c>
      <c r="D933" t="s">
        <v>172</v>
      </c>
      <c r="E933">
        <v>18</v>
      </c>
      <c r="F933">
        <v>22.15</v>
      </c>
      <c r="G933">
        <v>9.77</v>
      </c>
      <c r="H933">
        <v>28.53</v>
      </c>
      <c r="I933">
        <v>0.89</v>
      </c>
      <c r="J933">
        <v>352.12</v>
      </c>
      <c r="K933">
        <f t="shared" si="128"/>
        <v>6338.16</v>
      </c>
      <c r="L933">
        <f t="shared" si="129"/>
        <v>0</v>
      </c>
      <c r="M933">
        <f t="shared" si="126"/>
        <v>0</v>
      </c>
      <c r="N933">
        <f t="shared" si="130"/>
        <v>0</v>
      </c>
      <c r="O933">
        <f t="shared" si="131"/>
        <v>3895.2989999999995</v>
      </c>
      <c r="P933">
        <f t="shared" si="132"/>
        <v>973.82474999999988</v>
      </c>
      <c r="Q933">
        <f t="shared" si="133"/>
        <v>993.69077489999984</v>
      </c>
      <c r="R933">
        <f t="shared" si="134"/>
        <v>457.05060000000003</v>
      </c>
      <c r="S933">
        <f t="shared" si="127"/>
        <v>6338.16</v>
      </c>
    </row>
    <row r="934" spans="1:19" x14ac:dyDescent="0.25">
      <c r="A934">
        <v>1064</v>
      </c>
      <c r="B934">
        <v>1341</v>
      </c>
      <c r="C934" t="s">
        <v>32</v>
      </c>
      <c r="D934" t="s">
        <v>172</v>
      </c>
      <c r="E934">
        <v>15</v>
      </c>
      <c r="F934">
        <v>18.440000000000001</v>
      </c>
      <c r="G934">
        <v>11.53</v>
      </c>
      <c r="H934">
        <v>29.35</v>
      </c>
      <c r="I934">
        <v>1.06</v>
      </c>
      <c r="J934">
        <v>353.28</v>
      </c>
      <c r="K934">
        <f t="shared" si="128"/>
        <v>5299.2</v>
      </c>
      <c r="L934">
        <f t="shared" si="129"/>
        <v>0</v>
      </c>
      <c r="M934">
        <f t="shared" si="126"/>
        <v>0</v>
      </c>
      <c r="N934">
        <f t="shared" si="130"/>
        <v>0</v>
      </c>
      <c r="O934">
        <f t="shared" si="131"/>
        <v>3189.1979999999999</v>
      </c>
      <c r="P934">
        <f t="shared" si="132"/>
        <v>797.29949999999997</v>
      </c>
      <c r="Q934">
        <f t="shared" si="133"/>
        <v>813.56440979999991</v>
      </c>
      <c r="R934">
        <f t="shared" si="134"/>
        <v>466.66500000000002</v>
      </c>
      <c r="S934">
        <f t="shared" si="127"/>
        <v>5299.2</v>
      </c>
    </row>
    <row r="935" spans="1:19" x14ac:dyDescent="0.25">
      <c r="A935">
        <v>1065</v>
      </c>
      <c r="B935">
        <v>1341</v>
      </c>
      <c r="C935" t="s">
        <v>32</v>
      </c>
      <c r="D935" t="s">
        <v>173</v>
      </c>
      <c r="E935">
        <v>14</v>
      </c>
      <c r="F935">
        <v>15.89</v>
      </c>
      <c r="G935">
        <v>3.12</v>
      </c>
      <c r="H935">
        <v>33.39</v>
      </c>
      <c r="I935">
        <v>0.79</v>
      </c>
      <c r="J935">
        <v>97.18</v>
      </c>
      <c r="K935">
        <f t="shared" si="128"/>
        <v>1360.52</v>
      </c>
      <c r="L935">
        <f t="shared" si="129"/>
        <v>1360.52</v>
      </c>
      <c r="M935">
        <f t="shared" si="126"/>
        <v>694.0752</v>
      </c>
      <c r="N935">
        <f t="shared" si="130"/>
        <v>173.5188</v>
      </c>
      <c r="O935">
        <f t="shared" si="131"/>
        <v>694.0752</v>
      </c>
      <c r="P935">
        <f t="shared" si="132"/>
        <v>173.5188</v>
      </c>
      <c r="Q935">
        <f t="shared" si="133"/>
        <v>177.05858351999998</v>
      </c>
      <c r="R935">
        <f t="shared" si="134"/>
        <v>369.29340000000002</v>
      </c>
      <c r="S935">
        <f t="shared" si="127"/>
        <v>1360.52</v>
      </c>
    </row>
    <row r="936" spans="1:19" x14ac:dyDescent="0.25">
      <c r="A936">
        <v>1066</v>
      </c>
      <c r="B936">
        <v>1341</v>
      </c>
      <c r="C936" t="s">
        <v>32</v>
      </c>
      <c r="D936" t="s">
        <v>172</v>
      </c>
      <c r="E936">
        <v>34</v>
      </c>
      <c r="F936">
        <v>19.78</v>
      </c>
      <c r="G936">
        <v>9.86</v>
      </c>
      <c r="H936">
        <v>32.56</v>
      </c>
      <c r="I936">
        <v>0.99</v>
      </c>
      <c r="J936">
        <v>328.47</v>
      </c>
      <c r="K936">
        <f t="shared" si="128"/>
        <v>11167.980000000001</v>
      </c>
      <c r="L936">
        <f t="shared" si="129"/>
        <v>0</v>
      </c>
      <c r="M936">
        <f t="shared" si="126"/>
        <v>0</v>
      </c>
      <c r="N936">
        <f t="shared" si="130"/>
        <v>0</v>
      </c>
      <c r="O936">
        <f t="shared" si="131"/>
        <v>6631.0472000000009</v>
      </c>
      <c r="P936">
        <f t="shared" si="132"/>
        <v>1657.7618000000002</v>
      </c>
      <c r="Q936">
        <f t="shared" si="133"/>
        <v>1691.5801407200001</v>
      </c>
      <c r="R936">
        <f t="shared" si="134"/>
        <v>1095.9695999999999</v>
      </c>
      <c r="S936">
        <f t="shared" si="127"/>
        <v>11167.980000000001</v>
      </c>
    </row>
    <row r="937" spans="1:19" x14ac:dyDescent="0.25">
      <c r="A937">
        <v>1067</v>
      </c>
      <c r="B937">
        <v>1341</v>
      </c>
      <c r="C937" t="s">
        <v>32</v>
      </c>
      <c r="D937" t="s">
        <v>173</v>
      </c>
      <c r="E937">
        <v>7</v>
      </c>
      <c r="F937">
        <v>16.62</v>
      </c>
      <c r="G937">
        <v>2.68</v>
      </c>
      <c r="H937">
        <v>29.13</v>
      </c>
      <c r="I937">
        <v>0.8</v>
      </c>
      <c r="J937">
        <v>86.88</v>
      </c>
      <c r="K937">
        <f t="shared" si="128"/>
        <v>608.16</v>
      </c>
      <c r="L937">
        <f t="shared" si="129"/>
        <v>608.16</v>
      </c>
      <c r="M937">
        <f t="shared" si="126"/>
        <v>311.79120000000006</v>
      </c>
      <c r="N937">
        <f t="shared" si="130"/>
        <v>77.947800000000015</v>
      </c>
      <c r="O937">
        <f t="shared" si="131"/>
        <v>311.79120000000006</v>
      </c>
      <c r="P937">
        <f t="shared" si="132"/>
        <v>77.947800000000015</v>
      </c>
      <c r="Q937">
        <f t="shared" si="133"/>
        <v>79.537935120000014</v>
      </c>
      <c r="R937">
        <f t="shared" si="134"/>
        <v>163.12800000000001</v>
      </c>
      <c r="S937">
        <f t="shared" si="127"/>
        <v>608.16</v>
      </c>
    </row>
    <row r="938" spans="1:19" x14ac:dyDescent="0.25">
      <c r="A938">
        <v>1068</v>
      </c>
      <c r="B938">
        <v>1342</v>
      </c>
      <c r="C938" t="s">
        <v>32</v>
      </c>
      <c r="D938" t="s">
        <v>172</v>
      </c>
      <c r="E938">
        <v>11</v>
      </c>
      <c r="F938">
        <v>20.87</v>
      </c>
      <c r="G938">
        <v>12.23</v>
      </c>
      <c r="H938">
        <v>29.35</v>
      </c>
      <c r="I938">
        <v>0.98</v>
      </c>
      <c r="J938">
        <v>413.9</v>
      </c>
      <c r="K938">
        <f t="shared" si="128"/>
        <v>4552.8999999999996</v>
      </c>
      <c r="L938">
        <f t="shared" si="129"/>
        <v>0</v>
      </c>
      <c r="M938">
        <f t="shared" si="126"/>
        <v>0</v>
      </c>
      <c r="N938">
        <f t="shared" si="130"/>
        <v>0</v>
      </c>
      <c r="O938">
        <f t="shared" si="131"/>
        <v>2807.6411000000003</v>
      </c>
      <c r="P938">
        <f t="shared" si="132"/>
        <v>701.91027500000007</v>
      </c>
      <c r="Q938">
        <f t="shared" si="133"/>
        <v>716.22924461000002</v>
      </c>
      <c r="R938">
        <f t="shared" si="134"/>
        <v>316.39299999999997</v>
      </c>
      <c r="S938">
        <f t="shared" si="127"/>
        <v>4552.8999999999996</v>
      </c>
    </row>
    <row r="939" spans="1:19" x14ac:dyDescent="0.25">
      <c r="A939">
        <v>1069</v>
      </c>
      <c r="B939">
        <v>1342</v>
      </c>
      <c r="C939" t="s">
        <v>32</v>
      </c>
      <c r="D939" t="s">
        <v>172</v>
      </c>
      <c r="E939">
        <v>12</v>
      </c>
      <c r="F939">
        <v>20.059999999999999</v>
      </c>
      <c r="G939">
        <v>12.22</v>
      </c>
      <c r="H939">
        <v>25.15</v>
      </c>
      <c r="I939">
        <v>0.98</v>
      </c>
      <c r="J939">
        <v>393.96</v>
      </c>
      <c r="K939">
        <f t="shared" si="128"/>
        <v>4727.5199999999995</v>
      </c>
      <c r="L939">
        <f t="shared" si="129"/>
        <v>0</v>
      </c>
      <c r="M939">
        <f t="shared" si="126"/>
        <v>0</v>
      </c>
      <c r="N939">
        <f t="shared" si="130"/>
        <v>0</v>
      </c>
      <c r="O939">
        <f t="shared" si="131"/>
        <v>2941.5984000000003</v>
      </c>
      <c r="P939">
        <f t="shared" si="132"/>
        <v>735.39960000000008</v>
      </c>
      <c r="Q939">
        <f t="shared" si="133"/>
        <v>750.40175184000009</v>
      </c>
      <c r="R939">
        <f t="shared" si="134"/>
        <v>295.76399999999995</v>
      </c>
      <c r="S939">
        <f t="shared" si="127"/>
        <v>4727.5199999999995</v>
      </c>
    </row>
    <row r="940" spans="1:19" x14ac:dyDescent="0.25">
      <c r="A940">
        <v>1070</v>
      </c>
      <c r="B940">
        <v>1342</v>
      </c>
      <c r="C940" t="s">
        <v>32</v>
      </c>
      <c r="D940" t="s">
        <v>173</v>
      </c>
      <c r="E940">
        <v>12</v>
      </c>
      <c r="F940">
        <v>15.55</v>
      </c>
      <c r="G940">
        <v>2.85</v>
      </c>
      <c r="H940">
        <v>30.38</v>
      </c>
      <c r="I940">
        <v>0.81</v>
      </c>
      <c r="J940">
        <v>88</v>
      </c>
      <c r="K940">
        <f t="shared" si="128"/>
        <v>1056</v>
      </c>
      <c r="L940">
        <f t="shared" si="129"/>
        <v>1056</v>
      </c>
      <c r="M940">
        <f t="shared" si="126"/>
        <v>531.81000000000006</v>
      </c>
      <c r="N940">
        <f t="shared" si="130"/>
        <v>132.95250000000001</v>
      </c>
      <c r="O940">
        <f t="shared" si="131"/>
        <v>531.81000000000006</v>
      </c>
      <c r="P940">
        <f t="shared" si="132"/>
        <v>132.95250000000001</v>
      </c>
      <c r="Q940">
        <f t="shared" si="133"/>
        <v>135.66473100000002</v>
      </c>
      <c r="R940">
        <f t="shared" si="134"/>
        <v>295.29360000000003</v>
      </c>
      <c r="S940">
        <f t="shared" si="127"/>
        <v>1056</v>
      </c>
    </row>
    <row r="941" spans="1:19" x14ac:dyDescent="0.25">
      <c r="A941">
        <v>1071</v>
      </c>
      <c r="B941">
        <v>1342</v>
      </c>
      <c r="C941" t="s">
        <v>32</v>
      </c>
      <c r="D941" t="s">
        <v>173</v>
      </c>
      <c r="E941">
        <v>14</v>
      </c>
      <c r="F941">
        <v>15.12</v>
      </c>
      <c r="G941">
        <v>2.88</v>
      </c>
      <c r="H941">
        <v>31.18</v>
      </c>
      <c r="I941">
        <v>0.79</v>
      </c>
      <c r="J941">
        <v>86.97</v>
      </c>
      <c r="K941">
        <f t="shared" si="128"/>
        <v>1217.58</v>
      </c>
      <c r="L941">
        <f t="shared" si="129"/>
        <v>1217.58</v>
      </c>
      <c r="M941">
        <f t="shared" si="126"/>
        <v>609.63839999999993</v>
      </c>
      <c r="N941">
        <f t="shared" si="130"/>
        <v>152.40959999999998</v>
      </c>
      <c r="O941">
        <f t="shared" si="131"/>
        <v>609.63839999999993</v>
      </c>
      <c r="P941">
        <f t="shared" si="132"/>
        <v>152.40959999999998</v>
      </c>
      <c r="Q941">
        <f t="shared" si="133"/>
        <v>155.51875583999998</v>
      </c>
      <c r="R941">
        <f t="shared" si="134"/>
        <v>344.85079999999999</v>
      </c>
      <c r="S941">
        <f t="shared" si="127"/>
        <v>1217.58</v>
      </c>
    </row>
    <row r="942" spans="1:19" x14ac:dyDescent="0.25">
      <c r="A942">
        <v>1072</v>
      </c>
      <c r="B942">
        <v>1342</v>
      </c>
      <c r="C942" t="s">
        <v>32</v>
      </c>
      <c r="D942" t="s">
        <v>173</v>
      </c>
      <c r="E942">
        <v>14</v>
      </c>
      <c r="F942">
        <v>15.12</v>
      </c>
      <c r="G942">
        <v>3.01</v>
      </c>
      <c r="H942">
        <v>30.03</v>
      </c>
      <c r="I942">
        <v>0.79</v>
      </c>
      <c r="J942">
        <v>88.67</v>
      </c>
      <c r="K942">
        <f t="shared" si="128"/>
        <v>1241.3800000000001</v>
      </c>
      <c r="L942">
        <f t="shared" si="129"/>
        <v>1241.3800000000001</v>
      </c>
      <c r="M942">
        <f t="shared" si="126"/>
        <v>637.15679999999998</v>
      </c>
      <c r="N942">
        <f t="shared" si="130"/>
        <v>159.28919999999999</v>
      </c>
      <c r="O942">
        <f t="shared" si="131"/>
        <v>637.15679999999998</v>
      </c>
      <c r="P942">
        <f t="shared" si="132"/>
        <v>159.28919999999999</v>
      </c>
      <c r="Q942">
        <f t="shared" si="133"/>
        <v>162.53869967999998</v>
      </c>
      <c r="R942">
        <f t="shared" si="134"/>
        <v>332.13180000000006</v>
      </c>
      <c r="S942">
        <f t="shared" si="127"/>
        <v>1241.3800000000001</v>
      </c>
    </row>
    <row r="943" spans="1:19" x14ac:dyDescent="0.25">
      <c r="A943">
        <v>1073</v>
      </c>
      <c r="B943">
        <v>1342</v>
      </c>
      <c r="C943" t="s">
        <v>32</v>
      </c>
      <c r="D943" t="s">
        <v>173</v>
      </c>
      <c r="E943">
        <v>15</v>
      </c>
      <c r="F943">
        <v>14.75</v>
      </c>
      <c r="G943">
        <v>2.5499999999999998</v>
      </c>
      <c r="H943">
        <v>32.520000000000003</v>
      </c>
      <c r="I943">
        <v>0.8</v>
      </c>
      <c r="J943">
        <v>80.34</v>
      </c>
      <c r="K943">
        <f t="shared" si="128"/>
        <v>1205.1000000000001</v>
      </c>
      <c r="L943">
        <f t="shared" si="129"/>
        <v>1205.1000000000001</v>
      </c>
      <c r="M943">
        <f t="shared" si="126"/>
        <v>564.1875</v>
      </c>
      <c r="N943">
        <f t="shared" si="130"/>
        <v>141.046875</v>
      </c>
      <c r="O943">
        <f t="shared" si="131"/>
        <v>564.1875</v>
      </c>
      <c r="P943">
        <f t="shared" si="132"/>
        <v>141.046875</v>
      </c>
      <c r="Q943">
        <f t="shared" si="133"/>
        <v>143.92423124999999</v>
      </c>
      <c r="R943">
        <f t="shared" si="134"/>
        <v>390.24</v>
      </c>
      <c r="S943">
        <f t="shared" si="127"/>
        <v>1205.1000000000001</v>
      </c>
    </row>
    <row r="944" spans="1:19" x14ac:dyDescent="0.25">
      <c r="A944">
        <v>1074</v>
      </c>
      <c r="B944">
        <v>1342</v>
      </c>
      <c r="C944" t="s">
        <v>32</v>
      </c>
      <c r="D944" t="s">
        <v>172</v>
      </c>
      <c r="E944">
        <v>15</v>
      </c>
      <c r="F944">
        <v>19.899999999999999</v>
      </c>
      <c r="G944">
        <v>10.18</v>
      </c>
      <c r="H944">
        <v>32.229999999999997</v>
      </c>
      <c r="I944">
        <v>1.03</v>
      </c>
      <c r="J944">
        <v>340.84</v>
      </c>
      <c r="K944">
        <f t="shared" si="128"/>
        <v>5112.5999999999995</v>
      </c>
      <c r="L944">
        <f t="shared" si="129"/>
        <v>0</v>
      </c>
      <c r="M944">
        <f t="shared" si="126"/>
        <v>0</v>
      </c>
      <c r="N944">
        <f t="shared" si="130"/>
        <v>0</v>
      </c>
      <c r="O944">
        <f t="shared" si="131"/>
        <v>3038.7299999999996</v>
      </c>
      <c r="P944">
        <f t="shared" si="132"/>
        <v>759.68249999999989</v>
      </c>
      <c r="Q944">
        <f t="shared" si="133"/>
        <v>775.18002299999989</v>
      </c>
      <c r="R944">
        <f t="shared" si="134"/>
        <v>497.95349999999996</v>
      </c>
      <c r="S944">
        <f t="shared" si="127"/>
        <v>5112.5999999999995</v>
      </c>
    </row>
    <row r="945" spans="1:19" x14ac:dyDescent="0.25">
      <c r="A945">
        <v>1075</v>
      </c>
      <c r="B945">
        <v>1342</v>
      </c>
      <c r="C945" t="s">
        <v>32</v>
      </c>
      <c r="D945" t="s">
        <v>173</v>
      </c>
      <c r="E945">
        <v>13</v>
      </c>
      <c r="F945">
        <v>14.22</v>
      </c>
      <c r="G945">
        <v>2.79</v>
      </c>
      <c r="H945">
        <v>30.5</v>
      </c>
      <c r="I945">
        <v>0.79</v>
      </c>
      <c r="J945">
        <v>81.06</v>
      </c>
      <c r="K945">
        <f t="shared" si="128"/>
        <v>1053.78</v>
      </c>
      <c r="L945">
        <f t="shared" si="129"/>
        <v>1053.78</v>
      </c>
      <c r="M945">
        <f t="shared" si="126"/>
        <v>515.75940000000003</v>
      </c>
      <c r="N945">
        <f t="shared" si="130"/>
        <v>128.93985000000001</v>
      </c>
      <c r="O945">
        <f t="shared" si="131"/>
        <v>515.75940000000003</v>
      </c>
      <c r="P945">
        <f t="shared" si="132"/>
        <v>128.93985000000001</v>
      </c>
      <c r="Q945">
        <f t="shared" si="133"/>
        <v>131.57022294000001</v>
      </c>
      <c r="R945">
        <f t="shared" si="134"/>
        <v>313.23500000000001</v>
      </c>
      <c r="S945">
        <f t="shared" si="127"/>
        <v>1053.78</v>
      </c>
    </row>
    <row r="946" spans="1:19" x14ac:dyDescent="0.25">
      <c r="A946">
        <v>1076</v>
      </c>
      <c r="B946">
        <v>1343</v>
      </c>
      <c r="C946" t="s">
        <v>33</v>
      </c>
      <c r="D946" t="s">
        <v>172</v>
      </c>
      <c r="E946">
        <v>12</v>
      </c>
      <c r="F946">
        <v>19.53</v>
      </c>
      <c r="G946">
        <v>9.9700000000000006</v>
      </c>
      <c r="H946">
        <v>30.41</v>
      </c>
      <c r="I946">
        <v>1.1200000000000001</v>
      </c>
      <c r="J946">
        <v>330.17</v>
      </c>
      <c r="K946">
        <f t="shared" si="128"/>
        <v>3962.04</v>
      </c>
      <c r="L946">
        <f t="shared" si="129"/>
        <v>0</v>
      </c>
      <c r="M946">
        <f t="shared" si="126"/>
        <v>0</v>
      </c>
      <c r="N946">
        <f t="shared" si="130"/>
        <v>0</v>
      </c>
      <c r="O946">
        <f t="shared" si="131"/>
        <v>2336.5692000000004</v>
      </c>
      <c r="P946">
        <f t="shared" si="132"/>
        <v>584.14230000000009</v>
      </c>
      <c r="Q946">
        <f t="shared" si="133"/>
        <v>596.05880292000006</v>
      </c>
      <c r="R946">
        <f t="shared" si="134"/>
        <v>408.71040000000005</v>
      </c>
      <c r="S946">
        <f t="shared" si="127"/>
        <v>3962.04</v>
      </c>
    </row>
    <row r="947" spans="1:19" x14ac:dyDescent="0.25">
      <c r="A947">
        <v>1077</v>
      </c>
      <c r="B947">
        <v>1343</v>
      </c>
      <c r="C947" t="s">
        <v>33</v>
      </c>
      <c r="D947" t="s">
        <v>172</v>
      </c>
      <c r="E947">
        <v>12</v>
      </c>
      <c r="F947">
        <v>19.62</v>
      </c>
      <c r="G947">
        <v>10.6</v>
      </c>
      <c r="H947">
        <v>34.630000000000003</v>
      </c>
      <c r="I947">
        <v>1.03</v>
      </c>
      <c r="J947">
        <v>351.8</v>
      </c>
      <c r="K947">
        <f t="shared" si="128"/>
        <v>4221.6000000000004</v>
      </c>
      <c r="L947">
        <f t="shared" si="129"/>
        <v>0</v>
      </c>
      <c r="M947">
        <f t="shared" si="126"/>
        <v>0</v>
      </c>
      <c r="N947">
        <f t="shared" si="130"/>
        <v>0</v>
      </c>
      <c r="O947">
        <f t="shared" si="131"/>
        <v>2495.6639999999998</v>
      </c>
      <c r="P947">
        <f t="shared" si="132"/>
        <v>623.91599999999994</v>
      </c>
      <c r="Q947">
        <f t="shared" si="133"/>
        <v>636.64388639999993</v>
      </c>
      <c r="R947">
        <f t="shared" si="134"/>
        <v>428.02680000000004</v>
      </c>
      <c r="S947">
        <f t="shared" si="127"/>
        <v>4221.6000000000004</v>
      </c>
    </row>
    <row r="948" spans="1:19" x14ac:dyDescent="0.25">
      <c r="A948">
        <v>1078</v>
      </c>
      <c r="B948">
        <v>1343</v>
      </c>
      <c r="C948" t="s">
        <v>33</v>
      </c>
      <c r="D948" t="s">
        <v>173</v>
      </c>
      <c r="E948">
        <v>16</v>
      </c>
      <c r="F948">
        <v>13.97</v>
      </c>
      <c r="G948">
        <v>3.2</v>
      </c>
      <c r="H948">
        <v>29.47</v>
      </c>
      <c r="I948">
        <v>0.79</v>
      </c>
      <c r="J948">
        <v>87.08</v>
      </c>
      <c r="K948">
        <f t="shared" si="128"/>
        <v>1393.28</v>
      </c>
      <c r="L948">
        <f t="shared" si="129"/>
        <v>1393.28</v>
      </c>
      <c r="M948">
        <f t="shared" si="126"/>
        <v>715.26400000000012</v>
      </c>
      <c r="N948">
        <f t="shared" si="130"/>
        <v>178.81600000000003</v>
      </c>
      <c r="O948">
        <f t="shared" si="131"/>
        <v>715.26400000000012</v>
      </c>
      <c r="P948">
        <f t="shared" si="132"/>
        <v>178.81600000000003</v>
      </c>
      <c r="Q948">
        <f t="shared" si="133"/>
        <v>182.46384640000002</v>
      </c>
      <c r="R948">
        <f t="shared" si="134"/>
        <v>372.50080000000003</v>
      </c>
      <c r="S948">
        <f t="shared" si="127"/>
        <v>1393.28</v>
      </c>
    </row>
    <row r="949" spans="1:19" x14ac:dyDescent="0.25">
      <c r="A949">
        <v>1079</v>
      </c>
      <c r="B949">
        <v>1343</v>
      </c>
      <c r="C949" t="s">
        <v>33</v>
      </c>
      <c r="D949" t="s">
        <v>172</v>
      </c>
      <c r="E949">
        <v>14</v>
      </c>
      <c r="F949">
        <v>19.559999999999999</v>
      </c>
      <c r="G949">
        <v>9.23</v>
      </c>
      <c r="H949">
        <v>32.130000000000003</v>
      </c>
      <c r="I949">
        <v>0.91</v>
      </c>
      <c r="J949">
        <v>303.35000000000002</v>
      </c>
      <c r="K949">
        <f t="shared" si="128"/>
        <v>4246.9000000000005</v>
      </c>
      <c r="L949">
        <f t="shared" si="129"/>
        <v>0</v>
      </c>
      <c r="M949">
        <f t="shared" si="126"/>
        <v>0</v>
      </c>
      <c r="N949">
        <f t="shared" si="130"/>
        <v>0</v>
      </c>
      <c r="O949">
        <f t="shared" si="131"/>
        <v>2527.5431999999996</v>
      </c>
      <c r="P949">
        <f t="shared" si="132"/>
        <v>631.8857999999999</v>
      </c>
      <c r="Q949">
        <f t="shared" si="133"/>
        <v>644.77627031999987</v>
      </c>
      <c r="R949">
        <f t="shared" si="134"/>
        <v>409.33620000000002</v>
      </c>
      <c r="S949">
        <f t="shared" si="127"/>
        <v>4246.9000000000005</v>
      </c>
    </row>
    <row r="950" spans="1:19" x14ac:dyDescent="0.25">
      <c r="A950">
        <v>1080</v>
      </c>
      <c r="B950">
        <v>1343</v>
      </c>
      <c r="C950" t="s">
        <v>33</v>
      </c>
      <c r="D950" t="s">
        <v>172</v>
      </c>
      <c r="E950">
        <v>10</v>
      </c>
      <c r="F950">
        <v>20.05</v>
      </c>
      <c r="G950">
        <v>11.37</v>
      </c>
      <c r="H950">
        <v>27.81</v>
      </c>
      <c r="I950">
        <v>1.01</v>
      </c>
      <c r="J950">
        <v>372.53</v>
      </c>
      <c r="K950">
        <f t="shared" si="128"/>
        <v>3725.2999999999997</v>
      </c>
      <c r="L950">
        <f t="shared" si="129"/>
        <v>0</v>
      </c>
      <c r="M950">
        <f t="shared" si="126"/>
        <v>0</v>
      </c>
      <c r="N950">
        <f t="shared" si="130"/>
        <v>0</v>
      </c>
      <c r="O950">
        <f t="shared" si="131"/>
        <v>2279.6849999999999</v>
      </c>
      <c r="P950">
        <f t="shared" si="132"/>
        <v>569.92124999999999</v>
      </c>
      <c r="Q950">
        <f t="shared" si="133"/>
        <v>581.54764349999994</v>
      </c>
      <c r="R950">
        <f t="shared" si="134"/>
        <v>280.88099999999997</v>
      </c>
      <c r="S950">
        <f t="shared" si="127"/>
        <v>3725.2999999999997</v>
      </c>
    </row>
    <row r="951" spans="1:19" x14ac:dyDescent="0.25">
      <c r="A951">
        <v>1081</v>
      </c>
      <c r="B951">
        <v>1343</v>
      </c>
      <c r="C951" t="s">
        <v>33</v>
      </c>
      <c r="D951" t="s">
        <v>173</v>
      </c>
      <c r="E951">
        <v>17</v>
      </c>
      <c r="F951">
        <v>14.91</v>
      </c>
      <c r="G951">
        <v>2.66</v>
      </c>
      <c r="H951">
        <v>31.81</v>
      </c>
      <c r="I951">
        <v>0.77</v>
      </c>
      <c r="J951">
        <v>81.48</v>
      </c>
      <c r="K951">
        <f t="shared" si="128"/>
        <v>1385.16</v>
      </c>
      <c r="L951">
        <f t="shared" si="129"/>
        <v>1385.16</v>
      </c>
      <c r="M951">
        <f t="shared" si="126"/>
        <v>674.23019999999997</v>
      </c>
      <c r="N951">
        <f t="shared" si="130"/>
        <v>168.55754999999999</v>
      </c>
      <c r="O951">
        <f t="shared" si="131"/>
        <v>674.23019999999997</v>
      </c>
      <c r="P951">
        <f t="shared" si="132"/>
        <v>168.55754999999999</v>
      </c>
      <c r="Q951">
        <f t="shared" si="133"/>
        <v>171.99612402</v>
      </c>
      <c r="R951">
        <f t="shared" si="134"/>
        <v>416.3929</v>
      </c>
      <c r="S951">
        <f t="shared" si="127"/>
        <v>1385.16</v>
      </c>
    </row>
    <row r="952" spans="1:19" x14ac:dyDescent="0.25">
      <c r="A952">
        <v>1082</v>
      </c>
      <c r="B952">
        <v>1343</v>
      </c>
      <c r="C952" t="s">
        <v>33</v>
      </c>
      <c r="D952" t="s">
        <v>173</v>
      </c>
      <c r="E952">
        <v>13</v>
      </c>
      <c r="F952">
        <v>15.7</v>
      </c>
      <c r="G952">
        <v>3.01</v>
      </c>
      <c r="H952">
        <v>30.07</v>
      </c>
      <c r="I952">
        <v>0.79</v>
      </c>
      <c r="J952">
        <v>91.11</v>
      </c>
      <c r="K952">
        <f t="shared" si="128"/>
        <v>1184.43</v>
      </c>
      <c r="L952">
        <f t="shared" si="129"/>
        <v>1184.43</v>
      </c>
      <c r="M952">
        <f t="shared" si="126"/>
        <v>614.34099999999989</v>
      </c>
      <c r="N952">
        <f t="shared" si="130"/>
        <v>153.58524999999997</v>
      </c>
      <c r="O952">
        <f t="shared" si="131"/>
        <v>614.34099999999989</v>
      </c>
      <c r="P952">
        <f t="shared" si="132"/>
        <v>153.58524999999997</v>
      </c>
      <c r="Q952">
        <f t="shared" si="133"/>
        <v>156.71838909999997</v>
      </c>
      <c r="R952">
        <f t="shared" si="134"/>
        <v>308.81889999999999</v>
      </c>
      <c r="S952">
        <f t="shared" si="127"/>
        <v>1184.43</v>
      </c>
    </row>
    <row r="953" spans="1:19" x14ac:dyDescent="0.25">
      <c r="A953">
        <v>1083</v>
      </c>
      <c r="B953">
        <v>1343</v>
      </c>
      <c r="C953" t="s">
        <v>33</v>
      </c>
      <c r="D953" t="s">
        <v>172</v>
      </c>
      <c r="E953">
        <v>10</v>
      </c>
      <c r="F953">
        <v>19.82</v>
      </c>
      <c r="G953">
        <v>11.53</v>
      </c>
      <c r="H953">
        <v>32.56</v>
      </c>
      <c r="I953">
        <v>1.04</v>
      </c>
      <c r="J953">
        <v>380.23</v>
      </c>
      <c r="K953">
        <f t="shared" si="128"/>
        <v>3802.3</v>
      </c>
      <c r="L953">
        <f t="shared" si="129"/>
        <v>0</v>
      </c>
      <c r="M953">
        <f t="shared" si="126"/>
        <v>0</v>
      </c>
      <c r="N953">
        <f t="shared" si="130"/>
        <v>0</v>
      </c>
      <c r="O953">
        <f t="shared" si="131"/>
        <v>2285.2460000000001</v>
      </c>
      <c r="P953">
        <f t="shared" si="132"/>
        <v>571.31150000000002</v>
      </c>
      <c r="Q953">
        <f t="shared" si="133"/>
        <v>582.96625459999996</v>
      </c>
      <c r="R953">
        <f t="shared" si="134"/>
        <v>338.62400000000002</v>
      </c>
      <c r="S953">
        <f t="shared" si="127"/>
        <v>3802.3</v>
      </c>
    </row>
    <row r="954" spans="1:19" x14ac:dyDescent="0.25">
      <c r="A954">
        <v>1084</v>
      </c>
      <c r="B954">
        <v>1343</v>
      </c>
      <c r="C954" t="s">
        <v>33</v>
      </c>
      <c r="D954" t="s">
        <v>172</v>
      </c>
      <c r="E954">
        <v>12</v>
      </c>
      <c r="F954">
        <v>19.84</v>
      </c>
      <c r="G954">
        <v>10.97</v>
      </c>
      <c r="H954">
        <v>28.83</v>
      </c>
      <c r="I954">
        <v>1.01</v>
      </c>
      <c r="J954">
        <v>358.4</v>
      </c>
      <c r="K954">
        <f t="shared" si="128"/>
        <v>4300.7999999999993</v>
      </c>
      <c r="L954">
        <f t="shared" si="129"/>
        <v>0</v>
      </c>
      <c r="M954">
        <f t="shared" si="126"/>
        <v>0</v>
      </c>
      <c r="N954">
        <f t="shared" si="130"/>
        <v>0</v>
      </c>
      <c r="O954">
        <f t="shared" si="131"/>
        <v>2611.7376000000004</v>
      </c>
      <c r="P954">
        <f t="shared" si="132"/>
        <v>652.9344000000001</v>
      </c>
      <c r="Q954">
        <f t="shared" si="133"/>
        <v>666.25426176000008</v>
      </c>
      <c r="R954">
        <f t="shared" si="134"/>
        <v>349.4196</v>
      </c>
      <c r="S954">
        <f t="shared" si="127"/>
        <v>4300.7999999999993</v>
      </c>
    </row>
    <row r="955" spans="1:19" x14ac:dyDescent="0.25">
      <c r="A955">
        <v>1085</v>
      </c>
      <c r="B955">
        <v>1343</v>
      </c>
      <c r="C955" t="s">
        <v>33</v>
      </c>
      <c r="D955" t="s">
        <v>172</v>
      </c>
      <c r="E955">
        <v>13</v>
      </c>
      <c r="F955">
        <v>17.91</v>
      </c>
      <c r="G955">
        <v>10.94</v>
      </c>
      <c r="H955">
        <v>38.33</v>
      </c>
      <c r="I955">
        <v>0.98</v>
      </c>
      <c r="J955">
        <v>336.15</v>
      </c>
      <c r="K955">
        <f t="shared" si="128"/>
        <v>4369.95</v>
      </c>
      <c r="L955">
        <f t="shared" si="129"/>
        <v>0</v>
      </c>
      <c r="M955">
        <f t="shared" si="126"/>
        <v>0</v>
      </c>
      <c r="N955">
        <f t="shared" si="130"/>
        <v>0</v>
      </c>
      <c r="O955">
        <f t="shared" si="131"/>
        <v>2547.1601999999998</v>
      </c>
      <c r="P955">
        <f t="shared" si="132"/>
        <v>636.79004999999995</v>
      </c>
      <c r="Q955">
        <f t="shared" si="133"/>
        <v>649.78056701999992</v>
      </c>
      <c r="R955">
        <f t="shared" si="134"/>
        <v>488.32419999999996</v>
      </c>
      <c r="S955">
        <f t="shared" si="127"/>
        <v>4369.95</v>
      </c>
    </row>
    <row r="956" spans="1:19" x14ac:dyDescent="0.25">
      <c r="A956">
        <v>1086</v>
      </c>
      <c r="B956">
        <v>1343</v>
      </c>
      <c r="C956" t="s">
        <v>33</v>
      </c>
      <c r="D956" t="s">
        <v>172</v>
      </c>
      <c r="E956">
        <v>34</v>
      </c>
      <c r="F956">
        <v>19.27</v>
      </c>
      <c r="G956">
        <v>10.79</v>
      </c>
      <c r="H956">
        <v>28.42</v>
      </c>
      <c r="I956">
        <v>0.98</v>
      </c>
      <c r="J956">
        <v>342.43</v>
      </c>
      <c r="K956">
        <f t="shared" si="128"/>
        <v>11642.62</v>
      </c>
      <c r="L956">
        <f t="shared" si="129"/>
        <v>0</v>
      </c>
      <c r="M956">
        <f t="shared" si="126"/>
        <v>0</v>
      </c>
      <c r="N956">
        <f t="shared" si="130"/>
        <v>0</v>
      </c>
      <c r="O956">
        <f t="shared" si="131"/>
        <v>7069.3921999999993</v>
      </c>
      <c r="P956">
        <f t="shared" si="132"/>
        <v>1767.3480499999998</v>
      </c>
      <c r="Q956">
        <f t="shared" si="133"/>
        <v>1803.4019502199999</v>
      </c>
      <c r="R956">
        <f t="shared" si="134"/>
        <v>946.95440000000008</v>
      </c>
      <c r="S956">
        <f t="shared" si="127"/>
        <v>11642.62</v>
      </c>
    </row>
    <row r="957" spans="1:19" x14ac:dyDescent="0.25">
      <c r="A957">
        <v>1087</v>
      </c>
      <c r="B957">
        <v>1343</v>
      </c>
      <c r="C957" t="s">
        <v>33</v>
      </c>
      <c r="D957" t="s">
        <v>173</v>
      </c>
      <c r="E957">
        <v>29</v>
      </c>
      <c r="F957">
        <v>14.38</v>
      </c>
      <c r="G957">
        <v>2.87</v>
      </c>
      <c r="H957">
        <v>28.69</v>
      </c>
      <c r="I957">
        <v>0.76</v>
      </c>
      <c r="J957">
        <v>80.73</v>
      </c>
      <c r="K957">
        <f t="shared" si="128"/>
        <v>2341.17</v>
      </c>
      <c r="L957">
        <f t="shared" si="129"/>
        <v>2341.17</v>
      </c>
      <c r="M957">
        <f t="shared" si="126"/>
        <v>1196.8474000000001</v>
      </c>
      <c r="N957">
        <f t="shared" si="130"/>
        <v>299.21185000000003</v>
      </c>
      <c r="O957">
        <f t="shared" si="131"/>
        <v>1196.8474000000001</v>
      </c>
      <c r="P957">
        <f t="shared" si="132"/>
        <v>299.21185000000003</v>
      </c>
      <c r="Q957">
        <f t="shared" si="133"/>
        <v>305.31577174</v>
      </c>
      <c r="R957">
        <f t="shared" si="134"/>
        <v>632.32759999999996</v>
      </c>
      <c r="S957">
        <f t="shared" si="127"/>
        <v>2341.17</v>
      </c>
    </row>
    <row r="958" spans="1:19" x14ac:dyDescent="0.25">
      <c r="A958">
        <v>1088</v>
      </c>
      <c r="B958">
        <v>1343</v>
      </c>
      <c r="C958" t="s">
        <v>33</v>
      </c>
      <c r="D958" t="s">
        <v>173</v>
      </c>
      <c r="E958">
        <v>6</v>
      </c>
      <c r="F958">
        <v>14.84</v>
      </c>
      <c r="G958">
        <v>3.03</v>
      </c>
      <c r="H958">
        <v>32.69</v>
      </c>
      <c r="I958">
        <v>0.78</v>
      </c>
      <c r="J958">
        <v>80.89</v>
      </c>
      <c r="K958">
        <f t="shared" si="128"/>
        <v>485.34000000000003</v>
      </c>
      <c r="L958">
        <f t="shared" si="129"/>
        <v>485.34000000000003</v>
      </c>
      <c r="M958">
        <f t="shared" si="126"/>
        <v>269.7912</v>
      </c>
      <c r="N958">
        <f t="shared" si="130"/>
        <v>67.447800000000001</v>
      </c>
      <c r="O958">
        <f t="shared" si="131"/>
        <v>269.7912</v>
      </c>
      <c r="P958">
        <f t="shared" si="132"/>
        <v>67.447800000000001</v>
      </c>
      <c r="Q958">
        <f t="shared" si="133"/>
        <v>68.823735119999995</v>
      </c>
      <c r="R958">
        <f t="shared" si="134"/>
        <v>152.98919999999998</v>
      </c>
      <c r="S958">
        <f t="shared" si="127"/>
        <v>485.34000000000003</v>
      </c>
    </row>
    <row r="959" spans="1:19" x14ac:dyDescent="0.25">
      <c r="A959">
        <v>1089</v>
      </c>
      <c r="B959">
        <v>1344</v>
      </c>
      <c r="C959" t="s">
        <v>35</v>
      </c>
      <c r="D959" t="s">
        <v>173</v>
      </c>
      <c r="E959">
        <v>55</v>
      </c>
      <c r="F959">
        <v>14.43</v>
      </c>
      <c r="G959">
        <v>2.75</v>
      </c>
      <c r="H959">
        <v>28.92</v>
      </c>
      <c r="I959">
        <v>0.81</v>
      </c>
      <c r="J959">
        <v>80.33</v>
      </c>
      <c r="K959">
        <f t="shared" si="128"/>
        <v>4418.1499999999996</v>
      </c>
      <c r="L959">
        <f t="shared" si="129"/>
        <v>4418.1499999999996</v>
      </c>
      <c r="M959">
        <f t="shared" si="126"/>
        <v>2182.5374999999999</v>
      </c>
      <c r="N959">
        <f t="shared" si="130"/>
        <v>545.63437499999998</v>
      </c>
      <c r="O959">
        <f t="shared" si="131"/>
        <v>2182.5374999999999</v>
      </c>
      <c r="P959">
        <f t="shared" si="132"/>
        <v>545.63437499999998</v>
      </c>
      <c r="Q959">
        <f t="shared" si="133"/>
        <v>556.76531624999996</v>
      </c>
      <c r="R959">
        <f t="shared" si="134"/>
        <v>1288.3860000000002</v>
      </c>
      <c r="S959">
        <f t="shared" si="127"/>
        <v>4418.1499999999996</v>
      </c>
    </row>
    <row r="960" spans="1:19" x14ac:dyDescent="0.25">
      <c r="A960">
        <v>1090</v>
      </c>
      <c r="B960">
        <v>1344</v>
      </c>
      <c r="C960" t="s">
        <v>35</v>
      </c>
      <c r="D960" t="s">
        <v>172</v>
      </c>
      <c r="E960">
        <v>19</v>
      </c>
      <c r="F960">
        <v>20.059999999999999</v>
      </c>
      <c r="G960">
        <v>9.9499999999999993</v>
      </c>
      <c r="H960">
        <v>28.53</v>
      </c>
      <c r="I960">
        <v>0.92</v>
      </c>
      <c r="J960">
        <v>328.13</v>
      </c>
      <c r="K960">
        <f t="shared" si="128"/>
        <v>6234.47</v>
      </c>
      <c r="L960">
        <f t="shared" si="129"/>
        <v>0</v>
      </c>
      <c r="M960">
        <f t="shared" si="126"/>
        <v>0</v>
      </c>
      <c r="N960">
        <f t="shared" si="130"/>
        <v>0</v>
      </c>
      <c r="O960">
        <f t="shared" si="131"/>
        <v>3792.3429999999994</v>
      </c>
      <c r="P960">
        <f t="shared" si="132"/>
        <v>948.08574999999985</v>
      </c>
      <c r="Q960">
        <f t="shared" si="133"/>
        <v>967.42669929999977</v>
      </c>
      <c r="R960">
        <f t="shared" si="134"/>
        <v>498.70440000000002</v>
      </c>
      <c r="S960">
        <f t="shared" si="127"/>
        <v>6234.47</v>
      </c>
    </row>
    <row r="961" spans="1:19" x14ac:dyDescent="0.25">
      <c r="A961">
        <v>1091</v>
      </c>
      <c r="B961">
        <v>1344</v>
      </c>
      <c r="C961" t="s">
        <v>35</v>
      </c>
      <c r="D961" t="s">
        <v>172</v>
      </c>
      <c r="E961">
        <v>45</v>
      </c>
      <c r="F961">
        <v>19.54</v>
      </c>
      <c r="G961">
        <v>11.5</v>
      </c>
      <c r="H961">
        <v>30.79</v>
      </c>
      <c r="I961">
        <v>0.95</v>
      </c>
      <c r="J961">
        <v>369.06</v>
      </c>
      <c r="K961">
        <f t="shared" si="128"/>
        <v>16607.7</v>
      </c>
      <c r="L961">
        <f t="shared" si="129"/>
        <v>0</v>
      </c>
      <c r="M961">
        <f t="shared" si="126"/>
        <v>0</v>
      </c>
      <c r="N961">
        <f t="shared" si="130"/>
        <v>0</v>
      </c>
      <c r="O961">
        <f t="shared" si="131"/>
        <v>10111.949999999999</v>
      </c>
      <c r="P961">
        <f t="shared" si="132"/>
        <v>2527.9874999999997</v>
      </c>
      <c r="Q961">
        <f t="shared" si="133"/>
        <v>2579.5584449999997</v>
      </c>
      <c r="R961">
        <f t="shared" si="134"/>
        <v>1316.2725</v>
      </c>
      <c r="S961">
        <f t="shared" si="127"/>
        <v>16607.7</v>
      </c>
    </row>
    <row r="962" spans="1:19" x14ac:dyDescent="0.25">
      <c r="A962">
        <v>1092</v>
      </c>
      <c r="B962">
        <v>1344</v>
      </c>
      <c r="C962" t="s">
        <v>35</v>
      </c>
      <c r="D962" t="s">
        <v>172</v>
      </c>
      <c r="E962">
        <v>42</v>
      </c>
      <c r="F962">
        <v>19.39</v>
      </c>
      <c r="G962">
        <v>10.49</v>
      </c>
      <c r="H962">
        <v>29.5</v>
      </c>
      <c r="I962">
        <v>0.95</v>
      </c>
      <c r="J962">
        <v>335.91</v>
      </c>
      <c r="K962">
        <f t="shared" si="128"/>
        <v>14108.220000000001</v>
      </c>
      <c r="L962">
        <f t="shared" si="129"/>
        <v>0</v>
      </c>
      <c r="M962">
        <f t="shared" ref="M962:M1025" si="135">IF(D962="SHOES",O962,0)</f>
        <v>0</v>
      </c>
      <c r="N962">
        <f t="shared" si="130"/>
        <v>0</v>
      </c>
      <c r="O962">
        <f t="shared" si="131"/>
        <v>8542.8462</v>
      </c>
      <c r="P962">
        <f t="shared" si="132"/>
        <v>2135.71155</v>
      </c>
      <c r="Q962">
        <f t="shared" si="133"/>
        <v>2179.2800656199997</v>
      </c>
      <c r="R962">
        <f t="shared" si="134"/>
        <v>1177.05</v>
      </c>
      <c r="S962">
        <f t="shared" ref="S962:S1025" si="136">PRODUCT(J962,E962)</f>
        <v>14108.220000000001</v>
      </c>
    </row>
    <row r="963" spans="1:19" x14ac:dyDescent="0.25">
      <c r="A963">
        <v>1093</v>
      </c>
      <c r="B963">
        <v>1344</v>
      </c>
      <c r="C963" t="s">
        <v>35</v>
      </c>
      <c r="D963" t="s">
        <v>172</v>
      </c>
      <c r="E963">
        <v>21</v>
      </c>
      <c r="F963">
        <v>18.64</v>
      </c>
      <c r="G963">
        <v>11.15</v>
      </c>
      <c r="H963">
        <v>30.95</v>
      </c>
      <c r="I963">
        <v>1.0900000000000001</v>
      </c>
      <c r="J963">
        <v>349.3</v>
      </c>
      <c r="K963">
        <f t="shared" ref="K963:K1026" si="137">E963*J963</f>
        <v>7335.3</v>
      </c>
      <c r="L963">
        <f t="shared" ref="L963:L1026" si="138">IF(D963="SHOES",E963*J963,0)</f>
        <v>0</v>
      </c>
      <c r="M963">
        <f t="shared" si="135"/>
        <v>0</v>
      </c>
      <c r="N963">
        <f t="shared" ref="N963:N1026" si="139">IF(D963="SHOES",P963,0)</f>
        <v>0</v>
      </c>
      <c r="O963">
        <f t="shared" ref="O963:O1026" si="140">PRODUCT(E963,G963,F963)</f>
        <v>4364.5560000000005</v>
      </c>
      <c r="P963">
        <f t="shared" ref="P963:P1026" si="141">PRODUCT(O963,0.25)</f>
        <v>1091.1390000000001</v>
      </c>
      <c r="Q963">
        <f t="shared" ref="Q963:Q1026" si="142">PRODUCT(O963,0.2551)</f>
        <v>1113.3982356000001</v>
      </c>
      <c r="R963">
        <f t="shared" si="134"/>
        <v>708.44550000000004</v>
      </c>
      <c r="S963">
        <f t="shared" si="136"/>
        <v>7335.3</v>
      </c>
    </row>
    <row r="964" spans="1:19" x14ac:dyDescent="0.25">
      <c r="A964">
        <v>1094</v>
      </c>
      <c r="B964">
        <v>1344</v>
      </c>
      <c r="C964" t="s">
        <v>35</v>
      </c>
      <c r="D964" t="s">
        <v>172</v>
      </c>
      <c r="E964">
        <v>23</v>
      </c>
      <c r="F964">
        <v>20.07</v>
      </c>
      <c r="G964">
        <v>10.15</v>
      </c>
      <c r="H964">
        <v>36.39</v>
      </c>
      <c r="I964">
        <v>1.03</v>
      </c>
      <c r="J964">
        <v>347.62</v>
      </c>
      <c r="K964">
        <f t="shared" si="137"/>
        <v>7995.26</v>
      </c>
      <c r="L964">
        <f t="shared" si="138"/>
        <v>0</v>
      </c>
      <c r="M964">
        <f t="shared" si="135"/>
        <v>0</v>
      </c>
      <c r="N964">
        <f t="shared" si="139"/>
        <v>0</v>
      </c>
      <c r="O964">
        <f t="shared" si="140"/>
        <v>4685.3415000000005</v>
      </c>
      <c r="P964">
        <f t="shared" si="141"/>
        <v>1171.3353750000001</v>
      </c>
      <c r="Q964">
        <f t="shared" si="142"/>
        <v>1195.23061665</v>
      </c>
      <c r="R964">
        <f t="shared" ref="R964:R1027" si="143">PRODUCT(E964,I964,H964)</f>
        <v>862.07910000000004</v>
      </c>
      <c r="S964">
        <f t="shared" si="136"/>
        <v>7995.26</v>
      </c>
    </row>
    <row r="965" spans="1:19" x14ac:dyDescent="0.25">
      <c r="A965">
        <v>1095</v>
      </c>
      <c r="B965">
        <v>1344</v>
      </c>
      <c r="C965" t="s">
        <v>35</v>
      </c>
      <c r="D965" t="s">
        <v>172</v>
      </c>
      <c r="E965">
        <v>48</v>
      </c>
      <c r="F965">
        <v>19.72</v>
      </c>
      <c r="G965">
        <v>11.45</v>
      </c>
      <c r="H965">
        <v>31.27</v>
      </c>
      <c r="I965">
        <v>1.05</v>
      </c>
      <c r="J965">
        <v>374.94</v>
      </c>
      <c r="K965">
        <f t="shared" si="137"/>
        <v>17997.12</v>
      </c>
      <c r="L965">
        <f t="shared" si="138"/>
        <v>0</v>
      </c>
      <c r="M965">
        <f t="shared" si="135"/>
        <v>0</v>
      </c>
      <c r="N965">
        <f t="shared" si="139"/>
        <v>0</v>
      </c>
      <c r="O965">
        <f t="shared" si="140"/>
        <v>10838.111999999997</v>
      </c>
      <c r="P965">
        <f t="shared" si="141"/>
        <v>2709.5279999999993</v>
      </c>
      <c r="Q965">
        <f t="shared" si="142"/>
        <v>2764.8023711999995</v>
      </c>
      <c r="R965">
        <f t="shared" si="143"/>
        <v>1576.0080000000003</v>
      </c>
      <c r="S965">
        <f t="shared" si="136"/>
        <v>17997.12</v>
      </c>
    </row>
    <row r="966" spans="1:19" x14ac:dyDescent="0.25">
      <c r="A966">
        <v>1096</v>
      </c>
      <c r="B966">
        <v>1344</v>
      </c>
      <c r="C966" t="s">
        <v>35</v>
      </c>
      <c r="D966" t="s">
        <v>173</v>
      </c>
      <c r="E966">
        <v>13</v>
      </c>
      <c r="F966">
        <v>13.71</v>
      </c>
      <c r="G966">
        <v>3.01</v>
      </c>
      <c r="H966">
        <v>32.96</v>
      </c>
      <c r="I966">
        <v>0.81</v>
      </c>
      <c r="J966">
        <v>86.11</v>
      </c>
      <c r="K966">
        <f t="shared" si="137"/>
        <v>1119.43</v>
      </c>
      <c r="L966">
        <f t="shared" si="138"/>
        <v>1119.43</v>
      </c>
      <c r="M966">
        <f t="shared" si="135"/>
        <v>536.47230000000002</v>
      </c>
      <c r="N966">
        <f t="shared" si="139"/>
        <v>134.118075</v>
      </c>
      <c r="O966">
        <f t="shared" si="140"/>
        <v>536.47230000000002</v>
      </c>
      <c r="P966">
        <f t="shared" si="141"/>
        <v>134.118075</v>
      </c>
      <c r="Q966">
        <f t="shared" si="142"/>
        <v>136.85408373000001</v>
      </c>
      <c r="R966">
        <f t="shared" si="143"/>
        <v>347.06880000000007</v>
      </c>
      <c r="S966">
        <f t="shared" si="136"/>
        <v>1119.43</v>
      </c>
    </row>
    <row r="967" spans="1:19" x14ac:dyDescent="0.25">
      <c r="A967">
        <v>1097</v>
      </c>
      <c r="B967">
        <v>1344</v>
      </c>
      <c r="C967" t="s">
        <v>35</v>
      </c>
      <c r="D967" t="s">
        <v>172</v>
      </c>
      <c r="E967">
        <v>15</v>
      </c>
      <c r="F967">
        <v>18.63</v>
      </c>
      <c r="G967">
        <v>10.95</v>
      </c>
      <c r="H967">
        <v>25.69</v>
      </c>
      <c r="I967">
        <v>0.99</v>
      </c>
      <c r="J967">
        <v>333.71</v>
      </c>
      <c r="K967">
        <f t="shared" si="137"/>
        <v>5005.6499999999996</v>
      </c>
      <c r="L967">
        <f t="shared" si="138"/>
        <v>0</v>
      </c>
      <c r="M967">
        <f t="shared" si="135"/>
        <v>0</v>
      </c>
      <c r="N967">
        <f t="shared" si="139"/>
        <v>0</v>
      </c>
      <c r="O967">
        <f t="shared" si="140"/>
        <v>3059.9775</v>
      </c>
      <c r="P967">
        <f t="shared" si="141"/>
        <v>764.99437499999999</v>
      </c>
      <c r="Q967">
        <f t="shared" si="142"/>
        <v>780.60026025000002</v>
      </c>
      <c r="R967">
        <f t="shared" si="143"/>
        <v>381.49650000000003</v>
      </c>
      <c r="S967">
        <f t="shared" si="136"/>
        <v>5005.6499999999996</v>
      </c>
    </row>
    <row r="968" spans="1:19" x14ac:dyDescent="0.25">
      <c r="A968">
        <v>1098</v>
      </c>
      <c r="B968">
        <v>1344</v>
      </c>
      <c r="C968" t="s">
        <v>35</v>
      </c>
      <c r="D968" t="s">
        <v>172</v>
      </c>
      <c r="E968">
        <v>13</v>
      </c>
      <c r="F968">
        <v>19.77</v>
      </c>
      <c r="G968">
        <v>10.17</v>
      </c>
      <c r="H968">
        <v>28.93</v>
      </c>
      <c r="I968">
        <v>1.01</v>
      </c>
      <c r="J968">
        <v>333.85</v>
      </c>
      <c r="K968">
        <f t="shared" si="137"/>
        <v>4340.05</v>
      </c>
      <c r="L968">
        <f t="shared" si="138"/>
        <v>0</v>
      </c>
      <c r="M968">
        <f t="shared" si="135"/>
        <v>0</v>
      </c>
      <c r="N968">
        <f t="shared" si="139"/>
        <v>0</v>
      </c>
      <c r="O968">
        <f t="shared" si="140"/>
        <v>2613.7917000000002</v>
      </c>
      <c r="P968">
        <f t="shared" si="141"/>
        <v>653.44792500000005</v>
      </c>
      <c r="Q968">
        <f t="shared" si="142"/>
        <v>666.77826267</v>
      </c>
      <c r="R968">
        <f t="shared" si="143"/>
        <v>379.85090000000002</v>
      </c>
      <c r="S968">
        <f t="shared" si="136"/>
        <v>4340.05</v>
      </c>
    </row>
    <row r="969" spans="1:19" x14ac:dyDescent="0.25">
      <c r="A969">
        <v>1099</v>
      </c>
      <c r="B969">
        <v>1344</v>
      </c>
      <c r="C969" t="s">
        <v>35</v>
      </c>
      <c r="D969" t="s">
        <v>173</v>
      </c>
      <c r="E969">
        <v>10</v>
      </c>
      <c r="F969">
        <v>14.08</v>
      </c>
      <c r="G969">
        <v>2.7</v>
      </c>
      <c r="H969">
        <v>30.81</v>
      </c>
      <c r="I969">
        <v>0.79</v>
      </c>
      <c r="J969">
        <v>79.05</v>
      </c>
      <c r="K969">
        <f t="shared" si="137"/>
        <v>790.5</v>
      </c>
      <c r="L969">
        <f t="shared" si="138"/>
        <v>790.5</v>
      </c>
      <c r="M969">
        <f t="shared" si="135"/>
        <v>380.16</v>
      </c>
      <c r="N969">
        <f t="shared" si="139"/>
        <v>95.04</v>
      </c>
      <c r="O969">
        <f t="shared" si="140"/>
        <v>380.16</v>
      </c>
      <c r="P969">
        <f t="shared" si="141"/>
        <v>95.04</v>
      </c>
      <c r="Q969">
        <f t="shared" si="142"/>
        <v>96.978816000000009</v>
      </c>
      <c r="R969">
        <f t="shared" si="143"/>
        <v>243.399</v>
      </c>
      <c r="S969">
        <f t="shared" si="136"/>
        <v>790.5</v>
      </c>
    </row>
    <row r="970" spans="1:19" x14ac:dyDescent="0.25">
      <c r="A970">
        <v>1100</v>
      </c>
      <c r="B970">
        <v>1344</v>
      </c>
      <c r="C970" t="s">
        <v>35</v>
      </c>
      <c r="D970" t="s">
        <v>172</v>
      </c>
      <c r="E970">
        <v>23</v>
      </c>
      <c r="F970">
        <v>19.649999999999999</v>
      </c>
      <c r="G970">
        <v>11.57</v>
      </c>
      <c r="H970">
        <v>28.35</v>
      </c>
      <c r="I970">
        <v>1.01</v>
      </c>
      <c r="J970">
        <v>372.26</v>
      </c>
      <c r="K970">
        <f t="shared" si="137"/>
        <v>8561.98</v>
      </c>
      <c r="L970">
        <f t="shared" si="138"/>
        <v>0</v>
      </c>
      <c r="M970">
        <f t="shared" si="135"/>
        <v>0</v>
      </c>
      <c r="N970">
        <f t="shared" si="139"/>
        <v>0</v>
      </c>
      <c r="O970">
        <f t="shared" si="140"/>
        <v>5229.0614999999998</v>
      </c>
      <c r="P970">
        <f t="shared" si="141"/>
        <v>1307.2653749999999</v>
      </c>
      <c r="Q970">
        <f t="shared" si="142"/>
        <v>1333.9335886499998</v>
      </c>
      <c r="R970">
        <f t="shared" si="143"/>
        <v>658.57050000000004</v>
      </c>
      <c r="S970">
        <f t="shared" si="136"/>
        <v>8561.98</v>
      </c>
    </row>
    <row r="971" spans="1:19" x14ac:dyDescent="0.25">
      <c r="A971">
        <v>1101</v>
      </c>
      <c r="B971">
        <v>1344</v>
      </c>
      <c r="C971" t="s">
        <v>35</v>
      </c>
      <c r="D971" t="s">
        <v>172</v>
      </c>
      <c r="E971">
        <v>11</v>
      </c>
      <c r="F971">
        <v>20.52</v>
      </c>
      <c r="G971">
        <v>10.47</v>
      </c>
      <c r="H971">
        <v>33.61</v>
      </c>
      <c r="I971">
        <v>0.98</v>
      </c>
      <c r="J971">
        <v>358.78</v>
      </c>
      <c r="K971">
        <f t="shared" si="137"/>
        <v>3946.58</v>
      </c>
      <c r="L971">
        <f t="shared" si="138"/>
        <v>0</v>
      </c>
      <c r="M971">
        <f t="shared" si="135"/>
        <v>0</v>
      </c>
      <c r="N971">
        <f t="shared" si="139"/>
        <v>0</v>
      </c>
      <c r="O971">
        <f t="shared" si="140"/>
        <v>2363.2883999999999</v>
      </c>
      <c r="P971">
        <f t="shared" si="141"/>
        <v>590.82209999999998</v>
      </c>
      <c r="Q971">
        <f t="shared" si="142"/>
        <v>602.87487083999997</v>
      </c>
      <c r="R971">
        <f t="shared" si="143"/>
        <v>362.31579999999997</v>
      </c>
      <c r="S971">
        <f t="shared" si="136"/>
        <v>3946.58</v>
      </c>
    </row>
    <row r="972" spans="1:19" x14ac:dyDescent="0.25">
      <c r="A972">
        <v>1102</v>
      </c>
      <c r="B972">
        <v>1344</v>
      </c>
      <c r="C972" t="s">
        <v>35</v>
      </c>
      <c r="D972" t="s">
        <v>173</v>
      </c>
      <c r="E972">
        <v>9</v>
      </c>
      <c r="F972">
        <v>15.87</v>
      </c>
      <c r="G972">
        <v>2.87</v>
      </c>
      <c r="H972">
        <v>31.26</v>
      </c>
      <c r="I972">
        <v>0.85</v>
      </c>
      <c r="J972">
        <v>91.85</v>
      </c>
      <c r="K972">
        <f t="shared" si="137"/>
        <v>826.65</v>
      </c>
      <c r="L972">
        <f t="shared" si="138"/>
        <v>826.65</v>
      </c>
      <c r="M972">
        <f t="shared" si="135"/>
        <v>409.9221</v>
      </c>
      <c r="N972">
        <f t="shared" si="139"/>
        <v>102.480525</v>
      </c>
      <c r="O972">
        <f t="shared" si="140"/>
        <v>409.9221</v>
      </c>
      <c r="P972">
        <f t="shared" si="141"/>
        <v>102.480525</v>
      </c>
      <c r="Q972">
        <f t="shared" si="142"/>
        <v>104.57112771</v>
      </c>
      <c r="R972">
        <f t="shared" si="143"/>
        <v>239.13899999999998</v>
      </c>
      <c r="S972">
        <f t="shared" si="136"/>
        <v>826.65</v>
      </c>
    </row>
    <row r="973" spans="1:19" x14ac:dyDescent="0.25">
      <c r="A973">
        <v>1103</v>
      </c>
      <c r="B973">
        <v>1344</v>
      </c>
      <c r="C973" t="s">
        <v>35</v>
      </c>
      <c r="D973" t="s">
        <v>172</v>
      </c>
      <c r="E973">
        <v>15</v>
      </c>
      <c r="F973">
        <v>18.45</v>
      </c>
      <c r="G973">
        <v>10.92</v>
      </c>
      <c r="H973">
        <v>31.06</v>
      </c>
      <c r="I973">
        <v>1.01</v>
      </c>
      <c r="J973">
        <v>277.83</v>
      </c>
      <c r="K973">
        <f t="shared" si="137"/>
        <v>4167.45</v>
      </c>
      <c r="L973">
        <f t="shared" si="138"/>
        <v>0</v>
      </c>
      <c r="M973">
        <f t="shared" si="135"/>
        <v>0</v>
      </c>
      <c r="N973">
        <f t="shared" si="139"/>
        <v>0</v>
      </c>
      <c r="O973">
        <f t="shared" si="140"/>
        <v>3022.11</v>
      </c>
      <c r="P973">
        <f t="shared" si="141"/>
        <v>755.52750000000003</v>
      </c>
      <c r="Q973">
        <f t="shared" si="142"/>
        <v>770.94026099999996</v>
      </c>
      <c r="R973">
        <f t="shared" si="143"/>
        <v>470.55899999999997</v>
      </c>
      <c r="S973">
        <f t="shared" si="136"/>
        <v>4167.45</v>
      </c>
    </row>
    <row r="974" spans="1:19" x14ac:dyDescent="0.25">
      <c r="A974">
        <v>1104</v>
      </c>
      <c r="B974">
        <v>1344</v>
      </c>
      <c r="C974" t="s">
        <v>35</v>
      </c>
      <c r="D974" t="s">
        <v>173</v>
      </c>
      <c r="E974">
        <v>21</v>
      </c>
      <c r="F974">
        <v>15.09</v>
      </c>
      <c r="G974">
        <v>2.83</v>
      </c>
      <c r="H974">
        <v>29.71</v>
      </c>
      <c r="I974">
        <v>0.79</v>
      </c>
      <c r="J974">
        <v>84.54</v>
      </c>
      <c r="K974">
        <f t="shared" si="137"/>
        <v>1775.3400000000001</v>
      </c>
      <c r="L974">
        <f t="shared" si="138"/>
        <v>1775.3400000000001</v>
      </c>
      <c r="M974">
        <f t="shared" si="135"/>
        <v>896.79869999999994</v>
      </c>
      <c r="N974">
        <f t="shared" si="139"/>
        <v>224.19967499999998</v>
      </c>
      <c r="O974">
        <f t="shared" si="140"/>
        <v>896.79869999999994</v>
      </c>
      <c r="P974">
        <f t="shared" si="141"/>
        <v>224.19967499999998</v>
      </c>
      <c r="Q974">
        <f t="shared" si="142"/>
        <v>228.77334836999998</v>
      </c>
      <c r="R974">
        <f t="shared" si="143"/>
        <v>492.88890000000004</v>
      </c>
      <c r="S974">
        <f t="shared" si="136"/>
        <v>1775.3400000000001</v>
      </c>
    </row>
    <row r="975" spans="1:19" x14ac:dyDescent="0.25">
      <c r="A975">
        <v>1105</v>
      </c>
      <c r="B975">
        <v>1344</v>
      </c>
      <c r="C975" t="s">
        <v>35</v>
      </c>
      <c r="D975" t="s">
        <v>172</v>
      </c>
      <c r="E975">
        <v>23</v>
      </c>
      <c r="F975">
        <v>19.559999999999999</v>
      </c>
      <c r="G975">
        <v>12.19</v>
      </c>
      <c r="H975">
        <v>29.49</v>
      </c>
      <c r="I975">
        <v>1.03</v>
      </c>
      <c r="J975">
        <v>390.82</v>
      </c>
      <c r="K975">
        <f t="shared" si="137"/>
        <v>8988.86</v>
      </c>
      <c r="L975">
        <f t="shared" si="138"/>
        <v>0</v>
      </c>
      <c r="M975">
        <f t="shared" si="135"/>
        <v>0</v>
      </c>
      <c r="N975">
        <f t="shared" si="139"/>
        <v>0</v>
      </c>
      <c r="O975">
        <f t="shared" si="140"/>
        <v>5484.0371999999998</v>
      </c>
      <c r="P975">
        <f t="shared" si="141"/>
        <v>1371.0092999999999</v>
      </c>
      <c r="Q975">
        <f t="shared" si="142"/>
        <v>1398.9778897199999</v>
      </c>
      <c r="R975">
        <f t="shared" si="143"/>
        <v>698.61810000000003</v>
      </c>
      <c r="S975">
        <f t="shared" si="136"/>
        <v>8988.86</v>
      </c>
    </row>
    <row r="976" spans="1:19" x14ac:dyDescent="0.25">
      <c r="A976">
        <v>1106</v>
      </c>
      <c r="B976">
        <v>1344</v>
      </c>
      <c r="C976" t="s">
        <v>35</v>
      </c>
      <c r="D976" t="s">
        <v>172</v>
      </c>
      <c r="E976">
        <v>11</v>
      </c>
      <c r="F976">
        <v>20.5</v>
      </c>
      <c r="G976">
        <v>12.49</v>
      </c>
      <c r="H976">
        <v>34.880000000000003</v>
      </c>
      <c r="I976">
        <v>1.04</v>
      </c>
      <c r="J976">
        <v>424.03</v>
      </c>
      <c r="K976">
        <f t="shared" si="137"/>
        <v>4664.33</v>
      </c>
      <c r="L976">
        <f t="shared" si="138"/>
        <v>0</v>
      </c>
      <c r="M976">
        <f t="shared" si="135"/>
        <v>0</v>
      </c>
      <c r="N976">
        <f t="shared" si="139"/>
        <v>0</v>
      </c>
      <c r="O976">
        <f t="shared" si="140"/>
        <v>2816.4950000000003</v>
      </c>
      <c r="P976">
        <f t="shared" si="141"/>
        <v>704.12375000000009</v>
      </c>
      <c r="Q976">
        <f t="shared" si="142"/>
        <v>718.48787450000009</v>
      </c>
      <c r="R976">
        <f t="shared" si="143"/>
        <v>399.02720000000005</v>
      </c>
      <c r="S976">
        <f t="shared" si="136"/>
        <v>4664.33</v>
      </c>
    </row>
    <row r="977" spans="1:19" x14ac:dyDescent="0.25">
      <c r="A977">
        <v>1107</v>
      </c>
      <c r="B977">
        <v>1344</v>
      </c>
      <c r="C977" t="s">
        <v>35</v>
      </c>
      <c r="D977" t="s">
        <v>172</v>
      </c>
      <c r="E977">
        <v>18</v>
      </c>
      <c r="F977">
        <v>18.579999999999998</v>
      </c>
      <c r="G977">
        <v>11.43</v>
      </c>
      <c r="H977">
        <v>36.270000000000003</v>
      </c>
      <c r="I977">
        <v>1.07</v>
      </c>
      <c r="J977">
        <v>362.08</v>
      </c>
      <c r="K977">
        <f t="shared" si="137"/>
        <v>6517.44</v>
      </c>
      <c r="L977">
        <f t="shared" si="138"/>
        <v>0</v>
      </c>
      <c r="M977">
        <f t="shared" si="135"/>
        <v>0</v>
      </c>
      <c r="N977">
        <f t="shared" si="139"/>
        <v>0</v>
      </c>
      <c r="O977">
        <f t="shared" si="140"/>
        <v>3822.6491999999998</v>
      </c>
      <c r="P977">
        <f t="shared" si="141"/>
        <v>955.66229999999996</v>
      </c>
      <c r="Q977">
        <f t="shared" si="142"/>
        <v>975.15781091999997</v>
      </c>
      <c r="R977">
        <f t="shared" si="143"/>
        <v>698.56020000000012</v>
      </c>
      <c r="S977">
        <f t="shared" si="136"/>
        <v>6517.44</v>
      </c>
    </row>
    <row r="978" spans="1:19" x14ac:dyDescent="0.25">
      <c r="A978">
        <v>1108</v>
      </c>
      <c r="B978">
        <v>1344</v>
      </c>
      <c r="C978" t="s">
        <v>35</v>
      </c>
      <c r="D978" t="s">
        <v>172</v>
      </c>
      <c r="E978">
        <v>9</v>
      </c>
      <c r="F978">
        <v>18.04</v>
      </c>
      <c r="G978">
        <v>10.59</v>
      </c>
      <c r="H978">
        <v>29.26</v>
      </c>
      <c r="I978">
        <v>1.06</v>
      </c>
      <c r="J978">
        <v>321.08999999999997</v>
      </c>
      <c r="K978">
        <f t="shared" si="137"/>
        <v>2889.81</v>
      </c>
      <c r="L978">
        <f t="shared" si="138"/>
        <v>0</v>
      </c>
      <c r="M978">
        <f t="shared" si="135"/>
        <v>0</v>
      </c>
      <c r="N978">
        <f t="shared" si="139"/>
        <v>0</v>
      </c>
      <c r="O978">
        <f t="shared" si="140"/>
        <v>1719.3924</v>
      </c>
      <c r="P978">
        <f t="shared" si="141"/>
        <v>429.84809999999999</v>
      </c>
      <c r="Q978">
        <f t="shared" si="142"/>
        <v>438.61700123999998</v>
      </c>
      <c r="R978">
        <f t="shared" si="143"/>
        <v>279.14040000000006</v>
      </c>
      <c r="S978">
        <f t="shared" si="136"/>
        <v>2889.81</v>
      </c>
    </row>
    <row r="979" spans="1:19" x14ac:dyDescent="0.25">
      <c r="A979">
        <v>1109</v>
      </c>
      <c r="B979">
        <v>1344</v>
      </c>
      <c r="C979" t="s">
        <v>35</v>
      </c>
      <c r="D979" t="s">
        <v>172</v>
      </c>
      <c r="E979">
        <v>227</v>
      </c>
      <c r="F979">
        <v>18.8</v>
      </c>
      <c r="G979">
        <v>11.66</v>
      </c>
      <c r="H979">
        <v>35.380000000000003</v>
      </c>
      <c r="I979">
        <v>1.06</v>
      </c>
      <c r="J979">
        <v>370.7</v>
      </c>
      <c r="K979">
        <f t="shared" si="137"/>
        <v>84148.9</v>
      </c>
      <c r="L979">
        <f t="shared" si="138"/>
        <v>0</v>
      </c>
      <c r="M979">
        <f t="shared" si="135"/>
        <v>0</v>
      </c>
      <c r="N979">
        <f t="shared" si="139"/>
        <v>0</v>
      </c>
      <c r="O979">
        <f t="shared" si="140"/>
        <v>49760.216000000008</v>
      </c>
      <c r="P979">
        <f t="shared" si="141"/>
        <v>12440.054000000002</v>
      </c>
      <c r="Q979">
        <f t="shared" si="142"/>
        <v>12693.831101600003</v>
      </c>
      <c r="R979">
        <f t="shared" si="143"/>
        <v>8513.1356000000014</v>
      </c>
      <c r="S979">
        <f t="shared" si="136"/>
        <v>84148.9</v>
      </c>
    </row>
    <row r="980" spans="1:19" x14ac:dyDescent="0.25">
      <c r="A980">
        <v>1110</v>
      </c>
      <c r="B980">
        <v>1344</v>
      </c>
      <c r="C980" t="s">
        <v>35</v>
      </c>
      <c r="D980" t="s">
        <v>173</v>
      </c>
      <c r="E980">
        <v>24</v>
      </c>
      <c r="F980">
        <v>15.68</v>
      </c>
      <c r="G980">
        <v>2.72</v>
      </c>
      <c r="H980">
        <v>29.24</v>
      </c>
      <c r="I980">
        <v>0.81</v>
      </c>
      <c r="J980">
        <v>84.7</v>
      </c>
      <c r="K980">
        <f t="shared" si="137"/>
        <v>2032.8000000000002</v>
      </c>
      <c r="L980">
        <f t="shared" si="138"/>
        <v>2032.8000000000002</v>
      </c>
      <c r="M980">
        <f t="shared" si="135"/>
        <v>1023.5904</v>
      </c>
      <c r="N980">
        <f t="shared" si="139"/>
        <v>255.89760000000001</v>
      </c>
      <c r="O980">
        <f t="shared" si="140"/>
        <v>1023.5904</v>
      </c>
      <c r="P980">
        <f t="shared" si="141"/>
        <v>255.89760000000001</v>
      </c>
      <c r="Q980">
        <f t="shared" si="142"/>
        <v>261.11791104000002</v>
      </c>
      <c r="R980">
        <f t="shared" si="143"/>
        <v>568.42560000000003</v>
      </c>
      <c r="S980">
        <f t="shared" si="136"/>
        <v>2032.8000000000002</v>
      </c>
    </row>
    <row r="981" spans="1:19" x14ac:dyDescent="0.25">
      <c r="A981">
        <v>1111</v>
      </c>
      <c r="B981">
        <v>1344</v>
      </c>
      <c r="C981" t="s">
        <v>35</v>
      </c>
      <c r="D981" t="s">
        <v>173</v>
      </c>
      <c r="E981">
        <v>20</v>
      </c>
      <c r="F981">
        <v>14.25</v>
      </c>
      <c r="G981">
        <v>2.97</v>
      </c>
      <c r="H981">
        <v>25.47</v>
      </c>
      <c r="I981">
        <v>0.8</v>
      </c>
      <c r="J981">
        <v>80.61</v>
      </c>
      <c r="K981">
        <f t="shared" si="137"/>
        <v>1612.2</v>
      </c>
      <c r="L981">
        <f t="shared" si="138"/>
        <v>1612.2</v>
      </c>
      <c r="M981">
        <f t="shared" si="135"/>
        <v>846.45</v>
      </c>
      <c r="N981">
        <f t="shared" si="139"/>
        <v>211.61250000000001</v>
      </c>
      <c r="O981">
        <f t="shared" si="140"/>
        <v>846.45</v>
      </c>
      <c r="P981">
        <f t="shared" si="141"/>
        <v>211.61250000000001</v>
      </c>
      <c r="Q981">
        <f t="shared" si="142"/>
        <v>215.929395</v>
      </c>
      <c r="R981">
        <f t="shared" si="143"/>
        <v>407.52</v>
      </c>
      <c r="S981">
        <f t="shared" si="136"/>
        <v>1612.2</v>
      </c>
    </row>
    <row r="982" spans="1:19" x14ac:dyDescent="0.25">
      <c r="A982">
        <v>1112</v>
      </c>
      <c r="B982">
        <v>1344</v>
      </c>
      <c r="C982" t="s">
        <v>35</v>
      </c>
      <c r="D982" t="s">
        <v>172</v>
      </c>
      <c r="E982">
        <v>15</v>
      </c>
      <c r="F982">
        <v>20</v>
      </c>
      <c r="G982">
        <v>10.4</v>
      </c>
      <c r="H982">
        <v>26.25</v>
      </c>
      <c r="I982">
        <v>1.04</v>
      </c>
      <c r="J982">
        <v>281.83999999999997</v>
      </c>
      <c r="K982">
        <f t="shared" si="137"/>
        <v>4227.5999999999995</v>
      </c>
      <c r="L982">
        <f t="shared" si="138"/>
        <v>0</v>
      </c>
      <c r="M982">
        <f t="shared" si="135"/>
        <v>0</v>
      </c>
      <c r="N982">
        <f t="shared" si="139"/>
        <v>0</v>
      </c>
      <c r="O982">
        <f t="shared" si="140"/>
        <v>3120</v>
      </c>
      <c r="P982">
        <f t="shared" si="141"/>
        <v>780</v>
      </c>
      <c r="Q982">
        <f t="shared" si="142"/>
        <v>795.91200000000003</v>
      </c>
      <c r="R982">
        <f t="shared" si="143"/>
        <v>409.50000000000006</v>
      </c>
      <c r="S982">
        <f t="shared" si="136"/>
        <v>4227.5999999999995</v>
      </c>
    </row>
    <row r="983" spans="1:19" x14ac:dyDescent="0.25">
      <c r="A983">
        <v>1113</v>
      </c>
      <c r="B983">
        <v>1344</v>
      </c>
      <c r="C983" t="s">
        <v>35</v>
      </c>
      <c r="D983" t="s">
        <v>172</v>
      </c>
      <c r="E983">
        <v>21</v>
      </c>
      <c r="F983">
        <v>20.71</v>
      </c>
      <c r="G983">
        <v>10.83</v>
      </c>
      <c r="H983">
        <v>30.72</v>
      </c>
      <c r="I983">
        <v>1</v>
      </c>
      <c r="J983">
        <v>370.19</v>
      </c>
      <c r="K983">
        <f t="shared" si="137"/>
        <v>7773.99</v>
      </c>
      <c r="L983">
        <f t="shared" si="138"/>
        <v>0</v>
      </c>
      <c r="M983">
        <f t="shared" si="135"/>
        <v>0</v>
      </c>
      <c r="N983">
        <f t="shared" si="139"/>
        <v>0</v>
      </c>
      <c r="O983">
        <f t="shared" si="140"/>
        <v>4710.0753000000004</v>
      </c>
      <c r="P983">
        <f t="shared" si="141"/>
        <v>1177.5188250000001</v>
      </c>
      <c r="Q983">
        <f t="shared" si="142"/>
        <v>1201.5402090300001</v>
      </c>
      <c r="R983">
        <f t="shared" si="143"/>
        <v>645.12</v>
      </c>
      <c r="S983">
        <f t="shared" si="136"/>
        <v>7773.99</v>
      </c>
    </row>
    <row r="984" spans="1:19" x14ac:dyDescent="0.25">
      <c r="A984">
        <v>1114</v>
      </c>
      <c r="B984">
        <v>1344</v>
      </c>
      <c r="C984" t="s">
        <v>35</v>
      </c>
      <c r="D984" t="s">
        <v>173</v>
      </c>
      <c r="E984">
        <v>3</v>
      </c>
      <c r="F984">
        <v>16.91</v>
      </c>
      <c r="G984">
        <v>3.09</v>
      </c>
      <c r="H984">
        <v>31.34</v>
      </c>
      <c r="I984">
        <v>0.82</v>
      </c>
      <c r="J984">
        <v>100.12</v>
      </c>
      <c r="K984">
        <f t="shared" si="137"/>
        <v>300.36</v>
      </c>
      <c r="L984">
        <f t="shared" si="138"/>
        <v>300.36</v>
      </c>
      <c r="M984">
        <f t="shared" si="135"/>
        <v>156.75569999999999</v>
      </c>
      <c r="N984">
        <f t="shared" si="139"/>
        <v>39.188924999999998</v>
      </c>
      <c r="O984">
        <f t="shared" si="140"/>
        <v>156.75569999999999</v>
      </c>
      <c r="P984">
        <f t="shared" si="141"/>
        <v>39.188924999999998</v>
      </c>
      <c r="Q984">
        <f t="shared" si="142"/>
        <v>39.988379069999993</v>
      </c>
      <c r="R984">
        <f t="shared" si="143"/>
        <v>77.096400000000003</v>
      </c>
      <c r="S984">
        <f t="shared" si="136"/>
        <v>300.36</v>
      </c>
    </row>
    <row r="985" spans="1:19" x14ac:dyDescent="0.25">
      <c r="A985">
        <v>1115</v>
      </c>
      <c r="B985">
        <v>1344</v>
      </c>
      <c r="C985" t="s">
        <v>35</v>
      </c>
      <c r="D985" t="s">
        <v>173</v>
      </c>
      <c r="E985">
        <v>20</v>
      </c>
      <c r="F985">
        <v>15.93</v>
      </c>
      <c r="G985">
        <v>2.7</v>
      </c>
      <c r="H985">
        <v>31.92</v>
      </c>
      <c r="I985">
        <v>0.83</v>
      </c>
      <c r="J985">
        <v>88.28</v>
      </c>
      <c r="K985">
        <f t="shared" si="137"/>
        <v>1765.6</v>
      </c>
      <c r="L985">
        <f t="shared" si="138"/>
        <v>1765.6</v>
      </c>
      <c r="M985">
        <f t="shared" si="135"/>
        <v>860.22</v>
      </c>
      <c r="N985">
        <f t="shared" si="139"/>
        <v>215.05500000000001</v>
      </c>
      <c r="O985">
        <f t="shared" si="140"/>
        <v>860.22</v>
      </c>
      <c r="P985">
        <f t="shared" si="141"/>
        <v>215.05500000000001</v>
      </c>
      <c r="Q985">
        <f t="shared" si="142"/>
        <v>219.44212200000001</v>
      </c>
      <c r="R985">
        <f t="shared" si="143"/>
        <v>529.87199999999996</v>
      </c>
      <c r="S985">
        <f t="shared" si="136"/>
        <v>1765.6</v>
      </c>
    </row>
    <row r="986" spans="1:19" x14ac:dyDescent="0.25">
      <c r="A986">
        <v>1116</v>
      </c>
      <c r="B986">
        <v>1344</v>
      </c>
      <c r="C986" t="s">
        <v>35</v>
      </c>
      <c r="D986" t="s">
        <v>172</v>
      </c>
      <c r="E986">
        <v>12</v>
      </c>
      <c r="F986">
        <v>22.29</v>
      </c>
      <c r="G986">
        <v>12.37</v>
      </c>
      <c r="H986">
        <v>28.25</v>
      </c>
      <c r="I986">
        <v>0.95</v>
      </c>
      <c r="J986">
        <v>442.08</v>
      </c>
      <c r="K986">
        <f t="shared" si="137"/>
        <v>5304.96</v>
      </c>
      <c r="L986">
        <f t="shared" si="138"/>
        <v>0</v>
      </c>
      <c r="M986">
        <f t="shared" si="135"/>
        <v>0</v>
      </c>
      <c r="N986">
        <f t="shared" si="139"/>
        <v>0</v>
      </c>
      <c r="O986">
        <f t="shared" si="140"/>
        <v>3308.7275999999997</v>
      </c>
      <c r="P986">
        <f t="shared" si="141"/>
        <v>827.18189999999993</v>
      </c>
      <c r="Q986">
        <f t="shared" si="142"/>
        <v>844.05641075999995</v>
      </c>
      <c r="R986">
        <f t="shared" si="143"/>
        <v>322.04999999999995</v>
      </c>
      <c r="S986">
        <f t="shared" si="136"/>
        <v>5304.96</v>
      </c>
    </row>
    <row r="987" spans="1:19" x14ac:dyDescent="0.25">
      <c r="A987">
        <v>1117</v>
      </c>
      <c r="B987">
        <v>1344</v>
      </c>
      <c r="C987" t="s">
        <v>35</v>
      </c>
      <c r="D987" t="s">
        <v>173</v>
      </c>
      <c r="E987">
        <v>48</v>
      </c>
      <c r="F987">
        <v>14.13</v>
      </c>
      <c r="G987">
        <v>3.03</v>
      </c>
      <c r="H987">
        <v>33.22</v>
      </c>
      <c r="I987">
        <v>0.82</v>
      </c>
      <c r="J987">
        <v>88.83</v>
      </c>
      <c r="K987">
        <f t="shared" si="137"/>
        <v>4263.84</v>
      </c>
      <c r="L987">
        <f t="shared" si="138"/>
        <v>4263.84</v>
      </c>
      <c r="M987">
        <f t="shared" si="135"/>
        <v>2055.0672</v>
      </c>
      <c r="N987">
        <f t="shared" si="139"/>
        <v>513.76679999999999</v>
      </c>
      <c r="O987">
        <f t="shared" si="140"/>
        <v>2055.0672</v>
      </c>
      <c r="P987">
        <f t="shared" si="141"/>
        <v>513.76679999999999</v>
      </c>
      <c r="Q987">
        <f t="shared" si="142"/>
        <v>524.24764271999993</v>
      </c>
      <c r="R987">
        <f t="shared" si="143"/>
        <v>1307.5391999999999</v>
      </c>
      <c r="S987">
        <f t="shared" si="136"/>
        <v>4263.84</v>
      </c>
    </row>
    <row r="988" spans="1:19" x14ac:dyDescent="0.25">
      <c r="A988">
        <v>1118</v>
      </c>
      <c r="B988">
        <v>1344</v>
      </c>
      <c r="C988" t="s">
        <v>35</v>
      </c>
      <c r="D988" t="s">
        <v>172</v>
      </c>
      <c r="E988">
        <v>34</v>
      </c>
      <c r="F988">
        <v>20.079999999999998</v>
      </c>
      <c r="G988">
        <v>10.97</v>
      </c>
      <c r="H988">
        <v>26.66</v>
      </c>
      <c r="I988">
        <v>1.04</v>
      </c>
      <c r="J988">
        <v>360.66</v>
      </c>
      <c r="K988">
        <f t="shared" si="137"/>
        <v>12262.44</v>
      </c>
      <c r="L988">
        <f t="shared" si="138"/>
        <v>0</v>
      </c>
      <c r="M988">
        <f t="shared" si="135"/>
        <v>0</v>
      </c>
      <c r="N988">
        <f t="shared" si="139"/>
        <v>0</v>
      </c>
      <c r="O988">
        <f t="shared" si="140"/>
        <v>7489.4384</v>
      </c>
      <c r="P988">
        <f t="shared" si="141"/>
        <v>1872.3596</v>
      </c>
      <c r="Q988">
        <f t="shared" si="142"/>
        <v>1910.5557358399999</v>
      </c>
      <c r="R988">
        <f t="shared" si="143"/>
        <v>942.69759999999997</v>
      </c>
      <c r="S988">
        <f t="shared" si="136"/>
        <v>12262.44</v>
      </c>
    </row>
    <row r="989" spans="1:19" x14ac:dyDescent="0.25">
      <c r="A989">
        <v>1119</v>
      </c>
      <c r="B989">
        <v>1345</v>
      </c>
      <c r="C989" t="s">
        <v>33</v>
      </c>
      <c r="D989" t="s">
        <v>172</v>
      </c>
      <c r="E989">
        <v>14</v>
      </c>
      <c r="F989">
        <v>20.09</v>
      </c>
      <c r="G989">
        <v>10.66</v>
      </c>
      <c r="H989">
        <v>30.2</v>
      </c>
      <c r="I989">
        <v>1.06</v>
      </c>
      <c r="J989">
        <v>356.66</v>
      </c>
      <c r="K989">
        <f t="shared" si="137"/>
        <v>4993.2400000000007</v>
      </c>
      <c r="L989">
        <f t="shared" si="138"/>
        <v>0</v>
      </c>
      <c r="M989">
        <f t="shared" si="135"/>
        <v>0</v>
      </c>
      <c r="N989">
        <f t="shared" si="139"/>
        <v>0</v>
      </c>
      <c r="O989">
        <f t="shared" si="140"/>
        <v>2998.2316000000001</v>
      </c>
      <c r="P989">
        <f t="shared" si="141"/>
        <v>749.55790000000002</v>
      </c>
      <c r="Q989">
        <f t="shared" si="142"/>
        <v>764.84888116000002</v>
      </c>
      <c r="R989">
        <f t="shared" si="143"/>
        <v>448.16800000000001</v>
      </c>
      <c r="S989">
        <f t="shared" si="136"/>
        <v>4993.2400000000007</v>
      </c>
    </row>
    <row r="990" spans="1:19" x14ac:dyDescent="0.25">
      <c r="A990">
        <v>1120</v>
      </c>
      <c r="B990">
        <v>1345</v>
      </c>
      <c r="C990" t="s">
        <v>33</v>
      </c>
      <c r="D990" t="s">
        <v>172</v>
      </c>
      <c r="E990">
        <v>10</v>
      </c>
      <c r="F990">
        <v>21.31</v>
      </c>
      <c r="G990">
        <v>10.14</v>
      </c>
      <c r="H990">
        <v>38.119999999999997</v>
      </c>
      <c r="I990">
        <v>1.01</v>
      </c>
      <c r="J990">
        <v>367.24</v>
      </c>
      <c r="K990">
        <f t="shared" si="137"/>
        <v>3672.4</v>
      </c>
      <c r="L990">
        <f t="shared" si="138"/>
        <v>0</v>
      </c>
      <c r="M990">
        <f t="shared" si="135"/>
        <v>0</v>
      </c>
      <c r="N990">
        <f t="shared" si="139"/>
        <v>0</v>
      </c>
      <c r="O990">
        <f t="shared" si="140"/>
        <v>2160.8339999999998</v>
      </c>
      <c r="P990">
        <f t="shared" si="141"/>
        <v>540.20849999999996</v>
      </c>
      <c r="Q990">
        <f t="shared" si="142"/>
        <v>551.22875339999996</v>
      </c>
      <c r="R990">
        <f t="shared" si="143"/>
        <v>385.01199999999994</v>
      </c>
      <c r="S990">
        <f t="shared" si="136"/>
        <v>3672.4</v>
      </c>
    </row>
    <row r="991" spans="1:19" x14ac:dyDescent="0.25">
      <c r="A991">
        <v>1121</v>
      </c>
      <c r="B991">
        <v>1345</v>
      </c>
      <c r="C991" t="s">
        <v>33</v>
      </c>
      <c r="D991" t="s">
        <v>173</v>
      </c>
      <c r="E991">
        <v>19</v>
      </c>
      <c r="F991">
        <v>15.14</v>
      </c>
      <c r="G991">
        <v>3.17</v>
      </c>
      <c r="H991">
        <v>34.21</v>
      </c>
      <c r="I991">
        <v>0.79</v>
      </c>
      <c r="J991">
        <v>95.72</v>
      </c>
      <c r="K991">
        <f t="shared" si="137"/>
        <v>1818.68</v>
      </c>
      <c r="L991">
        <f t="shared" si="138"/>
        <v>1818.68</v>
      </c>
      <c r="M991">
        <f t="shared" si="135"/>
        <v>911.88220000000001</v>
      </c>
      <c r="N991">
        <f t="shared" si="139"/>
        <v>227.97055</v>
      </c>
      <c r="O991">
        <f t="shared" si="140"/>
        <v>911.88220000000001</v>
      </c>
      <c r="P991">
        <f t="shared" si="141"/>
        <v>227.97055</v>
      </c>
      <c r="Q991">
        <f t="shared" si="142"/>
        <v>232.62114922000001</v>
      </c>
      <c r="R991">
        <f t="shared" si="143"/>
        <v>513.49210000000005</v>
      </c>
      <c r="S991">
        <f t="shared" si="136"/>
        <v>1818.68</v>
      </c>
    </row>
    <row r="992" spans="1:19" x14ac:dyDescent="0.25">
      <c r="A992">
        <v>1122</v>
      </c>
      <c r="B992">
        <v>1345</v>
      </c>
      <c r="C992" t="s">
        <v>33</v>
      </c>
      <c r="D992" t="s">
        <v>173</v>
      </c>
      <c r="E992">
        <v>8</v>
      </c>
      <c r="F992">
        <v>15.02</v>
      </c>
      <c r="G992">
        <v>3.02</v>
      </c>
      <c r="H992">
        <v>32.58</v>
      </c>
      <c r="I992">
        <v>0.8</v>
      </c>
      <c r="J992">
        <v>91.04</v>
      </c>
      <c r="K992">
        <f t="shared" si="137"/>
        <v>728.32</v>
      </c>
      <c r="L992">
        <f t="shared" si="138"/>
        <v>728.32</v>
      </c>
      <c r="M992">
        <f t="shared" si="135"/>
        <v>362.88319999999999</v>
      </c>
      <c r="N992">
        <f t="shared" si="139"/>
        <v>90.720799999999997</v>
      </c>
      <c r="O992">
        <f t="shared" si="140"/>
        <v>362.88319999999999</v>
      </c>
      <c r="P992">
        <f t="shared" si="141"/>
        <v>90.720799999999997</v>
      </c>
      <c r="Q992">
        <f t="shared" si="142"/>
        <v>92.571504319999988</v>
      </c>
      <c r="R992">
        <f t="shared" si="143"/>
        <v>208.512</v>
      </c>
      <c r="S992">
        <f t="shared" si="136"/>
        <v>728.32</v>
      </c>
    </row>
    <row r="993" spans="1:19" x14ac:dyDescent="0.25">
      <c r="A993">
        <v>1123</v>
      </c>
      <c r="B993">
        <v>1345</v>
      </c>
      <c r="C993" t="s">
        <v>33</v>
      </c>
      <c r="D993" t="s">
        <v>172</v>
      </c>
      <c r="E993">
        <v>23</v>
      </c>
      <c r="F993">
        <v>19.61</v>
      </c>
      <c r="G993">
        <v>11.59</v>
      </c>
      <c r="H993">
        <v>33.35</v>
      </c>
      <c r="I993">
        <v>0.9</v>
      </c>
      <c r="J993">
        <v>373.8</v>
      </c>
      <c r="K993">
        <f t="shared" si="137"/>
        <v>8597.4</v>
      </c>
      <c r="L993">
        <f t="shared" si="138"/>
        <v>0</v>
      </c>
      <c r="M993">
        <f t="shared" si="135"/>
        <v>0</v>
      </c>
      <c r="N993">
        <f t="shared" si="139"/>
        <v>0</v>
      </c>
      <c r="O993">
        <f t="shared" si="140"/>
        <v>5227.4376999999995</v>
      </c>
      <c r="P993">
        <f t="shared" si="141"/>
        <v>1306.8594249999999</v>
      </c>
      <c r="Q993">
        <f t="shared" si="142"/>
        <v>1333.5193572699998</v>
      </c>
      <c r="R993">
        <f t="shared" si="143"/>
        <v>690.34500000000003</v>
      </c>
      <c r="S993">
        <f t="shared" si="136"/>
        <v>8597.4</v>
      </c>
    </row>
    <row r="994" spans="1:19" x14ac:dyDescent="0.25">
      <c r="A994">
        <v>1124</v>
      </c>
      <c r="B994">
        <v>1345</v>
      </c>
      <c r="C994" t="s">
        <v>33</v>
      </c>
      <c r="D994" t="s">
        <v>172</v>
      </c>
      <c r="E994">
        <v>11</v>
      </c>
      <c r="F994">
        <v>20.5</v>
      </c>
      <c r="G994">
        <v>11.91</v>
      </c>
      <c r="H994">
        <v>30.78</v>
      </c>
      <c r="I994">
        <v>0.84</v>
      </c>
      <c r="J994">
        <v>393.95</v>
      </c>
      <c r="K994">
        <f t="shared" si="137"/>
        <v>4333.45</v>
      </c>
      <c r="L994">
        <f t="shared" si="138"/>
        <v>0</v>
      </c>
      <c r="M994">
        <f t="shared" si="135"/>
        <v>0</v>
      </c>
      <c r="N994">
        <f t="shared" si="139"/>
        <v>0</v>
      </c>
      <c r="O994">
        <f t="shared" si="140"/>
        <v>2685.7049999999999</v>
      </c>
      <c r="P994">
        <f t="shared" si="141"/>
        <v>671.42624999999998</v>
      </c>
      <c r="Q994">
        <f t="shared" si="142"/>
        <v>685.12334549999991</v>
      </c>
      <c r="R994">
        <f t="shared" si="143"/>
        <v>284.40719999999999</v>
      </c>
      <c r="S994">
        <f t="shared" si="136"/>
        <v>4333.45</v>
      </c>
    </row>
    <row r="995" spans="1:19" x14ac:dyDescent="0.25">
      <c r="A995">
        <v>1125</v>
      </c>
      <c r="B995">
        <v>1345</v>
      </c>
      <c r="C995" t="s">
        <v>33</v>
      </c>
      <c r="D995" t="s">
        <v>172</v>
      </c>
      <c r="E995">
        <v>21</v>
      </c>
      <c r="F995">
        <v>20.59</v>
      </c>
      <c r="G995">
        <v>10.43</v>
      </c>
      <c r="H995">
        <v>31.8</v>
      </c>
      <c r="I995">
        <v>0.94</v>
      </c>
      <c r="J995">
        <v>292.67</v>
      </c>
      <c r="K995">
        <f t="shared" si="137"/>
        <v>6146.0700000000006</v>
      </c>
      <c r="L995">
        <f t="shared" si="138"/>
        <v>0</v>
      </c>
      <c r="M995">
        <f t="shared" si="135"/>
        <v>0</v>
      </c>
      <c r="N995">
        <f t="shared" si="139"/>
        <v>0</v>
      </c>
      <c r="O995">
        <f t="shared" si="140"/>
        <v>4509.8276999999998</v>
      </c>
      <c r="P995">
        <f t="shared" si="141"/>
        <v>1127.456925</v>
      </c>
      <c r="Q995">
        <f t="shared" si="142"/>
        <v>1150.4570462699999</v>
      </c>
      <c r="R995">
        <f t="shared" si="143"/>
        <v>627.73199999999997</v>
      </c>
      <c r="S995">
        <f t="shared" si="136"/>
        <v>6146.0700000000006</v>
      </c>
    </row>
    <row r="996" spans="1:19" x14ac:dyDescent="0.25">
      <c r="A996">
        <v>1126</v>
      </c>
      <c r="B996">
        <v>1346</v>
      </c>
      <c r="C996" t="s">
        <v>34</v>
      </c>
      <c r="D996" t="s">
        <v>172</v>
      </c>
      <c r="E996">
        <v>37</v>
      </c>
      <c r="F996">
        <v>19.3</v>
      </c>
      <c r="G996">
        <v>10.89</v>
      </c>
      <c r="H996">
        <v>32.75</v>
      </c>
      <c r="I996">
        <v>1.06</v>
      </c>
      <c r="J996">
        <v>353.95</v>
      </c>
      <c r="K996">
        <f t="shared" si="137"/>
        <v>13096.15</v>
      </c>
      <c r="L996">
        <f t="shared" si="138"/>
        <v>0</v>
      </c>
      <c r="M996">
        <f t="shared" si="135"/>
        <v>0</v>
      </c>
      <c r="N996">
        <f t="shared" si="139"/>
        <v>0</v>
      </c>
      <c r="O996">
        <f t="shared" si="140"/>
        <v>7776.549</v>
      </c>
      <c r="P996">
        <f t="shared" si="141"/>
        <v>1944.13725</v>
      </c>
      <c r="Q996">
        <f t="shared" si="142"/>
        <v>1983.7976498999999</v>
      </c>
      <c r="R996">
        <f t="shared" si="143"/>
        <v>1284.4549999999999</v>
      </c>
      <c r="S996">
        <f t="shared" si="136"/>
        <v>13096.15</v>
      </c>
    </row>
    <row r="997" spans="1:19" x14ac:dyDescent="0.25">
      <c r="A997">
        <v>1127</v>
      </c>
      <c r="B997">
        <v>1346</v>
      </c>
      <c r="C997" t="s">
        <v>34</v>
      </c>
      <c r="D997" t="s">
        <v>172</v>
      </c>
      <c r="E997">
        <v>10</v>
      </c>
      <c r="F997">
        <v>18.100000000000001</v>
      </c>
      <c r="G997">
        <v>11.55</v>
      </c>
      <c r="H997">
        <v>29.1</v>
      </c>
      <c r="I997">
        <v>1.01</v>
      </c>
      <c r="J997">
        <v>345.94</v>
      </c>
      <c r="K997">
        <f t="shared" si="137"/>
        <v>3459.4</v>
      </c>
      <c r="L997">
        <f t="shared" si="138"/>
        <v>0</v>
      </c>
      <c r="M997">
        <f t="shared" si="135"/>
        <v>0</v>
      </c>
      <c r="N997">
        <f t="shared" si="139"/>
        <v>0</v>
      </c>
      <c r="O997">
        <f t="shared" si="140"/>
        <v>2090.5500000000002</v>
      </c>
      <c r="P997">
        <f t="shared" si="141"/>
        <v>522.63750000000005</v>
      </c>
      <c r="Q997">
        <f t="shared" si="142"/>
        <v>533.299305</v>
      </c>
      <c r="R997">
        <f t="shared" si="143"/>
        <v>293.91000000000003</v>
      </c>
      <c r="S997">
        <f t="shared" si="136"/>
        <v>3459.4</v>
      </c>
    </row>
    <row r="998" spans="1:19" x14ac:dyDescent="0.25">
      <c r="A998">
        <v>1128</v>
      </c>
      <c r="B998">
        <v>1346</v>
      </c>
      <c r="C998" t="s">
        <v>34</v>
      </c>
      <c r="D998" t="s">
        <v>173</v>
      </c>
      <c r="E998">
        <v>20</v>
      </c>
      <c r="F998">
        <v>13.71</v>
      </c>
      <c r="G998">
        <v>2.86</v>
      </c>
      <c r="H998">
        <v>32.94</v>
      </c>
      <c r="I998">
        <v>0.79</v>
      </c>
      <c r="J998">
        <v>82.54</v>
      </c>
      <c r="K998">
        <f t="shared" si="137"/>
        <v>1650.8000000000002</v>
      </c>
      <c r="L998">
        <f t="shared" si="138"/>
        <v>1650.8000000000002</v>
      </c>
      <c r="M998">
        <f t="shared" si="135"/>
        <v>784.21199999999999</v>
      </c>
      <c r="N998">
        <f t="shared" si="139"/>
        <v>196.053</v>
      </c>
      <c r="O998">
        <f t="shared" si="140"/>
        <v>784.21199999999999</v>
      </c>
      <c r="P998">
        <f t="shared" si="141"/>
        <v>196.053</v>
      </c>
      <c r="Q998">
        <f t="shared" si="142"/>
        <v>200.05248119999999</v>
      </c>
      <c r="R998">
        <f t="shared" si="143"/>
        <v>520.452</v>
      </c>
      <c r="S998">
        <f t="shared" si="136"/>
        <v>1650.8000000000002</v>
      </c>
    </row>
    <row r="999" spans="1:19" x14ac:dyDescent="0.25">
      <c r="A999">
        <v>1129</v>
      </c>
      <c r="B999">
        <v>1346</v>
      </c>
      <c r="C999" t="s">
        <v>34</v>
      </c>
      <c r="D999" t="s">
        <v>172</v>
      </c>
      <c r="E999">
        <v>13</v>
      </c>
      <c r="F999">
        <v>19.670000000000002</v>
      </c>
      <c r="G999">
        <v>11.99</v>
      </c>
      <c r="H999">
        <v>32.64</v>
      </c>
      <c r="I999">
        <v>1.01</v>
      </c>
      <c r="J999">
        <v>390.05</v>
      </c>
      <c r="K999">
        <f t="shared" si="137"/>
        <v>5070.6500000000005</v>
      </c>
      <c r="L999">
        <f t="shared" si="138"/>
        <v>0</v>
      </c>
      <c r="M999">
        <f t="shared" si="135"/>
        <v>0</v>
      </c>
      <c r="N999">
        <f t="shared" si="139"/>
        <v>0</v>
      </c>
      <c r="O999">
        <f t="shared" si="140"/>
        <v>3065.9629000000004</v>
      </c>
      <c r="P999">
        <f t="shared" si="141"/>
        <v>766.49072500000011</v>
      </c>
      <c r="Q999">
        <f t="shared" si="142"/>
        <v>782.12713579000012</v>
      </c>
      <c r="R999">
        <f t="shared" si="143"/>
        <v>428.56320000000005</v>
      </c>
      <c r="S999">
        <f t="shared" si="136"/>
        <v>5070.6500000000005</v>
      </c>
    </row>
    <row r="1000" spans="1:19" x14ac:dyDescent="0.25">
      <c r="A1000">
        <v>1130</v>
      </c>
      <c r="B1000">
        <v>1346</v>
      </c>
      <c r="C1000" t="s">
        <v>34</v>
      </c>
      <c r="D1000" t="s">
        <v>172</v>
      </c>
      <c r="E1000">
        <v>12</v>
      </c>
      <c r="F1000">
        <v>19.46</v>
      </c>
      <c r="G1000">
        <v>10.86</v>
      </c>
      <c r="H1000">
        <v>27.95</v>
      </c>
      <c r="I1000">
        <v>1.1000000000000001</v>
      </c>
      <c r="J1000">
        <v>350.95</v>
      </c>
      <c r="K1000">
        <f t="shared" si="137"/>
        <v>4211.3999999999996</v>
      </c>
      <c r="L1000">
        <f t="shared" si="138"/>
        <v>0</v>
      </c>
      <c r="M1000">
        <f t="shared" si="135"/>
        <v>0</v>
      </c>
      <c r="N1000">
        <f t="shared" si="139"/>
        <v>0</v>
      </c>
      <c r="O1000">
        <f t="shared" si="140"/>
        <v>2536.0272</v>
      </c>
      <c r="P1000">
        <f t="shared" si="141"/>
        <v>634.0068</v>
      </c>
      <c r="Q1000">
        <f t="shared" si="142"/>
        <v>646.94053871999995</v>
      </c>
      <c r="R1000">
        <f t="shared" si="143"/>
        <v>368.94</v>
      </c>
      <c r="S1000">
        <f t="shared" si="136"/>
        <v>4211.3999999999996</v>
      </c>
    </row>
    <row r="1001" spans="1:19" x14ac:dyDescent="0.25">
      <c r="A1001">
        <v>1131</v>
      </c>
      <c r="B1001">
        <v>1346</v>
      </c>
      <c r="C1001" t="s">
        <v>34</v>
      </c>
      <c r="D1001" t="s">
        <v>173</v>
      </c>
      <c r="E1001">
        <v>13</v>
      </c>
      <c r="F1001">
        <v>13.96</v>
      </c>
      <c r="G1001">
        <v>2.68</v>
      </c>
      <c r="H1001">
        <v>25.34</v>
      </c>
      <c r="I1001">
        <v>0.81</v>
      </c>
      <c r="J1001">
        <v>66.62</v>
      </c>
      <c r="K1001">
        <f t="shared" si="137"/>
        <v>866.06000000000006</v>
      </c>
      <c r="L1001">
        <f t="shared" si="138"/>
        <v>866.06000000000006</v>
      </c>
      <c r="M1001">
        <f t="shared" si="135"/>
        <v>486.36640000000006</v>
      </c>
      <c r="N1001">
        <f t="shared" si="139"/>
        <v>121.59160000000001</v>
      </c>
      <c r="O1001">
        <f t="shared" si="140"/>
        <v>486.36640000000006</v>
      </c>
      <c r="P1001">
        <f t="shared" si="141"/>
        <v>121.59160000000001</v>
      </c>
      <c r="Q1001">
        <f t="shared" si="142"/>
        <v>124.07206864000001</v>
      </c>
      <c r="R1001">
        <f t="shared" si="143"/>
        <v>266.83020000000005</v>
      </c>
      <c r="S1001">
        <f t="shared" si="136"/>
        <v>866.06000000000006</v>
      </c>
    </row>
    <row r="1002" spans="1:19" x14ac:dyDescent="0.25">
      <c r="A1002">
        <v>1132</v>
      </c>
      <c r="B1002">
        <v>1346</v>
      </c>
      <c r="C1002" t="s">
        <v>34</v>
      </c>
      <c r="D1002" t="s">
        <v>172</v>
      </c>
      <c r="E1002">
        <v>14</v>
      </c>
      <c r="F1002">
        <v>17.600000000000001</v>
      </c>
      <c r="G1002">
        <v>11.58</v>
      </c>
      <c r="H1002">
        <v>31.18</v>
      </c>
      <c r="I1002">
        <v>0.97</v>
      </c>
      <c r="J1002">
        <v>339.16</v>
      </c>
      <c r="K1002">
        <f t="shared" si="137"/>
        <v>4748.2400000000007</v>
      </c>
      <c r="L1002">
        <f t="shared" si="138"/>
        <v>0</v>
      </c>
      <c r="M1002">
        <f t="shared" si="135"/>
        <v>0</v>
      </c>
      <c r="N1002">
        <f t="shared" si="139"/>
        <v>0</v>
      </c>
      <c r="O1002">
        <f t="shared" si="140"/>
        <v>2853.3120000000004</v>
      </c>
      <c r="P1002">
        <f t="shared" si="141"/>
        <v>713.32800000000009</v>
      </c>
      <c r="Q1002">
        <f t="shared" si="142"/>
        <v>727.87989120000009</v>
      </c>
      <c r="R1002">
        <f t="shared" si="143"/>
        <v>423.42439999999999</v>
      </c>
      <c r="S1002">
        <f t="shared" si="136"/>
        <v>4748.2400000000007</v>
      </c>
    </row>
    <row r="1003" spans="1:19" x14ac:dyDescent="0.25">
      <c r="A1003">
        <v>1133</v>
      </c>
      <c r="B1003">
        <v>1347</v>
      </c>
      <c r="C1003" t="s">
        <v>35</v>
      </c>
      <c r="D1003" t="s">
        <v>173</v>
      </c>
      <c r="E1003">
        <v>19</v>
      </c>
      <c r="F1003">
        <v>13.84</v>
      </c>
      <c r="G1003">
        <v>2.84</v>
      </c>
      <c r="H1003">
        <v>28.92</v>
      </c>
      <c r="I1003">
        <v>0.79</v>
      </c>
      <c r="J1003">
        <v>79.180000000000007</v>
      </c>
      <c r="K1003">
        <f t="shared" si="137"/>
        <v>1504.42</v>
      </c>
      <c r="L1003">
        <f t="shared" si="138"/>
        <v>1504.42</v>
      </c>
      <c r="M1003">
        <f t="shared" si="135"/>
        <v>746.80639999999994</v>
      </c>
      <c r="N1003">
        <f t="shared" si="139"/>
        <v>186.70159999999998</v>
      </c>
      <c r="O1003">
        <f t="shared" si="140"/>
        <v>746.80639999999994</v>
      </c>
      <c r="P1003">
        <f t="shared" si="141"/>
        <v>186.70159999999998</v>
      </c>
      <c r="Q1003">
        <f t="shared" si="142"/>
        <v>190.51031263999997</v>
      </c>
      <c r="R1003">
        <f t="shared" si="143"/>
        <v>434.08920000000006</v>
      </c>
      <c r="S1003">
        <f t="shared" si="136"/>
        <v>1504.42</v>
      </c>
    </row>
    <row r="1004" spans="1:19" x14ac:dyDescent="0.25">
      <c r="A1004">
        <v>1134</v>
      </c>
      <c r="B1004">
        <v>1347</v>
      </c>
      <c r="C1004" t="s">
        <v>35</v>
      </c>
      <c r="D1004" t="s">
        <v>173</v>
      </c>
      <c r="E1004">
        <v>24</v>
      </c>
      <c r="F1004">
        <v>14.37</v>
      </c>
      <c r="G1004">
        <v>2.74</v>
      </c>
      <c r="H1004">
        <v>30.13</v>
      </c>
      <c r="I1004">
        <v>0.77</v>
      </c>
      <c r="J1004">
        <v>79.66</v>
      </c>
      <c r="K1004">
        <f t="shared" si="137"/>
        <v>1911.84</v>
      </c>
      <c r="L1004">
        <f t="shared" si="138"/>
        <v>1911.84</v>
      </c>
      <c r="M1004">
        <f t="shared" si="135"/>
        <v>944.97120000000007</v>
      </c>
      <c r="N1004">
        <f t="shared" si="139"/>
        <v>236.24280000000002</v>
      </c>
      <c r="O1004">
        <f t="shared" si="140"/>
        <v>944.97120000000007</v>
      </c>
      <c r="P1004">
        <f t="shared" si="141"/>
        <v>236.24280000000002</v>
      </c>
      <c r="Q1004">
        <f t="shared" si="142"/>
        <v>241.06215312</v>
      </c>
      <c r="R1004">
        <f t="shared" si="143"/>
        <v>556.80240000000003</v>
      </c>
      <c r="S1004">
        <f t="shared" si="136"/>
        <v>1911.84</v>
      </c>
    </row>
    <row r="1005" spans="1:19" x14ac:dyDescent="0.25">
      <c r="A1005">
        <v>1135</v>
      </c>
      <c r="B1005">
        <v>1347</v>
      </c>
      <c r="C1005" t="s">
        <v>35</v>
      </c>
      <c r="D1005" t="s">
        <v>173</v>
      </c>
      <c r="E1005">
        <v>11</v>
      </c>
      <c r="F1005">
        <v>13.19</v>
      </c>
      <c r="G1005">
        <v>3.13</v>
      </c>
      <c r="H1005">
        <v>31.9</v>
      </c>
      <c r="I1005">
        <v>0.84</v>
      </c>
      <c r="J1005">
        <v>76.83</v>
      </c>
      <c r="K1005">
        <f t="shared" si="137"/>
        <v>845.13</v>
      </c>
      <c r="L1005">
        <f t="shared" si="138"/>
        <v>845.13</v>
      </c>
      <c r="M1005">
        <f t="shared" si="135"/>
        <v>454.13169999999997</v>
      </c>
      <c r="N1005">
        <f t="shared" si="139"/>
        <v>113.53292499999999</v>
      </c>
      <c r="O1005">
        <f t="shared" si="140"/>
        <v>454.13169999999997</v>
      </c>
      <c r="P1005">
        <f t="shared" si="141"/>
        <v>113.53292499999999</v>
      </c>
      <c r="Q1005">
        <f t="shared" si="142"/>
        <v>115.84899666999999</v>
      </c>
      <c r="R1005">
        <f t="shared" si="143"/>
        <v>294.75599999999997</v>
      </c>
      <c r="S1005">
        <f t="shared" si="136"/>
        <v>845.13</v>
      </c>
    </row>
    <row r="1006" spans="1:19" x14ac:dyDescent="0.25">
      <c r="A1006">
        <v>1136</v>
      </c>
      <c r="B1006">
        <v>1347</v>
      </c>
      <c r="C1006" t="s">
        <v>35</v>
      </c>
      <c r="D1006" t="s">
        <v>172</v>
      </c>
      <c r="E1006">
        <v>14</v>
      </c>
      <c r="F1006">
        <v>19.43</v>
      </c>
      <c r="G1006">
        <v>11.17</v>
      </c>
      <c r="H1006">
        <v>27.3</v>
      </c>
      <c r="I1006">
        <v>0.99</v>
      </c>
      <c r="J1006">
        <v>355</v>
      </c>
      <c r="K1006">
        <f t="shared" si="137"/>
        <v>4970</v>
      </c>
      <c r="L1006">
        <f t="shared" si="138"/>
        <v>0</v>
      </c>
      <c r="M1006">
        <f t="shared" si="135"/>
        <v>0</v>
      </c>
      <c r="N1006">
        <f t="shared" si="139"/>
        <v>0</v>
      </c>
      <c r="O1006">
        <f t="shared" si="140"/>
        <v>3038.4634000000001</v>
      </c>
      <c r="P1006">
        <f t="shared" si="141"/>
        <v>759.61585000000002</v>
      </c>
      <c r="Q1006">
        <f t="shared" si="142"/>
        <v>775.11201333999998</v>
      </c>
      <c r="R1006">
        <f t="shared" si="143"/>
        <v>378.37799999999999</v>
      </c>
      <c r="S1006">
        <f t="shared" si="136"/>
        <v>4970</v>
      </c>
    </row>
    <row r="1007" spans="1:19" x14ac:dyDescent="0.25">
      <c r="A1007">
        <v>1137</v>
      </c>
      <c r="B1007">
        <v>1347</v>
      </c>
      <c r="C1007" t="s">
        <v>35</v>
      </c>
      <c r="D1007" t="s">
        <v>172</v>
      </c>
      <c r="E1007">
        <v>21</v>
      </c>
      <c r="F1007">
        <v>19.38</v>
      </c>
      <c r="G1007">
        <v>12.18</v>
      </c>
      <c r="H1007">
        <v>35.25</v>
      </c>
      <c r="I1007">
        <v>1.1299999999999999</v>
      </c>
      <c r="J1007">
        <v>398.52</v>
      </c>
      <c r="K1007">
        <f t="shared" si="137"/>
        <v>8368.92</v>
      </c>
      <c r="L1007">
        <f t="shared" si="138"/>
        <v>0</v>
      </c>
      <c r="M1007">
        <f t="shared" si="135"/>
        <v>0</v>
      </c>
      <c r="N1007">
        <f t="shared" si="139"/>
        <v>0</v>
      </c>
      <c r="O1007">
        <f t="shared" si="140"/>
        <v>4957.0163999999995</v>
      </c>
      <c r="P1007">
        <f t="shared" si="141"/>
        <v>1239.2540999999999</v>
      </c>
      <c r="Q1007">
        <f t="shared" si="142"/>
        <v>1264.5348836399999</v>
      </c>
      <c r="R1007">
        <f t="shared" si="143"/>
        <v>836.48249999999985</v>
      </c>
      <c r="S1007">
        <f t="shared" si="136"/>
        <v>8368.92</v>
      </c>
    </row>
    <row r="1008" spans="1:19" x14ac:dyDescent="0.25">
      <c r="A1008">
        <v>1138</v>
      </c>
      <c r="B1008">
        <v>1347</v>
      </c>
      <c r="C1008" t="s">
        <v>35</v>
      </c>
      <c r="D1008" t="s">
        <v>173</v>
      </c>
      <c r="E1008">
        <v>10</v>
      </c>
      <c r="F1008">
        <v>15.3</v>
      </c>
      <c r="G1008">
        <v>2.8</v>
      </c>
      <c r="H1008">
        <v>32.770000000000003</v>
      </c>
      <c r="I1008">
        <v>0.81</v>
      </c>
      <c r="J1008">
        <v>88.1</v>
      </c>
      <c r="K1008">
        <f t="shared" si="137"/>
        <v>881</v>
      </c>
      <c r="L1008">
        <f t="shared" si="138"/>
        <v>881</v>
      </c>
      <c r="M1008">
        <f t="shared" si="135"/>
        <v>428.40000000000003</v>
      </c>
      <c r="N1008">
        <f t="shared" si="139"/>
        <v>107.10000000000001</v>
      </c>
      <c r="O1008">
        <f t="shared" si="140"/>
        <v>428.40000000000003</v>
      </c>
      <c r="P1008">
        <f t="shared" si="141"/>
        <v>107.10000000000001</v>
      </c>
      <c r="Q1008">
        <f t="shared" si="142"/>
        <v>109.28484</v>
      </c>
      <c r="R1008">
        <f t="shared" si="143"/>
        <v>265.43700000000007</v>
      </c>
      <c r="S1008">
        <f t="shared" si="136"/>
        <v>881</v>
      </c>
    </row>
    <row r="1009" spans="1:19" x14ac:dyDescent="0.25">
      <c r="A1009">
        <v>1139</v>
      </c>
      <c r="B1009">
        <v>1347</v>
      </c>
      <c r="C1009" t="s">
        <v>35</v>
      </c>
      <c r="D1009" t="s">
        <v>173</v>
      </c>
      <c r="E1009">
        <v>16</v>
      </c>
      <c r="F1009">
        <v>15.8</v>
      </c>
      <c r="G1009">
        <v>2.69</v>
      </c>
      <c r="H1009">
        <v>29.97</v>
      </c>
      <c r="I1009">
        <v>0.79</v>
      </c>
      <c r="J1009">
        <v>84.48</v>
      </c>
      <c r="K1009">
        <f t="shared" si="137"/>
        <v>1351.68</v>
      </c>
      <c r="L1009">
        <f t="shared" si="138"/>
        <v>1351.68</v>
      </c>
      <c r="M1009">
        <f t="shared" si="135"/>
        <v>680.03200000000004</v>
      </c>
      <c r="N1009">
        <f t="shared" si="139"/>
        <v>170.00800000000001</v>
      </c>
      <c r="O1009">
        <f t="shared" si="140"/>
        <v>680.03200000000004</v>
      </c>
      <c r="P1009">
        <f t="shared" si="141"/>
        <v>170.00800000000001</v>
      </c>
      <c r="Q1009">
        <f t="shared" si="142"/>
        <v>173.4761632</v>
      </c>
      <c r="R1009">
        <f t="shared" si="143"/>
        <v>378.82080000000002</v>
      </c>
      <c r="S1009">
        <f t="shared" si="136"/>
        <v>1351.68</v>
      </c>
    </row>
    <row r="1010" spans="1:19" x14ac:dyDescent="0.25">
      <c r="A1010">
        <v>1140</v>
      </c>
      <c r="B1010">
        <v>1347</v>
      </c>
      <c r="C1010" t="s">
        <v>35</v>
      </c>
      <c r="D1010" t="s">
        <v>172</v>
      </c>
      <c r="E1010">
        <v>10</v>
      </c>
      <c r="F1010">
        <v>19.11</v>
      </c>
      <c r="G1010">
        <v>10.66</v>
      </c>
      <c r="H1010">
        <v>30.6</v>
      </c>
      <c r="I1010">
        <v>0.96</v>
      </c>
      <c r="J1010">
        <v>278.62</v>
      </c>
      <c r="K1010">
        <f t="shared" si="137"/>
        <v>2786.2</v>
      </c>
      <c r="L1010">
        <f t="shared" si="138"/>
        <v>0</v>
      </c>
      <c r="M1010">
        <f t="shared" si="135"/>
        <v>0</v>
      </c>
      <c r="N1010">
        <f t="shared" si="139"/>
        <v>0</v>
      </c>
      <c r="O1010">
        <f t="shared" si="140"/>
        <v>2037.1259999999997</v>
      </c>
      <c r="P1010">
        <f t="shared" si="141"/>
        <v>509.28149999999994</v>
      </c>
      <c r="Q1010">
        <f t="shared" si="142"/>
        <v>519.6708425999999</v>
      </c>
      <c r="R1010">
        <f t="shared" si="143"/>
        <v>293.76</v>
      </c>
      <c r="S1010">
        <f t="shared" si="136"/>
        <v>2786.2</v>
      </c>
    </row>
    <row r="1011" spans="1:19" x14ac:dyDescent="0.25">
      <c r="A1011">
        <v>1141</v>
      </c>
      <c r="B1011">
        <v>1347</v>
      </c>
      <c r="C1011" t="s">
        <v>35</v>
      </c>
      <c r="D1011" t="s">
        <v>172</v>
      </c>
      <c r="E1011">
        <v>18</v>
      </c>
      <c r="F1011">
        <v>20.3</v>
      </c>
      <c r="G1011">
        <v>10.14</v>
      </c>
      <c r="H1011">
        <v>38.72</v>
      </c>
      <c r="I1011">
        <v>1.02</v>
      </c>
      <c r="J1011">
        <v>353.19</v>
      </c>
      <c r="K1011">
        <f t="shared" si="137"/>
        <v>6357.42</v>
      </c>
      <c r="L1011">
        <f t="shared" si="138"/>
        <v>0</v>
      </c>
      <c r="M1011">
        <f t="shared" si="135"/>
        <v>0</v>
      </c>
      <c r="N1011">
        <f t="shared" si="139"/>
        <v>0</v>
      </c>
      <c r="O1011">
        <f t="shared" si="140"/>
        <v>3705.1560000000004</v>
      </c>
      <c r="P1011">
        <f t="shared" si="141"/>
        <v>926.2890000000001</v>
      </c>
      <c r="Q1011">
        <f t="shared" si="142"/>
        <v>945.18529560000013</v>
      </c>
      <c r="R1011">
        <f t="shared" si="143"/>
        <v>710.89919999999995</v>
      </c>
      <c r="S1011">
        <f t="shared" si="136"/>
        <v>6357.42</v>
      </c>
    </row>
    <row r="1012" spans="1:19" x14ac:dyDescent="0.25">
      <c r="A1012">
        <v>1142</v>
      </c>
      <c r="B1012">
        <v>1348</v>
      </c>
      <c r="C1012" t="s">
        <v>35</v>
      </c>
      <c r="D1012" t="s">
        <v>172</v>
      </c>
      <c r="E1012">
        <v>10</v>
      </c>
      <c r="F1012">
        <v>19.46</v>
      </c>
      <c r="G1012">
        <v>11.17</v>
      </c>
      <c r="H1012">
        <v>32.869999999999997</v>
      </c>
      <c r="I1012">
        <v>0.88</v>
      </c>
      <c r="J1012">
        <v>357.76</v>
      </c>
      <c r="K1012">
        <f t="shared" si="137"/>
        <v>3577.6</v>
      </c>
      <c r="L1012">
        <f t="shared" si="138"/>
        <v>0</v>
      </c>
      <c r="M1012">
        <f t="shared" si="135"/>
        <v>0</v>
      </c>
      <c r="N1012">
        <f t="shared" si="139"/>
        <v>0</v>
      </c>
      <c r="O1012">
        <f t="shared" si="140"/>
        <v>2173.6820000000002</v>
      </c>
      <c r="P1012">
        <f t="shared" si="141"/>
        <v>543.42050000000006</v>
      </c>
      <c r="Q1012">
        <f t="shared" si="142"/>
        <v>554.5062782</v>
      </c>
      <c r="R1012">
        <f t="shared" si="143"/>
        <v>289.25600000000003</v>
      </c>
      <c r="S1012">
        <f t="shared" si="136"/>
        <v>3577.6</v>
      </c>
    </row>
    <row r="1013" spans="1:19" x14ac:dyDescent="0.25">
      <c r="A1013">
        <v>1143</v>
      </c>
      <c r="B1013">
        <v>1348</v>
      </c>
      <c r="C1013" t="s">
        <v>35</v>
      </c>
      <c r="D1013" t="s">
        <v>173</v>
      </c>
      <c r="E1013">
        <v>16</v>
      </c>
      <c r="F1013">
        <v>14.17</v>
      </c>
      <c r="G1013">
        <v>2.96</v>
      </c>
      <c r="H1013">
        <v>29.45</v>
      </c>
      <c r="I1013">
        <v>0.82</v>
      </c>
      <c r="J1013">
        <v>84.24</v>
      </c>
      <c r="K1013">
        <f t="shared" si="137"/>
        <v>1347.84</v>
      </c>
      <c r="L1013">
        <f t="shared" si="138"/>
        <v>1347.84</v>
      </c>
      <c r="M1013">
        <f t="shared" si="135"/>
        <v>671.09119999999996</v>
      </c>
      <c r="N1013">
        <f t="shared" si="139"/>
        <v>167.77279999999999</v>
      </c>
      <c r="O1013">
        <f t="shared" si="140"/>
        <v>671.09119999999996</v>
      </c>
      <c r="P1013">
        <f t="shared" si="141"/>
        <v>167.77279999999999</v>
      </c>
      <c r="Q1013">
        <f t="shared" si="142"/>
        <v>171.19536511999999</v>
      </c>
      <c r="R1013">
        <f t="shared" si="143"/>
        <v>386.38399999999996</v>
      </c>
      <c r="S1013">
        <f t="shared" si="136"/>
        <v>1347.84</v>
      </c>
    </row>
    <row r="1014" spans="1:19" x14ac:dyDescent="0.25">
      <c r="A1014">
        <v>1144</v>
      </c>
      <c r="B1014">
        <v>1348</v>
      </c>
      <c r="C1014" t="s">
        <v>35</v>
      </c>
      <c r="D1014" t="s">
        <v>173</v>
      </c>
      <c r="E1014">
        <v>97</v>
      </c>
      <c r="F1014">
        <v>15.81</v>
      </c>
      <c r="G1014">
        <v>3.06</v>
      </c>
      <c r="H1014">
        <v>33.409999999999997</v>
      </c>
      <c r="I1014">
        <v>0.8</v>
      </c>
      <c r="J1014">
        <v>95.92</v>
      </c>
      <c r="K1014">
        <f t="shared" si="137"/>
        <v>9304.24</v>
      </c>
      <c r="L1014">
        <f t="shared" si="138"/>
        <v>9304.24</v>
      </c>
      <c r="M1014">
        <f t="shared" si="135"/>
        <v>4692.7241999999997</v>
      </c>
      <c r="N1014">
        <f t="shared" si="139"/>
        <v>1173.1810499999999</v>
      </c>
      <c r="O1014">
        <f t="shared" si="140"/>
        <v>4692.7241999999997</v>
      </c>
      <c r="P1014">
        <f t="shared" si="141"/>
        <v>1173.1810499999999</v>
      </c>
      <c r="Q1014">
        <f t="shared" si="142"/>
        <v>1197.1139434199999</v>
      </c>
      <c r="R1014">
        <f t="shared" si="143"/>
        <v>2592.616</v>
      </c>
      <c r="S1014">
        <f t="shared" si="136"/>
        <v>9304.24</v>
      </c>
    </row>
    <row r="1015" spans="1:19" x14ac:dyDescent="0.25">
      <c r="A1015">
        <v>1145</v>
      </c>
      <c r="B1015">
        <v>1348</v>
      </c>
      <c r="C1015" t="s">
        <v>35</v>
      </c>
      <c r="D1015" t="s">
        <v>173</v>
      </c>
      <c r="E1015">
        <v>15</v>
      </c>
      <c r="F1015">
        <v>14.27</v>
      </c>
      <c r="G1015">
        <v>2.48</v>
      </c>
      <c r="H1015">
        <v>28.76</v>
      </c>
      <c r="I1015">
        <v>0.82</v>
      </c>
      <c r="J1015">
        <v>74.599999999999994</v>
      </c>
      <c r="K1015">
        <f t="shared" si="137"/>
        <v>1119</v>
      </c>
      <c r="L1015">
        <f t="shared" si="138"/>
        <v>1119</v>
      </c>
      <c r="M1015">
        <f t="shared" si="135"/>
        <v>530.84400000000005</v>
      </c>
      <c r="N1015">
        <f t="shared" si="139"/>
        <v>132.71100000000001</v>
      </c>
      <c r="O1015">
        <f t="shared" si="140"/>
        <v>530.84400000000005</v>
      </c>
      <c r="P1015">
        <f t="shared" si="141"/>
        <v>132.71100000000001</v>
      </c>
      <c r="Q1015">
        <f t="shared" si="142"/>
        <v>135.41830440000001</v>
      </c>
      <c r="R1015">
        <f t="shared" si="143"/>
        <v>353.74799999999999</v>
      </c>
      <c r="S1015">
        <f t="shared" si="136"/>
        <v>1119</v>
      </c>
    </row>
    <row r="1016" spans="1:19" x14ac:dyDescent="0.25">
      <c r="A1016">
        <v>1146</v>
      </c>
      <c r="B1016">
        <v>1348</v>
      </c>
      <c r="C1016" t="s">
        <v>35</v>
      </c>
      <c r="D1016" t="s">
        <v>172</v>
      </c>
      <c r="E1016">
        <v>8</v>
      </c>
      <c r="F1016">
        <v>20.98</v>
      </c>
      <c r="G1016">
        <v>10.15</v>
      </c>
      <c r="H1016">
        <v>32.82</v>
      </c>
      <c r="I1016">
        <v>1.05</v>
      </c>
      <c r="J1016">
        <v>357.77</v>
      </c>
      <c r="K1016">
        <f t="shared" si="137"/>
        <v>2862.16</v>
      </c>
      <c r="L1016">
        <f t="shared" si="138"/>
        <v>0</v>
      </c>
      <c r="M1016">
        <f t="shared" si="135"/>
        <v>0</v>
      </c>
      <c r="N1016">
        <f t="shared" si="139"/>
        <v>0</v>
      </c>
      <c r="O1016">
        <f t="shared" si="140"/>
        <v>1703.576</v>
      </c>
      <c r="P1016">
        <f t="shared" si="141"/>
        <v>425.89400000000001</v>
      </c>
      <c r="Q1016">
        <f t="shared" si="142"/>
        <v>434.58223759999998</v>
      </c>
      <c r="R1016">
        <f t="shared" si="143"/>
        <v>275.68799999999999</v>
      </c>
      <c r="S1016">
        <f t="shared" si="136"/>
        <v>2862.16</v>
      </c>
    </row>
    <row r="1017" spans="1:19" x14ac:dyDescent="0.25">
      <c r="A1017">
        <v>1147</v>
      </c>
      <c r="B1017">
        <v>1348</v>
      </c>
      <c r="C1017" t="s">
        <v>35</v>
      </c>
      <c r="D1017" t="s">
        <v>173</v>
      </c>
      <c r="E1017">
        <v>13</v>
      </c>
      <c r="F1017">
        <v>16.14</v>
      </c>
      <c r="G1017">
        <v>2.95</v>
      </c>
      <c r="H1017">
        <v>32.18</v>
      </c>
      <c r="I1017">
        <v>0.84</v>
      </c>
      <c r="J1017">
        <v>95.2</v>
      </c>
      <c r="K1017">
        <f t="shared" si="137"/>
        <v>1237.6000000000001</v>
      </c>
      <c r="L1017">
        <f t="shared" si="138"/>
        <v>1237.6000000000001</v>
      </c>
      <c r="M1017">
        <f t="shared" si="135"/>
        <v>618.96900000000005</v>
      </c>
      <c r="N1017">
        <f t="shared" si="139"/>
        <v>154.74225000000001</v>
      </c>
      <c r="O1017">
        <f t="shared" si="140"/>
        <v>618.96900000000005</v>
      </c>
      <c r="P1017">
        <f t="shared" si="141"/>
        <v>154.74225000000001</v>
      </c>
      <c r="Q1017">
        <f t="shared" si="142"/>
        <v>157.8989919</v>
      </c>
      <c r="R1017">
        <f t="shared" si="143"/>
        <v>351.40559999999999</v>
      </c>
      <c r="S1017">
        <f t="shared" si="136"/>
        <v>1237.6000000000001</v>
      </c>
    </row>
    <row r="1018" spans="1:19" x14ac:dyDescent="0.25">
      <c r="A1018">
        <v>1148</v>
      </c>
      <c r="B1018">
        <v>1348</v>
      </c>
      <c r="C1018" t="s">
        <v>35</v>
      </c>
      <c r="D1018" t="s">
        <v>172</v>
      </c>
      <c r="E1018">
        <v>43</v>
      </c>
      <c r="F1018">
        <v>19.43</v>
      </c>
      <c r="G1018">
        <v>11.32</v>
      </c>
      <c r="H1018">
        <v>30.48</v>
      </c>
      <c r="I1018">
        <v>1.08</v>
      </c>
      <c r="J1018">
        <v>366.35</v>
      </c>
      <c r="K1018">
        <f t="shared" si="137"/>
        <v>15753.050000000001</v>
      </c>
      <c r="L1018">
        <f t="shared" si="138"/>
        <v>0</v>
      </c>
      <c r="M1018">
        <f t="shared" si="135"/>
        <v>0</v>
      </c>
      <c r="N1018">
        <f t="shared" si="139"/>
        <v>0</v>
      </c>
      <c r="O1018">
        <f t="shared" si="140"/>
        <v>9457.746799999999</v>
      </c>
      <c r="P1018">
        <f t="shared" si="141"/>
        <v>2364.4366999999997</v>
      </c>
      <c r="Q1018">
        <f t="shared" si="142"/>
        <v>2412.6712086799998</v>
      </c>
      <c r="R1018">
        <f t="shared" si="143"/>
        <v>1415.4912000000002</v>
      </c>
      <c r="S1018">
        <f t="shared" si="136"/>
        <v>15753.050000000001</v>
      </c>
    </row>
    <row r="1019" spans="1:19" x14ac:dyDescent="0.25">
      <c r="A1019">
        <v>1149</v>
      </c>
      <c r="B1019">
        <v>1348</v>
      </c>
      <c r="C1019" t="s">
        <v>35</v>
      </c>
      <c r="D1019" t="s">
        <v>172</v>
      </c>
      <c r="E1019">
        <v>54</v>
      </c>
      <c r="F1019">
        <v>19.100000000000001</v>
      </c>
      <c r="G1019">
        <v>10.61</v>
      </c>
      <c r="H1019">
        <v>30.51</v>
      </c>
      <c r="I1019">
        <v>1.07</v>
      </c>
      <c r="J1019">
        <v>340.29</v>
      </c>
      <c r="K1019">
        <f t="shared" si="137"/>
        <v>18375.66</v>
      </c>
      <c r="L1019">
        <f t="shared" si="138"/>
        <v>0</v>
      </c>
      <c r="M1019">
        <f t="shared" si="135"/>
        <v>0</v>
      </c>
      <c r="N1019">
        <f t="shared" si="139"/>
        <v>0</v>
      </c>
      <c r="O1019">
        <f t="shared" si="140"/>
        <v>10943.154</v>
      </c>
      <c r="P1019">
        <f t="shared" si="141"/>
        <v>2735.7885000000001</v>
      </c>
      <c r="Q1019">
        <f t="shared" si="142"/>
        <v>2791.5985854</v>
      </c>
      <c r="R1019">
        <f t="shared" si="143"/>
        <v>1762.8678000000002</v>
      </c>
      <c r="S1019">
        <f t="shared" si="136"/>
        <v>18375.66</v>
      </c>
    </row>
    <row r="1020" spans="1:19" x14ac:dyDescent="0.25">
      <c r="A1020">
        <v>1150</v>
      </c>
      <c r="B1020">
        <v>1348</v>
      </c>
      <c r="C1020" t="s">
        <v>35</v>
      </c>
      <c r="D1020" t="s">
        <v>173</v>
      </c>
      <c r="E1020">
        <v>11</v>
      </c>
      <c r="F1020">
        <v>15.16</v>
      </c>
      <c r="G1020">
        <v>3.04</v>
      </c>
      <c r="H1020">
        <v>33.729999999999997</v>
      </c>
      <c r="I1020">
        <v>0.79</v>
      </c>
      <c r="J1020">
        <v>92.68</v>
      </c>
      <c r="K1020">
        <f t="shared" si="137"/>
        <v>1019.48</v>
      </c>
      <c r="L1020">
        <f t="shared" si="138"/>
        <v>1019.48</v>
      </c>
      <c r="M1020">
        <f t="shared" si="135"/>
        <v>506.95039999999995</v>
      </c>
      <c r="N1020">
        <f t="shared" si="139"/>
        <v>126.73759999999999</v>
      </c>
      <c r="O1020">
        <f t="shared" si="140"/>
        <v>506.95039999999995</v>
      </c>
      <c r="P1020">
        <f t="shared" si="141"/>
        <v>126.73759999999999</v>
      </c>
      <c r="Q1020">
        <f t="shared" si="142"/>
        <v>129.32304703999998</v>
      </c>
      <c r="R1020">
        <f t="shared" si="143"/>
        <v>293.11369999999999</v>
      </c>
      <c r="S1020">
        <f t="shared" si="136"/>
        <v>1019.48</v>
      </c>
    </row>
    <row r="1021" spans="1:19" x14ac:dyDescent="0.25">
      <c r="A1021">
        <v>1151</v>
      </c>
      <c r="B1021">
        <v>1348</v>
      </c>
      <c r="C1021" t="s">
        <v>35</v>
      </c>
      <c r="D1021" t="s">
        <v>172</v>
      </c>
      <c r="E1021">
        <v>6</v>
      </c>
      <c r="F1021">
        <v>19.84</v>
      </c>
      <c r="G1021">
        <v>10.4</v>
      </c>
      <c r="H1021">
        <v>34.46</v>
      </c>
      <c r="I1021">
        <v>1.02</v>
      </c>
      <c r="J1021">
        <v>348.75</v>
      </c>
      <c r="K1021">
        <f t="shared" si="137"/>
        <v>2092.5</v>
      </c>
      <c r="L1021">
        <f t="shared" si="138"/>
        <v>0</v>
      </c>
      <c r="M1021">
        <f t="shared" si="135"/>
        <v>0</v>
      </c>
      <c r="N1021">
        <f t="shared" si="139"/>
        <v>0</v>
      </c>
      <c r="O1021">
        <f t="shared" si="140"/>
        <v>1238.0160000000001</v>
      </c>
      <c r="P1021">
        <f t="shared" si="141"/>
        <v>309.50400000000002</v>
      </c>
      <c r="Q1021">
        <f t="shared" si="142"/>
        <v>315.81788160000002</v>
      </c>
      <c r="R1021">
        <f t="shared" si="143"/>
        <v>210.89520000000002</v>
      </c>
      <c r="S1021">
        <f t="shared" si="136"/>
        <v>2092.5</v>
      </c>
    </row>
    <row r="1022" spans="1:19" x14ac:dyDescent="0.25">
      <c r="A1022">
        <v>1152</v>
      </c>
      <c r="B1022">
        <v>1349</v>
      </c>
      <c r="C1022" t="s">
        <v>33</v>
      </c>
      <c r="D1022" t="s">
        <v>173</v>
      </c>
      <c r="E1022">
        <v>10</v>
      </c>
      <c r="F1022">
        <v>16.25</v>
      </c>
      <c r="G1022">
        <v>3.01</v>
      </c>
      <c r="H1022">
        <v>32.24</v>
      </c>
      <c r="I1022">
        <v>0.79</v>
      </c>
      <c r="J1022">
        <v>95.27</v>
      </c>
      <c r="K1022">
        <f t="shared" si="137"/>
        <v>952.69999999999993</v>
      </c>
      <c r="L1022">
        <f t="shared" si="138"/>
        <v>952.69999999999993</v>
      </c>
      <c r="M1022">
        <f t="shared" si="135"/>
        <v>489.12499999999994</v>
      </c>
      <c r="N1022">
        <f t="shared" si="139"/>
        <v>122.28124999999999</v>
      </c>
      <c r="O1022">
        <f t="shared" si="140"/>
        <v>489.12499999999994</v>
      </c>
      <c r="P1022">
        <f t="shared" si="141"/>
        <v>122.28124999999999</v>
      </c>
      <c r="Q1022">
        <f t="shared" si="142"/>
        <v>124.77578749999998</v>
      </c>
      <c r="R1022">
        <f t="shared" si="143"/>
        <v>254.69600000000003</v>
      </c>
      <c r="S1022">
        <f t="shared" si="136"/>
        <v>952.69999999999993</v>
      </c>
    </row>
    <row r="1023" spans="1:19" x14ac:dyDescent="0.25">
      <c r="A1023">
        <v>1153</v>
      </c>
      <c r="B1023">
        <v>1349</v>
      </c>
      <c r="C1023" t="s">
        <v>33</v>
      </c>
      <c r="D1023" t="s">
        <v>172</v>
      </c>
      <c r="E1023">
        <v>15</v>
      </c>
      <c r="F1023">
        <v>20.36</v>
      </c>
      <c r="G1023">
        <v>10.26</v>
      </c>
      <c r="H1023">
        <v>31.85</v>
      </c>
      <c r="I1023">
        <v>1.01</v>
      </c>
      <c r="J1023">
        <v>349.01</v>
      </c>
      <c r="K1023">
        <f t="shared" si="137"/>
        <v>5235.1499999999996</v>
      </c>
      <c r="L1023">
        <f t="shared" si="138"/>
        <v>0</v>
      </c>
      <c r="M1023">
        <f t="shared" si="135"/>
        <v>0</v>
      </c>
      <c r="N1023">
        <f t="shared" si="139"/>
        <v>0</v>
      </c>
      <c r="O1023">
        <f t="shared" si="140"/>
        <v>3133.404</v>
      </c>
      <c r="P1023">
        <f t="shared" si="141"/>
        <v>783.351</v>
      </c>
      <c r="Q1023">
        <f t="shared" si="142"/>
        <v>799.33136039999999</v>
      </c>
      <c r="R1023">
        <f t="shared" si="143"/>
        <v>482.52750000000003</v>
      </c>
      <c r="S1023">
        <f t="shared" si="136"/>
        <v>5235.1499999999996</v>
      </c>
    </row>
    <row r="1024" spans="1:19" x14ac:dyDescent="0.25">
      <c r="A1024">
        <v>1154</v>
      </c>
      <c r="B1024">
        <v>1349</v>
      </c>
      <c r="C1024" t="s">
        <v>33</v>
      </c>
      <c r="D1024" t="s">
        <v>173</v>
      </c>
      <c r="E1024">
        <v>13</v>
      </c>
      <c r="F1024">
        <v>13.78</v>
      </c>
      <c r="G1024">
        <v>2.84</v>
      </c>
      <c r="H1024">
        <v>30.89</v>
      </c>
      <c r="I1024">
        <v>0.81</v>
      </c>
      <c r="J1024">
        <v>81.33</v>
      </c>
      <c r="K1024">
        <f t="shared" si="137"/>
        <v>1057.29</v>
      </c>
      <c r="L1024">
        <f t="shared" si="138"/>
        <v>1057.29</v>
      </c>
      <c r="M1024">
        <f t="shared" si="135"/>
        <v>508.75760000000002</v>
      </c>
      <c r="N1024">
        <f t="shared" si="139"/>
        <v>127.18940000000001</v>
      </c>
      <c r="O1024">
        <f t="shared" si="140"/>
        <v>508.75760000000002</v>
      </c>
      <c r="P1024">
        <f t="shared" si="141"/>
        <v>127.18940000000001</v>
      </c>
      <c r="Q1024">
        <f t="shared" si="142"/>
        <v>129.78406376000001</v>
      </c>
      <c r="R1024">
        <f t="shared" si="143"/>
        <v>325.27170000000007</v>
      </c>
      <c r="S1024">
        <f t="shared" si="136"/>
        <v>1057.29</v>
      </c>
    </row>
    <row r="1025" spans="1:19" x14ac:dyDescent="0.25">
      <c r="A1025">
        <v>1155</v>
      </c>
      <c r="B1025">
        <v>1349</v>
      </c>
      <c r="C1025" t="s">
        <v>33</v>
      </c>
      <c r="D1025" t="s">
        <v>172</v>
      </c>
      <c r="E1025">
        <v>7</v>
      </c>
      <c r="F1025">
        <v>20.09</v>
      </c>
      <c r="G1025">
        <v>11.68</v>
      </c>
      <c r="H1025">
        <v>37.65</v>
      </c>
      <c r="I1025">
        <v>0.92</v>
      </c>
      <c r="J1025">
        <v>390.26</v>
      </c>
      <c r="K1025">
        <f t="shared" si="137"/>
        <v>2731.8199999999997</v>
      </c>
      <c r="L1025">
        <f t="shared" si="138"/>
        <v>0</v>
      </c>
      <c r="M1025">
        <f t="shared" si="135"/>
        <v>0</v>
      </c>
      <c r="N1025">
        <f t="shared" si="139"/>
        <v>0</v>
      </c>
      <c r="O1025">
        <f t="shared" si="140"/>
        <v>1642.5583999999999</v>
      </c>
      <c r="P1025">
        <f t="shared" si="141"/>
        <v>410.63959999999997</v>
      </c>
      <c r="Q1025">
        <f t="shared" si="142"/>
        <v>419.01664783999996</v>
      </c>
      <c r="R1025">
        <f t="shared" si="143"/>
        <v>242.46600000000001</v>
      </c>
      <c r="S1025">
        <f t="shared" si="136"/>
        <v>2731.8199999999997</v>
      </c>
    </row>
    <row r="1026" spans="1:19" x14ac:dyDescent="0.25">
      <c r="A1026">
        <v>1156</v>
      </c>
      <c r="B1026">
        <v>1349</v>
      </c>
      <c r="C1026" t="s">
        <v>33</v>
      </c>
      <c r="D1026" t="s">
        <v>173</v>
      </c>
      <c r="E1026">
        <v>9</v>
      </c>
      <c r="F1026">
        <v>13.43</v>
      </c>
      <c r="G1026">
        <v>2.61</v>
      </c>
      <c r="H1026">
        <v>33.53</v>
      </c>
      <c r="I1026">
        <v>0.79</v>
      </c>
      <c r="J1026">
        <v>77.33</v>
      </c>
      <c r="K1026">
        <f t="shared" si="137"/>
        <v>695.97</v>
      </c>
      <c r="L1026">
        <f t="shared" si="138"/>
        <v>695.97</v>
      </c>
      <c r="M1026">
        <f t="shared" ref="M1026:M1089" si="144">IF(D1026="SHOES",O1026,0)</f>
        <v>315.47069999999997</v>
      </c>
      <c r="N1026">
        <f t="shared" si="139"/>
        <v>78.867674999999991</v>
      </c>
      <c r="O1026">
        <f t="shared" si="140"/>
        <v>315.47069999999997</v>
      </c>
      <c r="P1026">
        <f t="shared" si="141"/>
        <v>78.867674999999991</v>
      </c>
      <c r="Q1026">
        <f t="shared" si="142"/>
        <v>80.476575569999994</v>
      </c>
      <c r="R1026">
        <f t="shared" si="143"/>
        <v>238.39830000000001</v>
      </c>
      <c r="S1026">
        <f t="shared" ref="S1026:S1089" si="145">PRODUCT(J1026,E1026)</f>
        <v>695.97</v>
      </c>
    </row>
    <row r="1027" spans="1:19" x14ac:dyDescent="0.25">
      <c r="A1027">
        <v>1157</v>
      </c>
      <c r="B1027">
        <v>1349</v>
      </c>
      <c r="C1027" t="s">
        <v>33</v>
      </c>
      <c r="D1027" t="s">
        <v>173</v>
      </c>
      <c r="E1027">
        <v>17</v>
      </c>
      <c r="F1027">
        <v>13.97</v>
      </c>
      <c r="G1027">
        <v>2.93</v>
      </c>
      <c r="H1027">
        <v>29.61</v>
      </c>
      <c r="I1027">
        <v>0.8</v>
      </c>
      <c r="J1027">
        <v>82.34</v>
      </c>
      <c r="K1027">
        <f t="shared" ref="K1027:K1090" si="146">E1027*J1027</f>
        <v>1399.78</v>
      </c>
      <c r="L1027">
        <f t="shared" ref="L1027:L1090" si="147">IF(D1027="SHOES",E1027*J1027,0)</f>
        <v>1399.78</v>
      </c>
      <c r="M1027">
        <f t="shared" si="144"/>
        <v>695.84570000000008</v>
      </c>
      <c r="N1027">
        <f t="shared" ref="N1027:N1090" si="148">IF(D1027="SHOES",P1027,0)</f>
        <v>173.96142500000002</v>
      </c>
      <c r="O1027">
        <f t="shared" ref="O1027:O1090" si="149">PRODUCT(E1027,G1027,F1027)</f>
        <v>695.84570000000008</v>
      </c>
      <c r="P1027">
        <f t="shared" ref="P1027:P1090" si="150">PRODUCT(O1027,0.25)</f>
        <v>173.96142500000002</v>
      </c>
      <c r="Q1027">
        <f t="shared" ref="Q1027:Q1090" si="151">PRODUCT(O1027,0.2551)</f>
        <v>177.51023807000001</v>
      </c>
      <c r="R1027">
        <f t="shared" si="143"/>
        <v>402.69600000000003</v>
      </c>
      <c r="S1027">
        <f t="shared" si="145"/>
        <v>1399.78</v>
      </c>
    </row>
    <row r="1028" spans="1:19" x14ac:dyDescent="0.25">
      <c r="A1028">
        <v>1158</v>
      </c>
      <c r="B1028">
        <v>1349</v>
      </c>
      <c r="C1028" t="s">
        <v>33</v>
      </c>
      <c r="D1028" t="s">
        <v>172</v>
      </c>
      <c r="E1028">
        <v>10</v>
      </c>
      <c r="F1028">
        <v>19.55</v>
      </c>
      <c r="G1028">
        <v>11.5</v>
      </c>
      <c r="H1028">
        <v>30.07</v>
      </c>
      <c r="I1028">
        <v>1.08</v>
      </c>
      <c r="J1028">
        <v>373.07</v>
      </c>
      <c r="K1028">
        <f t="shared" si="146"/>
        <v>3730.7</v>
      </c>
      <c r="L1028">
        <f t="shared" si="147"/>
        <v>0</v>
      </c>
      <c r="M1028">
        <f t="shared" si="144"/>
        <v>0</v>
      </c>
      <c r="N1028">
        <f t="shared" si="148"/>
        <v>0</v>
      </c>
      <c r="O1028">
        <f t="shared" si="149"/>
        <v>2248.25</v>
      </c>
      <c r="P1028">
        <f t="shared" si="150"/>
        <v>562.0625</v>
      </c>
      <c r="Q1028">
        <f t="shared" si="151"/>
        <v>573.52857499999993</v>
      </c>
      <c r="R1028">
        <f t="shared" ref="R1028:R1091" si="152">PRODUCT(E1028,I1028,H1028)</f>
        <v>324.75600000000003</v>
      </c>
      <c r="S1028">
        <f t="shared" si="145"/>
        <v>3730.7</v>
      </c>
    </row>
    <row r="1029" spans="1:19" x14ac:dyDescent="0.25">
      <c r="A1029">
        <v>1159</v>
      </c>
      <c r="B1029">
        <v>1349</v>
      </c>
      <c r="C1029" t="s">
        <v>33</v>
      </c>
      <c r="D1029" t="s">
        <v>173</v>
      </c>
      <c r="E1029">
        <v>9</v>
      </c>
      <c r="F1029">
        <v>14.24</v>
      </c>
      <c r="G1029">
        <v>2.7</v>
      </c>
      <c r="H1029">
        <v>33.799999999999997</v>
      </c>
      <c r="I1029">
        <v>0.83</v>
      </c>
      <c r="J1029">
        <v>83.73</v>
      </c>
      <c r="K1029">
        <f t="shared" si="146"/>
        <v>753.57</v>
      </c>
      <c r="L1029">
        <f t="shared" si="147"/>
        <v>753.57</v>
      </c>
      <c r="M1029">
        <f t="shared" si="144"/>
        <v>346.03200000000004</v>
      </c>
      <c r="N1029">
        <f t="shared" si="148"/>
        <v>86.50800000000001</v>
      </c>
      <c r="O1029">
        <f t="shared" si="149"/>
        <v>346.03200000000004</v>
      </c>
      <c r="P1029">
        <f t="shared" si="150"/>
        <v>86.50800000000001</v>
      </c>
      <c r="Q1029">
        <f t="shared" si="151"/>
        <v>88.272763200000014</v>
      </c>
      <c r="R1029">
        <f t="shared" si="152"/>
        <v>252.48599999999996</v>
      </c>
      <c r="S1029">
        <f t="shared" si="145"/>
        <v>753.57</v>
      </c>
    </row>
    <row r="1030" spans="1:19" x14ac:dyDescent="0.25">
      <c r="A1030">
        <v>1160</v>
      </c>
      <c r="B1030">
        <v>1350</v>
      </c>
      <c r="C1030" t="s">
        <v>33</v>
      </c>
      <c r="D1030" t="s">
        <v>173</v>
      </c>
      <c r="E1030">
        <v>14</v>
      </c>
      <c r="F1030">
        <v>15.81</v>
      </c>
      <c r="G1030">
        <v>3.21</v>
      </c>
      <c r="H1030">
        <v>31.06</v>
      </c>
      <c r="I1030">
        <v>0.8</v>
      </c>
      <c r="J1030">
        <v>97.11</v>
      </c>
      <c r="K1030">
        <f t="shared" si="146"/>
        <v>1359.54</v>
      </c>
      <c r="L1030">
        <f t="shared" si="147"/>
        <v>1359.54</v>
      </c>
      <c r="M1030">
        <f t="shared" si="144"/>
        <v>710.50139999999999</v>
      </c>
      <c r="N1030">
        <f t="shared" si="148"/>
        <v>177.62535</v>
      </c>
      <c r="O1030">
        <f t="shared" si="149"/>
        <v>710.50139999999999</v>
      </c>
      <c r="P1030">
        <f t="shared" si="150"/>
        <v>177.62535</v>
      </c>
      <c r="Q1030">
        <f t="shared" si="151"/>
        <v>181.24890714</v>
      </c>
      <c r="R1030">
        <f t="shared" si="152"/>
        <v>347.87200000000001</v>
      </c>
      <c r="S1030">
        <f t="shared" si="145"/>
        <v>1359.54</v>
      </c>
    </row>
    <row r="1031" spans="1:19" x14ac:dyDescent="0.25">
      <c r="A1031">
        <v>1161</v>
      </c>
      <c r="B1031">
        <v>1350</v>
      </c>
      <c r="C1031" t="s">
        <v>33</v>
      </c>
      <c r="D1031" t="s">
        <v>173</v>
      </c>
      <c r="E1031">
        <v>8</v>
      </c>
      <c r="F1031">
        <v>14.99</v>
      </c>
      <c r="G1031">
        <v>2.68</v>
      </c>
      <c r="H1031">
        <v>33.28</v>
      </c>
      <c r="I1031">
        <v>0.77</v>
      </c>
      <c r="J1031">
        <v>83.43</v>
      </c>
      <c r="K1031">
        <f t="shared" si="146"/>
        <v>667.44</v>
      </c>
      <c r="L1031">
        <f t="shared" si="147"/>
        <v>667.44</v>
      </c>
      <c r="M1031">
        <f t="shared" si="144"/>
        <v>321.38560000000001</v>
      </c>
      <c r="N1031">
        <f t="shared" si="148"/>
        <v>80.346400000000003</v>
      </c>
      <c r="O1031">
        <f t="shared" si="149"/>
        <v>321.38560000000001</v>
      </c>
      <c r="P1031">
        <f t="shared" si="150"/>
        <v>80.346400000000003</v>
      </c>
      <c r="Q1031">
        <f t="shared" si="151"/>
        <v>81.985466560000006</v>
      </c>
      <c r="R1031">
        <f t="shared" si="152"/>
        <v>205.00480000000002</v>
      </c>
      <c r="S1031">
        <f t="shared" si="145"/>
        <v>667.44</v>
      </c>
    </row>
    <row r="1032" spans="1:19" x14ac:dyDescent="0.25">
      <c r="A1032">
        <v>1162</v>
      </c>
      <c r="B1032">
        <v>1350</v>
      </c>
      <c r="C1032" t="s">
        <v>33</v>
      </c>
      <c r="D1032" t="s">
        <v>173</v>
      </c>
      <c r="E1032">
        <v>15</v>
      </c>
      <c r="F1032">
        <v>14.63</v>
      </c>
      <c r="G1032">
        <v>3.07</v>
      </c>
      <c r="H1032">
        <v>30.31</v>
      </c>
      <c r="I1032">
        <v>0.78</v>
      </c>
      <c r="J1032">
        <v>87.76</v>
      </c>
      <c r="K1032">
        <f t="shared" si="146"/>
        <v>1316.4</v>
      </c>
      <c r="L1032">
        <f t="shared" si="147"/>
        <v>1316.4</v>
      </c>
      <c r="M1032">
        <f t="shared" si="144"/>
        <v>673.7115</v>
      </c>
      <c r="N1032">
        <f t="shared" si="148"/>
        <v>168.427875</v>
      </c>
      <c r="O1032">
        <f t="shared" si="149"/>
        <v>673.7115</v>
      </c>
      <c r="P1032">
        <f t="shared" si="150"/>
        <v>168.427875</v>
      </c>
      <c r="Q1032">
        <f t="shared" si="151"/>
        <v>171.86380364999999</v>
      </c>
      <c r="R1032">
        <f t="shared" si="152"/>
        <v>354.62700000000001</v>
      </c>
      <c r="S1032">
        <f t="shared" si="145"/>
        <v>1316.4</v>
      </c>
    </row>
    <row r="1033" spans="1:19" x14ac:dyDescent="0.25">
      <c r="A1033">
        <v>1163</v>
      </c>
      <c r="B1033">
        <v>1350</v>
      </c>
      <c r="C1033" t="s">
        <v>33</v>
      </c>
      <c r="D1033" t="s">
        <v>172</v>
      </c>
      <c r="E1033">
        <v>13</v>
      </c>
      <c r="F1033">
        <v>20.329999999999998</v>
      </c>
      <c r="G1033">
        <v>10.62</v>
      </c>
      <c r="H1033">
        <v>29.39</v>
      </c>
      <c r="I1033">
        <v>0.91</v>
      </c>
      <c r="J1033">
        <v>352.98</v>
      </c>
      <c r="K1033">
        <f t="shared" si="146"/>
        <v>4588.74</v>
      </c>
      <c r="L1033">
        <f t="shared" si="147"/>
        <v>0</v>
      </c>
      <c r="M1033">
        <f t="shared" si="144"/>
        <v>0</v>
      </c>
      <c r="N1033">
        <f t="shared" si="148"/>
        <v>0</v>
      </c>
      <c r="O1033">
        <f t="shared" si="149"/>
        <v>2806.7597999999998</v>
      </c>
      <c r="P1033">
        <f t="shared" si="150"/>
        <v>701.68994999999995</v>
      </c>
      <c r="Q1033">
        <f t="shared" si="151"/>
        <v>716.00442497999995</v>
      </c>
      <c r="R1033">
        <f t="shared" si="152"/>
        <v>347.68369999999999</v>
      </c>
      <c r="S1033">
        <f t="shared" si="145"/>
        <v>4588.74</v>
      </c>
    </row>
    <row r="1034" spans="1:19" x14ac:dyDescent="0.25">
      <c r="A1034">
        <v>1164</v>
      </c>
      <c r="B1034">
        <v>1350</v>
      </c>
      <c r="C1034" t="s">
        <v>33</v>
      </c>
      <c r="D1034" t="s">
        <v>173</v>
      </c>
      <c r="E1034">
        <v>16</v>
      </c>
      <c r="F1034">
        <v>14.56</v>
      </c>
      <c r="G1034">
        <v>2.98</v>
      </c>
      <c r="H1034">
        <v>33.18</v>
      </c>
      <c r="I1034">
        <v>0.8</v>
      </c>
      <c r="J1034">
        <v>88.86</v>
      </c>
      <c r="K1034">
        <f t="shared" si="146"/>
        <v>1421.76</v>
      </c>
      <c r="L1034">
        <f t="shared" si="147"/>
        <v>1421.76</v>
      </c>
      <c r="M1034">
        <f t="shared" si="144"/>
        <v>694.22080000000005</v>
      </c>
      <c r="N1034">
        <f t="shared" si="148"/>
        <v>173.55520000000001</v>
      </c>
      <c r="O1034">
        <f t="shared" si="149"/>
        <v>694.22080000000005</v>
      </c>
      <c r="P1034">
        <f t="shared" si="150"/>
        <v>173.55520000000001</v>
      </c>
      <c r="Q1034">
        <f t="shared" si="151"/>
        <v>177.09572608000002</v>
      </c>
      <c r="R1034">
        <f t="shared" si="152"/>
        <v>424.70400000000001</v>
      </c>
      <c r="S1034">
        <f t="shared" si="145"/>
        <v>1421.76</v>
      </c>
    </row>
    <row r="1035" spans="1:19" x14ac:dyDescent="0.25">
      <c r="A1035">
        <v>1165</v>
      </c>
      <c r="B1035">
        <v>1350</v>
      </c>
      <c r="C1035" t="s">
        <v>33</v>
      </c>
      <c r="D1035" t="s">
        <v>173</v>
      </c>
      <c r="E1035">
        <v>11</v>
      </c>
      <c r="F1035">
        <v>17.07</v>
      </c>
      <c r="G1035">
        <v>2.2799999999999998</v>
      </c>
      <c r="H1035">
        <v>31.11</v>
      </c>
      <c r="I1035">
        <v>0.8</v>
      </c>
      <c r="J1035">
        <v>80.89</v>
      </c>
      <c r="K1035">
        <f t="shared" si="146"/>
        <v>889.79</v>
      </c>
      <c r="L1035">
        <f t="shared" si="147"/>
        <v>889.79</v>
      </c>
      <c r="M1035">
        <f t="shared" si="144"/>
        <v>428.11559999999997</v>
      </c>
      <c r="N1035">
        <f t="shared" si="148"/>
        <v>107.02889999999999</v>
      </c>
      <c r="O1035">
        <f t="shared" si="149"/>
        <v>428.11559999999997</v>
      </c>
      <c r="P1035">
        <f t="shared" si="150"/>
        <v>107.02889999999999</v>
      </c>
      <c r="Q1035">
        <f t="shared" si="151"/>
        <v>109.21228955999999</v>
      </c>
      <c r="R1035">
        <f t="shared" si="152"/>
        <v>273.76800000000003</v>
      </c>
      <c r="S1035">
        <f t="shared" si="145"/>
        <v>889.79</v>
      </c>
    </row>
    <row r="1036" spans="1:19" x14ac:dyDescent="0.25">
      <c r="A1036">
        <v>1166</v>
      </c>
      <c r="B1036">
        <v>1350</v>
      </c>
      <c r="C1036" t="s">
        <v>33</v>
      </c>
      <c r="D1036" t="s">
        <v>173</v>
      </c>
      <c r="E1036">
        <v>26</v>
      </c>
      <c r="F1036">
        <v>14.8</v>
      </c>
      <c r="G1036">
        <v>2.94</v>
      </c>
      <c r="H1036">
        <v>32.24</v>
      </c>
      <c r="I1036">
        <v>0.79</v>
      </c>
      <c r="J1036">
        <v>87.85</v>
      </c>
      <c r="K1036">
        <f t="shared" si="146"/>
        <v>2284.1</v>
      </c>
      <c r="L1036">
        <f t="shared" si="147"/>
        <v>2284.1</v>
      </c>
      <c r="M1036">
        <f t="shared" si="144"/>
        <v>1131.3120000000001</v>
      </c>
      <c r="N1036">
        <f t="shared" si="148"/>
        <v>282.82800000000003</v>
      </c>
      <c r="O1036">
        <f t="shared" si="149"/>
        <v>1131.3120000000001</v>
      </c>
      <c r="P1036">
        <f t="shared" si="150"/>
        <v>282.82800000000003</v>
      </c>
      <c r="Q1036">
        <f t="shared" si="151"/>
        <v>288.59769120000004</v>
      </c>
      <c r="R1036">
        <f t="shared" si="152"/>
        <v>662.20960000000002</v>
      </c>
      <c r="S1036">
        <f t="shared" si="145"/>
        <v>2284.1</v>
      </c>
    </row>
    <row r="1037" spans="1:19" x14ac:dyDescent="0.25">
      <c r="A1037">
        <v>1167</v>
      </c>
      <c r="B1037">
        <v>1350</v>
      </c>
      <c r="C1037" t="s">
        <v>33</v>
      </c>
      <c r="D1037" t="s">
        <v>172</v>
      </c>
      <c r="E1037">
        <v>7</v>
      </c>
      <c r="F1037">
        <v>19.62</v>
      </c>
      <c r="G1037">
        <v>10.95</v>
      </c>
      <c r="H1037">
        <v>27.32</v>
      </c>
      <c r="I1037">
        <v>1.04</v>
      </c>
      <c r="J1037">
        <v>353.38</v>
      </c>
      <c r="K1037">
        <f t="shared" si="146"/>
        <v>2473.66</v>
      </c>
      <c r="L1037">
        <f t="shared" si="147"/>
        <v>0</v>
      </c>
      <c r="M1037">
        <f t="shared" si="144"/>
        <v>0</v>
      </c>
      <c r="N1037">
        <f t="shared" si="148"/>
        <v>0</v>
      </c>
      <c r="O1037">
        <f t="shared" si="149"/>
        <v>1503.8729999999998</v>
      </c>
      <c r="P1037">
        <f t="shared" si="150"/>
        <v>375.96824999999995</v>
      </c>
      <c r="Q1037">
        <f t="shared" si="151"/>
        <v>383.63800229999993</v>
      </c>
      <c r="R1037">
        <f t="shared" si="152"/>
        <v>198.8896</v>
      </c>
      <c r="S1037">
        <f t="shared" si="145"/>
        <v>2473.66</v>
      </c>
    </row>
    <row r="1038" spans="1:19" x14ac:dyDescent="0.25">
      <c r="A1038">
        <v>1168</v>
      </c>
      <c r="B1038">
        <v>1350</v>
      </c>
      <c r="C1038" t="s">
        <v>33</v>
      </c>
      <c r="D1038" t="s">
        <v>172</v>
      </c>
      <c r="E1038">
        <v>10</v>
      </c>
      <c r="F1038">
        <v>19.75</v>
      </c>
      <c r="G1038">
        <v>10.18</v>
      </c>
      <c r="H1038">
        <v>36.590000000000003</v>
      </c>
      <c r="I1038">
        <v>0.93</v>
      </c>
      <c r="J1038">
        <v>339.56</v>
      </c>
      <c r="K1038">
        <f t="shared" si="146"/>
        <v>3395.6</v>
      </c>
      <c r="L1038">
        <f t="shared" si="147"/>
        <v>0</v>
      </c>
      <c r="M1038">
        <f t="shared" si="144"/>
        <v>0</v>
      </c>
      <c r="N1038">
        <f t="shared" si="148"/>
        <v>0</v>
      </c>
      <c r="O1038">
        <f t="shared" si="149"/>
        <v>2010.55</v>
      </c>
      <c r="P1038">
        <f t="shared" si="150"/>
        <v>502.63749999999999</v>
      </c>
      <c r="Q1038">
        <f t="shared" si="151"/>
        <v>512.89130499999999</v>
      </c>
      <c r="R1038">
        <f t="shared" si="152"/>
        <v>340.28700000000003</v>
      </c>
      <c r="S1038">
        <f t="shared" si="145"/>
        <v>3395.6</v>
      </c>
    </row>
    <row r="1039" spans="1:19" x14ac:dyDescent="0.25">
      <c r="A1039">
        <v>1169</v>
      </c>
      <c r="B1039">
        <v>1350</v>
      </c>
      <c r="C1039" t="s">
        <v>33</v>
      </c>
      <c r="D1039" t="s">
        <v>172</v>
      </c>
      <c r="E1039">
        <v>13</v>
      </c>
      <c r="F1039">
        <v>18.38</v>
      </c>
      <c r="G1039">
        <v>11.76</v>
      </c>
      <c r="H1039">
        <v>38.46</v>
      </c>
      <c r="I1039">
        <v>0.99</v>
      </c>
      <c r="J1039">
        <v>366.83</v>
      </c>
      <c r="K1039">
        <f t="shared" si="146"/>
        <v>4768.79</v>
      </c>
      <c r="L1039">
        <f t="shared" si="147"/>
        <v>0</v>
      </c>
      <c r="M1039">
        <f t="shared" si="144"/>
        <v>0</v>
      </c>
      <c r="N1039">
        <f t="shared" si="148"/>
        <v>0</v>
      </c>
      <c r="O1039">
        <f t="shared" si="149"/>
        <v>2809.9343999999996</v>
      </c>
      <c r="P1039">
        <f t="shared" si="150"/>
        <v>702.48359999999991</v>
      </c>
      <c r="Q1039">
        <f t="shared" si="151"/>
        <v>716.81426543999987</v>
      </c>
      <c r="R1039">
        <f t="shared" si="152"/>
        <v>494.98019999999997</v>
      </c>
      <c r="S1039">
        <f t="shared" si="145"/>
        <v>4768.79</v>
      </c>
    </row>
    <row r="1040" spans="1:19" x14ac:dyDescent="0.25">
      <c r="A1040">
        <v>1170</v>
      </c>
      <c r="B1040">
        <v>1351</v>
      </c>
      <c r="C1040" t="s">
        <v>35</v>
      </c>
      <c r="D1040" t="s">
        <v>172</v>
      </c>
      <c r="E1040">
        <v>9</v>
      </c>
      <c r="F1040">
        <v>19.27</v>
      </c>
      <c r="G1040">
        <v>11.01</v>
      </c>
      <c r="H1040">
        <v>30.3</v>
      </c>
      <c r="I1040">
        <v>1.01</v>
      </c>
      <c r="J1040">
        <v>352.01</v>
      </c>
      <c r="K1040">
        <f t="shared" si="146"/>
        <v>3168.09</v>
      </c>
      <c r="L1040">
        <f t="shared" si="147"/>
        <v>0</v>
      </c>
      <c r="M1040">
        <f t="shared" si="144"/>
        <v>0</v>
      </c>
      <c r="N1040">
        <f t="shared" si="148"/>
        <v>0</v>
      </c>
      <c r="O1040">
        <f t="shared" si="149"/>
        <v>1909.4643000000001</v>
      </c>
      <c r="P1040">
        <f t="shared" si="150"/>
        <v>477.36607500000002</v>
      </c>
      <c r="Q1040">
        <f t="shared" si="151"/>
        <v>487.10434293000003</v>
      </c>
      <c r="R1040">
        <f t="shared" si="152"/>
        <v>275.42700000000002</v>
      </c>
      <c r="S1040">
        <f t="shared" si="145"/>
        <v>3168.09</v>
      </c>
    </row>
    <row r="1041" spans="1:19" x14ac:dyDescent="0.25">
      <c r="A1041">
        <v>1171</v>
      </c>
      <c r="B1041">
        <v>1351</v>
      </c>
      <c r="C1041" t="s">
        <v>35</v>
      </c>
      <c r="D1041" t="s">
        <v>173</v>
      </c>
      <c r="E1041">
        <v>24</v>
      </c>
      <c r="F1041">
        <v>15.14</v>
      </c>
      <c r="G1041">
        <v>2.93</v>
      </c>
      <c r="H1041">
        <v>27.74</v>
      </c>
      <c r="I1041">
        <v>0.83</v>
      </c>
      <c r="J1041">
        <v>86.32</v>
      </c>
      <c r="K1041">
        <f t="shared" si="146"/>
        <v>2071.6799999999998</v>
      </c>
      <c r="L1041">
        <f t="shared" si="147"/>
        <v>2071.6799999999998</v>
      </c>
      <c r="M1041">
        <f t="shared" si="144"/>
        <v>1064.6448000000003</v>
      </c>
      <c r="N1041">
        <f t="shared" si="148"/>
        <v>266.16120000000006</v>
      </c>
      <c r="O1041">
        <f t="shared" si="149"/>
        <v>1064.6448000000003</v>
      </c>
      <c r="P1041">
        <f t="shared" si="150"/>
        <v>266.16120000000006</v>
      </c>
      <c r="Q1041">
        <f t="shared" si="151"/>
        <v>271.59088848000005</v>
      </c>
      <c r="R1041">
        <f t="shared" si="152"/>
        <v>552.58079999999995</v>
      </c>
      <c r="S1041">
        <f t="shared" si="145"/>
        <v>2071.6799999999998</v>
      </c>
    </row>
    <row r="1042" spans="1:19" x14ac:dyDescent="0.25">
      <c r="A1042">
        <v>1172</v>
      </c>
      <c r="B1042">
        <v>1351</v>
      </c>
      <c r="C1042" t="s">
        <v>35</v>
      </c>
      <c r="D1042" t="s">
        <v>173</v>
      </c>
      <c r="E1042">
        <v>11</v>
      </c>
      <c r="F1042">
        <v>15.37</v>
      </c>
      <c r="G1042">
        <v>3.05</v>
      </c>
      <c r="H1042">
        <v>33.549999999999997</v>
      </c>
      <c r="I1042">
        <v>0.79</v>
      </c>
      <c r="J1042">
        <v>93.61</v>
      </c>
      <c r="K1042">
        <f t="shared" si="146"/>
        <v>1029.71</v>
      </c>
      <c r="L1042">
        <f t="shared" si="147"/>
        <v>1029.71</v>
      </c>
      <c r="M1042">
        <f t="shared" si="144"/>
        <v>515.66349999999989</v>
      </c>
      <c r="N1042">
        <f t="shared" si="148"/>
        <v>128.91587499999997</v>
      </c>
      <c r="O1042">
        <f t="shared" si="149"/>
        <v>515.66349999999989</v>
      </c>
      <c r="P1042">
        <f t="shared" si="150"/>
        <v>128.91587499999997</v>
      </c>
      <c r="Q1042">
        <f t="shared" si="151"/>
        <v>131.54575884999997</v>
      </c>
      <c r="R1042">
        <f t="shared" si="152"/>
        <v>291.54950000000002</v>
      </c>
      <c r="S1042">
        <f t="shared" si="145"/>
        <v>1029.71</v>
      </c>
    </row>
    <row r="1043" spans="1:19" x14ac:dyDescent="0.25">
      <c r="A1043">
        <v>1173</v>
      </c>
      <c r="B1043">
        <v>1351</v>
      </c>
      <c r="C1043" t="s">
        <v>35</v>
      </c>
      <c r="D1043" t="s">
        <v>172</v>
      </c>
      <c r="E1043">
        <v>7</v>
      </c>
      <c r="F1043">
        <v>21.03</v>
      </c>
      <c r="G1043">
        <v>11.56</v>
      </c>
      <c r="H1043">
        <v>26.68</v>
      </c>
      <c r="I1043">
        <v>1.03</v>
      </c>
      <c r="J1043">
        <v>394.32</v>
      </c>
      <c r="K1043">
        <f t="shared" si="146"/>
        <v>2760.24</v>
      </c>
      <c r="L1043">
        <f t="shared" si="147"/>
        <v>0</v>
      </c>
      <c r="M1043">
        <f t="shared" si="144"/>
        <v>0</v>
      </c>
      <c r="N1043">
        <f t="shared" si="148"/>
        <v>0</v>
      </c>
      <c r="O1043">
        <f t="shared" si="149"/>
        <v>1701.7476000000001</v>
      </c>
      <c r="P1043">
        <f t="shared" si="150"/>
        <v>425.43690000000004</v>
      </c>
      <c r="Q1043">
        <f t="shared" si="151"/>
        <v>434.11581276000004</v>
      </c>
      <c r="R1043">
        <f t="shared" si="152"/>
        <v>192.36279999999999</v>
      </c>
      <c r="S1043">
        <f t="shared" si="145"/>
        <v>2760.24</v>
      </c>
    </row>
    <row r="1044" spans="1:19" x14ac:dyDescent="0.25">
      <c r="A1044">
        <v>1174</v>
      </c>
      <c r="B1044">
        <v>1351</v>
      </c>
      <c r="C1044" t="s">
        <v>35</v>
      </c>
      <c r="D1044" t="s">
        <v>173</v>
      </c>
      <c r="E1044">
        <v>11</v>
      </c>
      <c r="F1044">
        <v>14.88</v>
      </c>
      <c r="G1044">
        <v>2.72</v>
      </c>
      <c r="H1044">
        <v>33.33</v>
      </c>
      <c r="I1044">
        <v>0.8</v>
      </c>
      <c r="J1044">
        <v>84.98</v>
      </c>
      <c r="K1044">
        <f t="shared" si="146"/>
        <v>934.78000000000009</v>
      </c>
      <c r="L1044">
        <f t="shared" si="147"/>
        <v>934.78000000000009</v>
      </c>
      <c r="M1044">
        <f t="shared" si="144"/>
        <v>445.20960000000002</v>
      </c>
      <c r="N1044">
        <f t="shared" si="148"/>
        <v>111.30240000000001</v>
      </c>
      <c r="O1044">
        <f t="shared" si="149"/>
        <v>445.20960000000002</v>
      </c>
      <c r="P1044">
        <f t="shared" si="150"/>
        <v>111.30240000000001</v>
      </c>
      <c r="Q1044">
        <f t="shared" si="151"/>
        <v>113.57296896</v>
      </c>
      <c r="R1044">
        <f t="shared" si="152"/>
        <v>293.30400000000003</v>
      </c>
      <c r="S1044">
        <f t="shared" si="145"/>
        <v>934.78000000000009</v>
      </c>
    </row>
    <row r="1045" spans="1:19" x14ac:dyDescent="0.25">
      <c r="A1045">
        <v>1175</v>
      </c>
      <c r="B1045">
        <v>1351</v>
      </c>
      <c r="C1045" t="s">
        <v>35</v>
      </c>
      <c r="D1045" t="s">
        <v>173</v>
      </c>
      <c r="E1045">
        <v>15</v>
      </c>
      <c r="F1045">
        <v>14.61</v>
      </c>
      <c r="G1045">
        <v>2.94</v>
      </c>
      <c r="H1045">
        <v>33.119999999999997</v>
      </c>
      <c r="I1045">
        <v>0.78</v>
      </c>
      <c r="J1045">
        <v>87.48</v>
      </c>
      <c r="K1045">
        <f t="shared" si="146"/>
        <v>1312.2</v>
      </c>
      <c r="L1045">
        <f t="shared" si="147"/>
        <v>1312.2</v>
      </c>
      <c r="M1045">
        <f t="shared" si="144"/>
        <v>644.30100000000004</v>
      </c>
      <c r="N1045">
        <f t="shared" si="148"/>
        <v>161.07525000000001</v>
      </c>
      <c r="O1045">
        <f t="shared" si="149"/>
        <v>644.30100000000004</v>
      </c>
      <c r="P1045">
        <f t="shared" si="150"/>
        <v>161.07525000000001</v>
      </c>
      <c r="Q1045">
        <f t="shared" si="151"/>
        <v>164.3611851</v>
      </c>
      <c r="R1045">
        <f t="shared" si="152"/>
        <v>387.50400000000002</v>
      </c>
      <c r="S1045">
        <f t="shared" si="145"/>
        <v>1312.2</v>
      </c>
    </row>
    <row r="1046" spans="1:19" x14ac:dyDescent="0.25">
      <c r="A1046">
        <v>1176</v>
      </c>
      <c r="B1046">
        <v>1351</v>
      </c>
      <c r="C1046" t="s">
        <v>35</v>
      </c>
      <c r="D1046" t="s">
        <v>172</v>
      </c>
      <c r="E1046">
        <v>13</v>
      </c>
      <c r="F1046">
        <v>19.63</v>
      </c>
      <c r="G1046">
        <v>11.29</v>
      </c>
      <c r="H1046">
        <v>34.6</v>
      </c>
      <c r="I1046">
        <v>1.1599999999999999</v>
      </c>
      <c r="J1046">
        <v>377.43</v>
      </c>
      <c r="K1046">
        <f t="shared" si="146"/>
        <v>4906.59</v>
      </c>
      <c r="L1046">
        <f t="shared" si="147"/>
        <v>0</v>
      </c>
      <c r="M1046">
        <f t="shared" si="144"/>
        <v>0</v>
      </c>
      <c r="N1046">
        <f t="shared" si="148"/>
        <v>0</v>
      </c>
      <c r="O1046">
        <f t="shared" si="149"/>
        <v>2881.0950999999995</v>
      </c>
      <c r="P1046">
        <f t="shared" si="150"/>
        <v>720.27377499999989</v>
      </c>
      <c r="Q1046">
        <f t="shared" si="151"/>
        <v>734.96736000999988</v>
      </c>
      <c r="R1046">
        <f t="shared" si="152"/>
        <v>521.76799999999992</v>
      </c>
      <c r="S1046">
        <f t="shared" si="145"/>
        <v>4906.59</v>
      </c>
    </row>
    <row r="1047" spans="1:19" x14ac:dyDescent="0.25">
      <c r="A1047">
        <v>1177</v>
      </c>
      <c r="B1047">
        <v>1351</v>
      </c>
      <c r="C1047" t="s">
        <v>35</v>
      </c>
      <c r="D1047" t="s">
        <v>172</v>
      </c>
      <c r="E1047">
        <v>13</v>
      </c>
      <c r="F1047">
        <v>19.88</v>
      </c>
      <c r="G1047">
        <v>11.06</v>
      </c>
      <c r="H1047">
        <v>32.19</v>
      </c>
      <c r="I1047">
        <v>1.01</v>
      </c>
      <c r="J1047">
        <v>365.75</v>
      </c>
      <c r="K1047">
        <f t="shared" si="146"/>
        <v>4754.75</v>
      </c>
      <c r="L1047">
        <f t="shared" si="147"/>
        <v>0</v>
      </c>
      <c r="M1047">
        <f t="shared" si="144"/>
        <v>0</v>
      </c>
      <c r="N1047">
        <f t="shared" si="148"/>
        <v>0</v>
      </c>
      <c r="O1047">
        <f t="shared" si="149"/>
        <v>2858.3463999999999</v>
      </c>
      <c r="P1047">
        <f t="shared" si="150"/>
        <v>714.58659999999998</v>
      </c>
      <c r="Q1047">
        <f t="shared" si="151"/>
        <v>729.16416663999996</v>
      </c>
      <c r="R1047">
        <f t="shared" si="152"/>
        <v>422.65469999999999</v>
      </c>
      <c r="S1047">
        <f t="shared" si="145"/>
        <v>4754.75</v>
      </c>
    </row>
    <row r="1048" spans="1:19" x14ac:dyDescent="0.25">
      <c r="A1048">
        <v>1178</v>
      </c>
      <c r="B1048">
        <v>1351</v>
      </c>
      <c r="C1048" t="s">
        <v>35</v>
      </c>
      <c r="D1048" t="s">
        <v>173</v>
      </c>
      <c r="E1048">
        <v>20</v>
      </c>
      <c r="F1048">
        <v>15.37</v>
      </c>
      <c r="G1048">
        <v>2.64</v>
      </c>
      <c r="H1048">
        <v>32.08</v>
      </c>
      <c r="I1048">
        <v>0.85</v>
      </c>
      <c r="J1048">
        <v>85.79</v>
      </c>
      <c r="K1048">
        <f t="shared" si="146"/>
        <v>1715.8000000000002</v>
      </c>
      <c r="L1048">
        <f t="shared" si="147"/>
        <v>1715.8000000000002</v>
      </c>
      <c r="M1048">
        <f t="shared" si="144"/>
        <v>811.53600000000006</v>
      </c>
      <c r="N1048">
        <f t="shared" si="148"/>
        <v>202.88400000000001</v>
      </c>
      <c r="O1048">
        <f t="shared" si="149"/>
        <v>811.53600000000006</v>
      </c>
      <c r="P1048">
        <f t="shared" si="150"/>
        <v>202.88400000000001</v>
      </c>
      <c r="Q1048">
        <f t="shared" si="151"/>
        <v>207.02283360000001</v>
      </c>
      <c r="R1048">
        <f t="shared" si="152"/>
        <v>545.36</v>
      </c>
      <c r="S1048">
        <f t="shared" si="145"/>
        <v>1715.8000000000002</v>
      </c>
    </row>
    <row r="1049" spans="1:19" x14ac:dyDescent="0.25">
      <c r="A1049">
        <v>1179</v>
      </c>
      <c r="B1049">
        <v>1351</v>
      </c>
      <c r="C1049" t="s">
        <v>35</v>
      </c>
      <c r="D1049" t="s">
        <v>173</v>
      </c>
      <c r="E1049">
        <v>13</v>
      </c>
      <c r="F1049">
        <v>15.3</v>
      </c>
      <c r="G1049">
        <v>2.65</v>
      </c>
      <c r="H1049">
        <v>32.76</v>
      </c>
      <c r="I1049">
        <v>0.8</v>
      </c>
      <c r="J1049">
        <v>84.58</v>
      </c>
      <c r="K1049">
        <f t="shared" si="146"/>
        <v>1099.54</v>
      </c>
      <c r="L1049">
        <f t="shared" si="147"/>
        <v>1099.54</v>
      </c>
      <c r="M1049">
        <f t="shared" si="144"/>
        <v>527.08499999999992</v>
      </c>
      <c r="N1049">
        <f t="shared" si="148"/>
        <v>131.77124999999998</v>
      </c>
      <c r="O1049">
        <f t="shared" si="149"/>
        <v>527.08499999999992</v>
      </c>
      <c r="P1049">
        <f t="shared" si="150"/>
        <v>131.77124999999998</v>
      </c>
      <c r="Q1049">
        <f t="shared" si="151"/>
        <v>134.45938349999997</v>
      </c>
      <c r="R1049">
        <f t="shared" si="152"/>
        <v>340.70400000000001</v>
      </c>
      <c r="S1049">
        <f t="shared" si="145"/>
        <v>1099.54</v>
      </c>
    </row>
    <row r="1050" spans="1:19" x14ac:dyDescent="0.25">
      <c r="A1050">
        <v>1180</v>
      </c>
      <c r="B1050">
        <v>1351</v>
      </c>
      <c r="C1050" t="s">
        <v>35</v>
      </c>
      <c r="D1050" t="s">
        <v>173</v>
      </c>
      <c r="E1050">
        <v>17</v>
      </c>
      <c r="F1050">
        <v>13.48</v>
      </c>
      <c r="G1050">
        <v>2.86</v>
      </c>
      <c r="H1050">
        <v>33.79</v>
      </c>
      <c r="I1050">
        <v>0.78</v>
      </c>
      <c r="J1050">
        <v>82</v>
      </c>
      <c r="K1050">
        <f t="shared" si="146"/>
        <v>1394</v>
      </c>
      <c r="L1050">
        <f t="shared" si="147"/>
        <v>1394</v>
      </c>
      <c r="M1050">
        <f t="shared" si="144"/>
        <v>655.39760000000001</v>
      </c>
      <c r="N1050">
        <f t="shared" si="148"/>
        <v>163.8494</v>
      </c>
      <c r="O1050">
        <f t="shared" si="149"/>
        <v>655.39760000000001</v>
      </c>
      <c r="P1050">
        <f t="shared" si="150"/>
        <v>163.8494</v>
      </c>
      <c r="Q1050">
        <f t="shared" si="151"/>
        <v>167.19192776</v>
      </c>
      <c r="R1050">
        <f t="shared" si="152"/>
        <v>448.05539999999996</v>
      </c>
      <c r="S1050">
        <f t="shared" si="145"/>
        <v>1394</v>
      </c>
    </row>
    <row r="1051" spans="1:19" x14ac:dyDescent="0.25">
      <c r="A1051">
        <v>1181</v>
      </c>
      <c r="B1051">
        <v>1351</v>
      </c>
      <c r="C1051" t="s">
        <v>35</v>
      </c>
      <c r="D1051" t="s">
        <v>172</v>
      </c>
      <c r="E1051">
        <v>22</v>
      </c>
      <c r="F1051">
        <v>19.32</v>
      </c>
      <c r="G1051">
        <v>11.16</v>
      </c>
      <c r="H1051">
        <v>29.61</v>
      </c>
      <c r="I1051">
        <v>1.03</v>
      </c>
      <c r="J1051">
        <v>357.01</v>
      </c>
      <c r="K1051">
        <f t="shared" si="146"/>
        <v>7854.2199999999993</v>
      </c>
      <c r="L1051">
        <f t="shared" si="147"/>
        <v>0</v>
      </c>
      <c r="M1051">
        <f t="shared" si="144"/>
        <v>0</v>
      </c>
      <c r="N1051">
        <f t="shared" si="148"/>
        <v>0</v>
      </c>
      <c r="O1051">
        <f t="shared" si="149"/>
        <v>4743.4464000000007</v>
      </c>
      <c r="P1051">
        <f t="shared" si="150"/>
        <v>1185.8616000000002</v>
      </c>
      <c r="Q1051">
        <f t="shared" si="151"/>
        <v>1210.0531766400002</v>
      </c>
      <c r="R1051">
        <f t="shared" si="152"/>
        <v>670.96259999999995</v>
      </c>
      <c r="S1051">
        <f t="shared" si="145"/>
        <v>7854.2199999999993</v>
      </c>
    </row>
    <row r="1052" spans="1:19" x14ac:dyDescent="0.25">
      <c r="A1052">
        <v>1182</v>
      </c>
      <c r="B1052">
        <v>1351</v>
      </c>
      <c r="C1052" t="s">
        <v>35</v>
      </c>
      <c r="D1052" t="s">
        <v>173</v>
      </c>
      <c r="E1052">
        <v>10</v>
      </c>
      <c r="F1052">
        <v>14.59</v>
      </c>
      <c r="G1052">
        <v>3.06</v>
      </c>
      <c r="H1052">
        <v>29.22</v>
      </c>
      <c r="I1052">
        <v>0.78</v>
      </c>
      <c r="J1052">
        <v>86.46</v>
      </c>
      <c r="K1052">
        <f t="shared" si="146"/>
        <v>864.59999999999991</v>
      </c>
      <c r="L1052">
        <f t="shared" si="147"/>
        <v>864.59999999999991</v>
      </c>
      <c r="M1052">
        <f t="shared" si="144"/>
        <v>446.45400000000001</v>
      </c>
      <c r="N1052">
        <f t="shared" si="148"/>
        <v>111.6135</v>
      </c>
      <c r="O1052">
        <f t="shared" si="149"/>
        <v>446.45400000000001</v>
      </c>
      <c r="P1052">
        <f t="shared" si="150"/>
        <v>111.6135</v>
      </c>
      <c r="Q1052">
        <f t="shared" si="151"/>
        <v>113.89041539999999</v>
      </c>
      <c r="R1052">
        <f t="shared" si="152"/>
        <v>227.91600000000003</v>
      </c>
      <c r="S1052">
        <f t="shared" si="145"/>
        <v>864.59999999999991</v>
      </c>
    </row>
    <row r="1053" spans="1:19" x14ac:dyDescent="0.25">
      <c r="A1053">
        <v>1183</v>
      </c>
      <c r="B1053">
        <v>1351</v>
      </c>
      <c r="C1053" t="s">
        <v>35</v>
      </c>
      <c r="D1053" t="s">
        <v>173</v>
      </c>
      <c r="E1053">
        <v>11</v>
      </c>
      <c r="F1053">
        <v>15.15</v>
      </c>
      <c r="G1053">
        <v>2.64</v>
      </c>
      <c r="H1053">
        <v>34.35</v>
      </c>
      <c r="I1053">
        <v>0.78</v>
      </c>
      <c r="J1053">
        <v>84.47</v>
      </c>
      <c r="K1053">
        <f t="shared" si="146"/>
        <v>929.17</v>
      </c>
      <c r="L1053">
        <f t="shared" si="147"/>
        <v>929.17</v>
      </c>
      <c r="M1053">
        <f t="shared" si="144"/>
        <v>439.95600000000007</v>
      </c>
      <c r="N1053">
        <f t="shared" si="148"/>
        <v>109.98900000000002</v>
      </c>
      <c r="O1053">
        <f t="shared" si="149"/>
        <v>439.95600000000007</v>
      </c>
      <c r="P1053">
        <f t="shared" si="150"/>
        <v>109.98900000000002</v>
      </c>
      <c r="Q1053">
        <f t="shared" si="151"/>
        <v>112.23277560000001</v>
      </c>
      <c r="R1053">
        <f t="shared" si="152"/>
        <v>294.72300000000001</v>
      </c>
      <c r="S1053">
        <f t="shared" si="145"/>
        <v>929.17</v>
      </c>
    </row>
    <row r="1054" spans="1:19" x14ac:dyDescent="0.25">
      <c r="A1054">
        <v>1184</v>
      </c>
      <c r="B1054">
        <v>1351</v>
      </c>
      <c r="C1054" t="s">
        <v>35</v>
      </c>
      <c r="D1054" t="s">
        <v>172</v>
      </c>
      <c r="E1054">
        <v>18</v>
      </c>
      <c r="F1054">
        <v>19.28</v>
      </c>
      <c r="G1054">
        <v>10.98</v>
      </c>
      <c r="H1054">
        <v>37.85</v>
      </c>
      <c r="I1054">
        <v>1.05</v>
      </c>
      <c r="J1054">
        <v>362.19</v>
      </c>
      <c r="K1054">
        <f t="shared" si="146"/>
        <v>6519.42</v>
      </c>
      <c r="L1054">
        <f t="shared" si="147"/>
        <v>0</v>
      </c>
      <c r="M1054">
        <f t="shared" si="144"/>
        <v>0</v>
      </c>
      <c r="N1054">
        <f t="shared" si="148"/>
        <v>0</v>
      </c>
      <c r="O1054">
        <f t="shared" si="149"/>
        <v>3810.4992000000007</v>
      </c>
      <c r="P1054">
        <f t="shared" si="150"/>
        <v>952.62480000000016</v>
      </c>
      <c r="Q1054">
        <f t="shared" si="151"/>
        <v>972.05834592000019</v>
      </c>
      <c r="R1054">
        <f t="shared" si="152"/>
        <v>715.36500000000012</v>
      </c>
      <c r="S1054">
        <f t="shared" si="145"/>
        <v>6519.42</v>
      </c>
    </row>
    <row r="1055" spans="1:19" x14ac:dyDescent="0.25">
      <c r="A1055">
        <v>1185</v>
      </c>
      <c r="B1055">
        <v>1351</v>
      </c>
      <c r="C1055" t="s">
        <v>35</v>
      </c>
      <c r="D1055" t="s">
        <v>172</v>
      </c>
      <c r="E1055">
        <v>11</v>
      </c>
      <c r="F1055">
        <v>18.989999999999998</v>
      </c>
      <c r="G1055">
        <v>9.7200000000000006</v>
      </c>
      <c r="H1055">
        <v>31.48</v>
      </c>
      <c r="I1055">
        <v>0.97</v>
      </c>
      <c r="J1055">
        <v>310.89999999999998</v>
      </c>
      <c r="K1055">
        <f t="shared" si="146"/>
        <v>3419.8999999999996</v>
      </c>
      <c r="L1055">
        <f t="shared" si="147"/>
        <v>0</v>
      </c>
      <c r="M1055">
        <f t="shared" si="144"/>
        <v>0</v>
      </c>
      <c r="N1055">
        <f t="shared" si="148"/>
        <v>0</v>
      </c>
      <c r="O1055">
        <f t="shared" si="149"/>
        <v>2030.4107999999999</v>
      </c>
      <c r="P1055">
        <f t="shared" si="150"/>
        <v>507.60269999999997</v>
      </c>
      <c r="Q1055">
        <f t="shared" si="151"/>
        <v>517.95779507999998</v>
      </c>
      <c r="R1055">
        <f t="shared" si="152"/>
        <v>335.89159999999998</v>
      </c>
      <c r="S1055">
        <f t="shared" si="145"/>
        <v>3419.8999999999996</v>
      </c>
    </row>
    <row r="1056" spans="1:19" x14ac:dyDescent="0.25">
      <c r="A1056">
        <v>1186</v>
      </c>
      <c r="B1056">
        <v>1351</v>
      </c>
      <c r="C1056" t="s">
        <v>35</v>
      </c>
      <c r="D1056" t="s">
        <v>173</v>
      </c>
      <c r="E1056">
        <v>14</v>
      </c>
      <c r="F1056">
        <v>13.27</v>
      </c>
      <c r="G1056">
        <v>3.1</v>
      </c>
      <c r="H1056">
        <v>32.44</v>
      </c>
      <c r="I1056">
        <v>0.78</v>
      </c>
      <c r="J1056">
        <v>84.4</v>
      </c>
      <c r="K1056">
        <f t="shared" si="146"/>
        <v>1181.6000000000001</v>
      </c>
      <c r="L1056">
        <f t="shared" si="147"/>
        <v>1181.6000000000001</v>
      </c>
      <c r="M1056">
        <f t="shared" si="144"/>
        <v>575.91800000000001</v>
      </c>
      <c r="N1056">
        <f t="shared" si="148"/>
        <v>143.9795</v>
      </c>
      <c r="O1056">
        <f t="shared" si="149"/>
        <v>575.91800000000001</v>
      </c>
      <c r="P1056">
        <f t="shared" si="150"/>
        <v>143.9795</v>
      </c>
      <c r="Q1056">
        <f t="shared" si="151"/>
        <v>146.91668179999999</v>
      </c>
      <c r="R1056">
        <f t="shared" si="152"/>
        <v>354.2448</v>
      </c>
      <c r="S1056">
        <f t="shared" si="145"/>
        <v>1181.6000000000001</v>
      </c>
    </row>
    <row r="1057" spans="1:19" x14ac:dyDescent="0.25">
      <c r="A1057">
        <v>1187</v>
      </c>
      <c r="B1057">
        <v>1351</v>
      </c>
      <c r="C1057" t="s">
        <v>35</v>
      </c>
      <c r="D1057" t="s">
        <v>172</v>
      </c>
      <c r="E1057">
        <v>17</v>
      </c>
      <c r="F1057">
        <v>20.81</v>
      </c>
      <c r="G1057">
        <v>10.82</v>
      </c>
      <c r="H1057">
        <v>27.24</v>
      </c>
      <c r="I1057">
        <v>1.06</v>
      </c>
      <c r="J1057">
        <v>369.29</v>
      </c>
      <c r="K1057">
        <f t="shared" si="146"/>
        <v>6277.93</v>
      </c>
      <c r="L1057">
        <f t="shared" si="147"/>
        <v>0</v>
      </c>
      <c r="M1057">
        <f t="shared" si="144"/>
        <v>0</v>
      </c>
      <c r="N1057">
        <f t="shared" si="148"/>
        <v>0</v>
      </c>
      <c r="O1057">
        <f t="shared" si="149"/>
        <v>3827.7913999999996</v>
      </c>
      <c r="P1057">
        <f t="shared" si="150"/>
        <v>956.9478499999999</v>
      </c>
      <c r="Q1057">
        <f t="shared" si="151"/>
        <v>976.46958613999982</v>
      </c>
      <c r="R1057">
        <f t="shared" si="152"/>
        <v>490.86479999999995</v>
      </c>
      <c r="S1057">
        <f t="shared" si="145"/>
        <v>6277.93</v>
      </c>
    </row>
    <row r="1058" spans="1:19" x14ac:dyDescent="0.25">
      <c r="A1058">
        <v>1188</v>
      </c>
      <c r="B1058">
        <v>1351</v>
      </c>
      <c r="C1058" t="s">
        <v>35</v>
      </c>
      <c r="D1058" t="s">
        <v>173</v>
      </c>
      <c r="E1058">
        <v>11</v>
      </c>
      <c r="F1058">
        <v>14.3</v>
      </c>
      <c r="G1058">
        <v>2.91</v>
      </c>
      <c r="H1058">
        <v>30.23</v>
      </c>
      <c r="I1058">
        <v>0.82</v>
      </c>
      <c r="J1058">
        <v>84.49</v>
      </c>
      <c r="K1058">
        <f t="shared" si="146"/>
        <v>929.39</v>
      </c>
      <c r="L1058">
        <f t="shared" si="147"/>
        <v>929.39</v>
      </c>
      <c r="M1058">
        <f t="shared" si="144"/>
        <v>457.74300000000011</v>
      </c>
      <c r="N1058">
        <f t="shared" si="148"/>
        <v>114.43575000000003</v>
      </c>
      <c r="O1058">
        <f t="shared" si="149"/>
        <v>457.74300000000011</v>
      </c>
      <c r="P1058">
        <f t="shared" si="150"/>
        <v>114.43575000000003</v>
      </c>
      <c r="Q1058">
        <f t="shared" si="151"/>
        <v>116.77023930000003</v>
      </c>
      <c r="R1058">
        <f t="shared" si="152"/>
        <v>272.6746</v>
      </c>
      <c r="S1058">
        <f t="shared" si="145"/>
        <v>929.39</v>
      </c>
    </row>
    <row r="1059" spans="1:19" x14ac:dyDescent="0.25">
      <c r="A1059">
        <v>1189</v>
      </c>
      <c r="B1059">
        <v>1351</v>
      </c>
      <c r="C1059" t="s">
        <v>35</v>
      </c>
      <c r="D1059" t="s">
        <v>173</v>
      </c>
      <c r="E1059">
        <v>6</v>
      </c>
      <c r="F1059">
        <v>14.63</v>
      </c>
      <c r="G1059">
        <v>2.89</v>
      </c>
      <c r="H1059">
        <v>32.840000000000003</v>
      </c>
      <c r="I1059">
        <v>0.82</v>
      </c>
      <c r="J1059">
        <v>78.98</v>
      </c>
      <c r="K1059">
        <f t="shared" si="146"/>
        <v>473.88</v>
      </c>
      <c r="L1059">
        <f t="shared" si="147"/>
        <v>473.88</v>
      </c>
      <c r="M1059">
        <f t="shared" si="144"/>
        <v>253.6842</v>
      </c>
      <c r="N1059">
        <f t="shared" si="148"/>
        <v>63.421050000000001</v>
      </c>
      <c r="O1059">
        <f t="shared" si="149"/>
        <v>253.6842</v>
      </c>
      <c r="P1059">
        <f t="shared" si="150"/>
        <v>63.421050000000001</v>
      </c>
      <c r="Q1059">
        <f t="shared" si="151"/>
        <v>64.714839420000004</v>
      </c>
      <c r="R1059">
        <f t="shared" si="152"/>
        <v>161.5728</v>
      </c>
      <c r="S1059">
        <f t="shared" si="145"/>
        <v>473.88</v>
      </c>
    </row>
    <row r="1060" spans="1:19" x14ac:dyDescent="0.25">
      <c r="A1060">
        <v>1190</v>
      </c>
      <c r="B1060">
        <v>1351</v>
      </c>
      <c r="C1060" t="s">
        <v>35</v>
      </c>
      <c r="D1060" t="s">
        <v>172</v>
      </c>
      <c r="E1060">
        <v>14</v>
      </c>
      <c r="F1060">
        <v>18.82</v>
      </c>
      <c r="G1060">
        <v>11.56</v>
      </c>
      <c r="H1060">
        <v>25.55</v>
      </c>
      <c r="I1060">
        <v>1.04</v>
      </c>
      <c r="J1060">
        <v>355.24</v>
      </c>
      <c r="K1060">
        <f t="shared" si="146"/>
        <v>4973.3600000000006</v>
      </c>
      <c r="L1060">
        <f t="shared" si="147"/>
        <v>0</v>
      </c>
      <c r="M1060">
        <f t="shared" si="144"/>
        <v>0</v>
      </c>
      <c r="N1060">
        <f t="shared" si="148"/>
        <v>0</v>
      </c>
      <c r="O1060">
        <f t="shared" si="149"/>
        <v>3045.8288000000002</v>
      </c>
      <c r="P1060">
        <f t="shared" si="150"/>
        <v>761.45720000000006</v>
      </c>
      <c r="Q1060">
        <f t="shared" si="151"/>
        <v>776.99092688000007</v>
      </c>
      <c r="R1060">
        <f t="shared" si="152"/>
        <v>372.00800000000004</v>
      </c>
      <c r="S1060">
        <f t="shared" si="145"/>
        <v>4973.3600000000006</v>
      </c>
    </row>
    <row r="1061" spans="1:19" x14ac:dyDescent="0.25">
      <c r="A1061">
        <v>1191</v>
      </c>
      <c r="B1061">
        <v>1351</v>
      </c>
      <c r="C1061" t="s">
        <v>35</v>
      </c>
      <c r="D1061" t="s">
        <v>172</v>
      </c>
      <c r="E1061">
        <v>13</v>
      </c>
      <c r="F1061">
        <v>18.760000000000002</v>
      </c>
      <c r="G1061">
        <v>10.54</v>
      </c>
      <c r="H1061">
        <v>33.9</v>
      </c>
      <c r="I1061">
        <v>0.96</v>
      </c>
      <c r="J1061">
        <v>332.85</v>
      </c>
      <c r="K1061">
        <f t="shared" si="146"/>
        <v>4327.05</v>
      </c>
      <c r="L1061">
        <f t="shared" si="147"/>
        <v>0</v>
      </c>
      <c r="M1061">
        <f t="shared" si="144"/>
        <v>0</v>
      </c>
      <c r="N1061">
        <f t="shared" si="148"/>
        <v>0</v>
      </c>
      <c r="O1061">
        <f t="shared" si="149"/>
        <v>2570.4951999999998</v>
      </c>
      <c r="P1061">
        <f t="shared" si="150"/>
        <v>642.62379999999996</v>
      </c>
      <c r="Q1061">
        <f t="shared" si="151"/>
        <v>655.73332551999999</v>
      </c>
      <c r="R1061">
        <f t="shared" si="152"/>
        <v>423.072</v>
      </c>
      <c r="S1061">
        <f t="shared" si="145"/>
        <v>4327.05</v>
      </c>
    </row>
    <row r="1062" spans="1:19" x14ac:dyDescent="0.25">
      <c r="A1062">
        <v>1192</v>
      </c>
      <c r="B1062">
        <v>1351</v>
      </c>
      <c r="C1062" t="s">
        <v>35</v>
      </c>
      <c r="D1062" t="s">
        <v>173</v>
      </c>
      <c r="E1062">
        <v>17</v>
      </c>
      <c r="F1062">
        <v>13.94</v>
      </c>
      <c r="G1062">
        <v>2.98</v>
      </c>
      <c r="H1062">
        <v>31.84</v>
      </c>
      <c r="I1062">
        <v>0.79</v>
      </c>
      <c r="J1062">
        <v>84.79</v>
      </c>
      <c r="K1062">
        <f t="shared" si="146"/>
        <v>1441.43</v>
      </c>
      <c r="L1062">
        <f t="shared" si="147"/>
        <v>1441.43</v>
      </c>
      <c r="M1062">
        <f t="shared" si="144"/>
        <v>706.20039999999995</v>
      </c>
      <c r="N1062">
        <f t="shared" si="148"/>
        <v>176.55009999999999</v>
      </c>
      <c r="O1062">
        <f t="shared" si="149"/>
        <v>706.20039999999995</v>
      </c>
      <c r="P1062">
        <f t="shared" si="150"/>
        <v>176.55009999999999</v>
      </c>
      <c r="Q1062">
        <f t="shared" si="151"/>
        <v>180.15172203999998</v>
      </c>
      <c r="R1062">
        <f t="shared" si="152"/>
        <v>427.6112</v>
      </c>
      <c r="S1062">
        <f t="shared" si="145"/>
        <v>1441.43</v>
      </c>
    </row>
    <row r="1063" spans="1:19" x14ac:dyDescent="0.25">
      <c r="A1063">
        <v>1193</v>
      </c>
      <c r="B1063">
        <v>1351</v>
      </c>
      <c r="C1063" t="s">
        <v>35</v>
      </c>
      <c r="D1063" t="s">
        <v>172</v>
      </c>
      <c r="E1063">
        <v>10</v>
      </c>
      <c r="F1063">
        <v>18.27</v>
      </c>
      <c r="G1063">
        <v>12.78</v>
      </c>
      <c r="H1063">
        <v>30.82</v>
      </c>
      <c r="I1063">
        <v>1.01</v>
      </c>
      <c r="J1063">
        <v>384.36</v>
      </c>
      <c r="K1063">
        <f t="shared" si="146"/>
        <v>3843.6000000000004</v>
      </c>
      <c r="L1063">
        <f t="shared" si="147"/>
        <v>0</v>
      </c>
      <c r="M1063">
        <f t="shared" si="144"/>
        <v>0</v>
      </c>
      <c r="N1063">
        <f t="shared" si="148"/>
        <v>0</v>
      </c>
      <c r="O1063">
        <f t="shared" si="149"/>
        <v>2334.9059999999999</v>
      </c>
      <c r="P1063">
        <f t="shared" si="150"/>
        <v>583.72649999999999</v>
      </c>
      <c r="Q1063">
        <f t="shared" si="151"/>
        <v>595.63452059999997</v>
      </c>
      <c r="R1063">
        <f t="shared" si="152"/>
        <v>311.28199999999998</v>
      </c>
      <c r="S1063">
        <f t="shared" si="145"/>
        <v>3843.6000000000004</v>
      </c>
    </row>
    <row r="1064" spans="1:19" x14ac:dyDescent="0.25">
      <c r="A1064">
        <v>1194</v>
      </c>
      <c r="B1064">
        <v>1351</v>
      </c>
      <c r="C1064" t="s">
        <v>35</v>
      </c>
      <c r="D1064" t="s">
        <v>172</v>
      </c>
      <c r="E1064">
        <v>8</v>
      </c>
      <c r="F1064">
        <v>19.78</v>
      </c>
      <c r="G1064">
        <v>11.03</v>
      </c>
      <c r="H1064">
        <v>27.09</v>
      </c>
      <c r="I1064">
        <v>0.99</v>
      </c>
      <c r="J1064">
        <v>356.45</v>
      </c>
      <c r="K1064">
        <f t="shared" si="146"/>
        <v>2851.6</v>
      </c>
      <c r="L1064">
        <f t="shared" si="147"/>
        <v>0</v>
      </c>
      <c r="M1064">
        <f t="shared" si="144"/>
        <v>0</v>
      </c>
      <c r="N1064">
        <f t="shared" si="148"/>
        <v>0</v>
      </c>
      <c r="O1064">
        <f t="shared" si="149"/>
        <v>1745.3871999999999</v>
      </c>
      <c r="P1064">
        <f t="shared" si="150"/>
        <v>436.34679999999997</v>
      </c>
      <c r="Q1064">
        <f t="shared" si="151"/>
        <v>445.24827471999998</v>
      </c>
      <c r="R1064">
        <f t="shared" si="152"/>
        <v>214.55279999999999</v>
      </c>
      <c r="S1064">
        <f t="shared" si="145"/>
        <v>2851.6</v>
      </c>
    </row>
    <row r="1065" spans="1:19" x14ac:dyDescent="0.25">
      <c r="A1065">
        <v>1195</v>
      </c>
      <c r="B1065">
        <v>1351</v>
      </c>
      <c r="C1065" t="s">
        <v>35</v>
      </c>
      <c r="D1065" t="s">
        <v>173</v>
      </c>
      <c r="E1065">
        <v>13</v>
      </c>
      <c r="F1065">
        <v>15.86</v>
      </c>
      <c r="G1065">
        <v>2.59</v>
      </c>
      <c r="H1065">
        <v>28.33</v>
      </c>
      <c r="I1065">
        <v>0.8</v>
      </c>
      <c r="J1065">
        <v>81.41</v>
      </c>
      <c r="K1065">
        <f t="shared" si="146"/>
        <v>1058.33</v>
      </c>
      <c r="L1065">
        <f t="shared" si="147"/>
        <v>1058.33</v>
      </c>
      <c r="M1065">
        <f t="shared" si="144"/>
        <v>534.00620000000004</v>
      </c>
      <c r="N1065">
        <f t="shared" si="148"/>
        <v>133.50155000000001</v>
      </c>
      <c r="O1065">
        <f t="shared" si="149"/>
        <v>534.00620000000004</v>
      </c>
      <c r="P1065">
        <f t="shared" si="150"/>
        <v>133.50155000000001</v>
      </c>
      <c r="Q1065">
        <f t="shared" si="151"/>
        <v>136.22498161999999</v>
      </c>
      <c r="R1065">
        <f t="shared" si="152"/>
        <v>294.63200000000001</v>
      </c>
      <c r="S1065">
        <f t="shared" si="145"/>
        <v>1058.33</v>
      </c>
    </row>
    <row r="1066" spans="1:19" x14ac:dyDescent="0.25">
      <c r="A1066">
        <v>1196</v>
      </c>
      <c r="B1066">
        <v>1351</v>
      </c>
      <c r="C1066" t="s">
        <v>35</v>
      </c>
      <c r="D1066" t="s">
        <v>173</v>
      </c>
      <c r="E1066">
        <v>18</v>
      </c>
      <c r="F1066">
        <v>14.51</v>
      </c>
      <c r="G1066">
        <v>2.85</v>
      </c>
      <c r="H1066">
        <v>26.97</v>
      </c>
      <c r="I1066">
        <v>0.83</v>
      </c>
      <c r="J1066">
        <v>81.48</v>
      </c>
      <c r="K1066">
        <f t="shared" si="146"/>
        <v>1466.64</v>
      </c>
      <c r="L1066">
        <f t="shared" si="147"/>
        <v>1466.64</v>
      </c>
      <c r="M1066">
        <f t="shared" si="144"/>
        <v>744.36300000000006</v>
      </c>
      <c r="N1066">
        <f t="shared" si="148"/>
        <v>186.09075000000001</v>
      </c>
      <c r="O1066">
        <f t="shared" si="149"/>
        <v>744.36300000000006</v>
      </c>
      <c r="P1066">
        <f t="shared" si="150"/>
        <v>186.09075000000001</v>
      </c>
      <c r="Q1066">
        <f t="shared" si="151"/>
        <v>189.88700130000001</v>
      </c>
      <c r="R1066">
        <f t="shared" si="152"/>
        <v>402.93179999999995</v>
      </c>
      <c r="S1066">
        <f t="shared" si="145"/>
        <v>1466.64</v>
      </c>
    </row>
    <row r="1067" spans="1:19" x14ac:dyDescent="0.25">
      <c r="A1067">
        <v>1197</v>
      </c>
      <c r="B1067">
        <v>1351</v>
      </c>
      <c r="C1067" t="s">
        <v>35</v>
      </c>
      <c r="D1067" t="s">
        <v>173</v>
      </c>
      <c r="E1067">
        <v>12</v>
      </c>
      <c r="F1067">
        <v>16.399999999999999</v>
      </c>
      <c r="G1067">
        <v>3.06</v>
      </c>
      <c r="H1067">
        <v>26.42</v>
      </c>
      <c r="I1067">
        <v>0.8</v>
      </c>
      <c r="J1067">
        <v>92.25</v>
      </c>
      <c r="K1067">
        <f t="shared" si="146"/>
        <v>1107</v>
      </c>
      <c r="L1067">
        <f t="shared" si="147"/>
        <v>1107</v>
      </c>
      <c r="M1067">
        <f t="shared" si="144"/>
        <v>602.20799999999997</v>
      </c>
      <c r="N1067">
        <f t="shared" si="148"/>
        <v>150.55199999999999</v>
      </c>
      <c r="O1067">
        <f t="shared" si="149"/>
        <v>602.20799999999997</v>
      </c>
      <c r="P1067">
        <f t="shared" si="150"/>
        <v>150.55199999999999</v>
      </c>
      <c r="Q1067">
        <f t="shared" si="151"/>
        <v>153.6232608</v>
      </c>
      <c r="R1067">
        <f t="shared" si="152"/>
        <v>253.63200000000006</v>
      </c>
      <c r="S1067">
        <f t="shared" si="145"/>
        <v>1107</v>
      </c>
    </row>
    <row r="1068" spans="1:19" x14ac:dyDescent="0.25">
      <c r="A1068">
        <v>1198</v>
      </c>
      <c r="B1068">
        <v>1351</v>
      </c>
      <c r="C1068" t="s">
        <v>35</v>
      </c>
      <c r="D1068" t="s">
        <v>172</v>
      </c>
      <c r="E1068">
        <v>10</v>
      </c>
      <c r="F1068">
        <v>19.579999999999998</v>
      </c>
      <c r="G1068">
        <v>11.49</v>
      </c>
      <c r="H1068">
        <v>30.27</v>
      </c>
      <c r="I1068">
        <v>1.06</v>
      </c>
      <c r="J1068">
        <v>372.83</v>
      </c>
      <c r="K1068">
        <f t="shared" si="146"/>
        <v>3728.2999999999997</v>
      </c>
      <c r="L1068">
        <f t="shared" si="147"/>
        <v>0</v>
      </c>
      <c r="M1068">
        <f t="shared" si="144"/>
        <v>0</v>
      </c>
      <c r="N1068">
        <f t="shared" si="148"/>
        <v>0</v>
      </c>
      <c r="O1068">
        <f t="shared" si="149"/>
        <v>2249.7419999999997</v>
      </c>
      <c r="P1068">
        <f t="shared" si="150"/>
        <v>562.43549999999993</v>
      </c>
      <c r="Q1068">
        <f t="shared" si="151"/>
        <v>573.90918419999991</v>
      </c>
      <c r="R1068">
        <f t="shared" si="152"/>
        <v>320.86200000000002</v>
      </c>
      <c r="S1068">
        <f t="shared" si="145"/>
        <v>3728.2999999999997</v>
      </c>
    </row>
    <row r="1069" spans="1:19" x14ac:dyDescent="0.25">
      <c r="A1069">
        <v>1199</v>
      </c>
      <c r="B1069">
        <v>1351</v>
      </c>
      <c r="C1069" t="s">
        <v>35</v>
      </c>
      <c r="D1069" t="s">
        <v>172</v>
      </c>
      <c r="E1069">
        <v>10</v>
      </c>
      <c r="F1069">
        <v>19.309999999999999</v>
      </c>
      <c r="G1069">
        <v>12.83</v>
      </c>
      <c r="H1069">
        <v>28.91</v>
      </c>
      <c r="I1069">
        <v>1</v>
      </c>
      <c r="J1069">
        <v>402.93</v>
      </c>
      <c r="K1069">
        <f t="shared" si="146"/>
        <v>4029.3</v>
      </c>
      <c r="L1069">
        <f t="shared" si="147"/>
        <v>0</v>
      </c>
      <c r="M1069">
        <f t="shared" si="144"/>
        <v>0</v>
      </c>
      <c r="N1069">
        <f t="shared" si="148"/>
        <v>0</v>
      </c>
      <c r="O1069">
        <f t="shared" si="149"/>
        <v>2477.473</v>
      </c>
      <c r="P1069">
        <f t="shared" si="150"/>
        <v>619.36824999999999</v>
      </c>
      <c r="Q1069">
        <f t="shared" si="151"/>
        <v>632.00336229999994</v>
      </c>
      <c r="R1069">
        <f t="shared" si="152"/>
        <v>289.10000000000002</v>
      </c>
      <c r="S1069">
        <f t="shared" si="145"/>
        <v>4029.3</v>
      </c>
    </row>
    <row r="1070" spans="1:19" x14ac:dyDescent="0.25">
      <c r="A1070">
        <v>1200</v>
      </c>
      <c r="B1070">
        <v>1351</v>
      </c>
      <c r="C1070" t="s">
        <v>35</v>
      </c>
      <c r="D1070" t="s">
        <v>173</v>
      </c>
      <c r="E1070">
        <v>10</v>
      </c>
      <c r="F1070">
        <v>15.13</v>
      </c>
      <c r="G1070">
        <v>3.17</v>
      </c>
      <c r="H1070">
        <v>29.57</v>
      </c>
      <c r="I1070">
        <v>0.8</v>
      </c>
      <c r="J1070">
        <v>91.97</v>
      </c>
      <c r="K1070">
        <f t="shared" si="146"/>
        <v>919.7</v>
      </c>
      <c r="L1070">
        <f t="shared" si="147"/>
        <v>919.7</v>
      </c>
      <c r="M1070">
        <f t="shared" si="144"/>
        <v>479.62100000000004</v>
      </c>
      <c r="N1070">
        <f t="shared" si="148"/>
        <v>119.90525000000001</v>
      </c>
      <c r="O1070">
        <f t="shared" si="149"/>
        <v>479.62100000000004</v>
      </c>
      <c r="P1070">
        <f t="shared" si="150"/>
        <v>119.90525000000001</v>
      </c>
      <c r="Q1070">
        <f t="shared" si="151"/>
        <v>122.3513171</v>
      </c>
      <c r="R1070">
        <f t="shared" si="152"/>
        <v>236.56</v>
      </c>
      <c r="S1070">
        <f t="shared" si="145"/>
        <v>919.7</v>
      </c>
    </row>
    <row r="1071" spans="1:19" x14ac:dyDescent="0.25">
      <c r="A1071">
        <v>1201</v>
      </c>
      <c r="B1071">
        <v>1351</v>
      </c>
      <c r="C1071" t="s">
        <v>35</v>
      </c>
      <c r="D1071" t="s">
        <v>173</v>
      </c>
      <c r="E1071">
        <v>21</v>
      </c>
      <c r="F1071">
        <v>12.89</v>
      </c>
      <c r="G1071">
        <v>2.69</v>
      </c>
      <c r="H1071">
        <v>31.65</v>
      </c>
      <c r="I1071">
        <v>0.78</v>
      </c>
      <c r="J1071">
        <v>74.83</v>
      </c>
      <c r="K1071">
        <f t="shared" si="146"/>
        <v>1571.43</v>
      </c>
      <c r="L1071">
        <f t="shared" si="147"/>
        <v>1571.43</v>
      </c>
      <c r="M1071">
        <f t="shared" si="144"/>
        <v>728.15610000000004</v>
      </c>
      <c r="N1071">
        <f t="shared" si="148"/>
        <v>182.03902500000001</v>
      </c>
      <c r="O1071">
        <f t="shared" si="149"/>
        <v>728.15610000000004</v>
      </c>
      <c r="P1071">
        <f t="shared" si="150"/>
        <v>182.03902500000001</v>
      </c>
      <c r="Q1071">
        <f t="shared" si="151"/>
        <v>185.75262111000001</v>
      </c>
      <c r="R1071">
        <f t="shared" si="152"/>
        <v>518.42699999999991</v>
      </c>
      <c r="S1071">
        <f t="shared" si="145"/>
        <v>1571.43</v>
      </c>
    </row>
    <row r="1072" spans="1:19" x14ac:dyDescent="0.25">
      <c r="A1072">
        <v>1202</v>
      </c>
      <c r="B1072">
        <v>1351</v>
      </c>
      <c r="C1072" t="s">
        <v>35</v>
      </c>
      <c r="D1072" t="s">
        <v>172</v>
      </c>
      <c r="E1072">
        <v>14</v>
      </c>
      <c r="F1072">
        <v>17.48</v>
      </c>
      <c r="G1072">
        <v>11.53</v>
      </c>
      <c r="H1072">
        <v>31.23</v>
      </c>
      <c r="I1072">
        <v>1.06</v>
      </c>
      <c r="J1072">
        <v>339.19</v>
      </c>
      <c r="K1072">
        <f t="shared" si="146"/>
        <v>4748.66</v>
      </c>
      <c r="L1072">
        <f t="shared" si="147"/>
        <v>0</v>
      </c>
      <c r="M1072">
        <f t="shared" si="144"/>
        <v>0</v>
      </c>
      <c r="N1072">
        <f t="shared" si="148"/>
        <v>0</v>
      </c>
      <c r="O1072">
        <f t="shared" si="149"/>
        <v>2821.6215999999999</v>
      </c>
      <c r="P1072">
        <f t="shared" si="150"/>
        <v>705.40539999999999</v>
      </c>
      <c r="Q1072">
        <f t="shared" si="151"/>
        <v>719.79567015999999</v>
      </c>
      <c r="R1072">
        <f t="shared" si="152"/>
        <v>463.45319999999998</v>
      </c>
      <c r="S1072">
        <f t="shared" si="145"/>
        <v>4748.66</v>
      </c>
    </row>
    <row r="1073" spans="1:19" x14ac:dyDescent="0.25">
      <c r="A1073">
        <v>1203</v>
      </c>
      <c r="B1073">
        <v>1351</v>
      </c>
      <c r="C1073" t="s">
        <v>35</v>
      </c>
      <c r="D1073" t="s">
        <v>172</v>
      </c>
      <c r="E1073">
        <v>18</v>
      </c>
      <c r="F1073">
        <v>19.559999999999999</v>
      </c>
      <c r="G1073">
        <v>10.73</v>
      </c>
      <c r="H1073">
        <v>33.54</v>
      </c>
      <c r="I1073">
        <v>0.9</v>
      </c>
      <c r="J1073">
        <v>348.12</v>
      </c>
      <c r="K1073">
        <f t="shared" si="146"/>
        <v>6266.16</v>
      </c>
      <c r="L1073">
        <f t="shared" si="147"/>
        <v>0</v>
      </c>
      <c r="M1073">
        <f t="shared" si="144"/>
        <v>0</v>
      </c>
      <c r="N1073">
        <f t="shared" si="148"/>
        <v>0</v>
      </c>
      <c r="O1073">
        <f t="shared" si="149"/>
        <v>3777.8184000000001</v>
      </c>
      <c r="P1073">
        <f t="shared" si="150"/>
        <v>944.45460000000003</v>
      </c>
      <c r="Q1073">
        <f t="shared" si="151"/>
        <v>963.72147384000004</v>
      </c>
      <c r="R1073">
        <f t="shared" si="152"/>
        <v>543.34799999999996</v>
      </c>
      <c r="S1073">
        <f t="shared" si="145"/>
        <v>6266.16</v>
      </c>
    </row>
    <row r="1074" spans="1:19" x14ac:dyDescent="0.25">
      <c r="A1074">
        <v>1204</v>
      </c>
      <c r="B1074">
        <v>1351</v>
      </c>
      <c r="C1074" t="s">
        <v>35</v>
      </c>
      <c r="D1074" t="s">
        <v>172</v>
      </c>
      <c r="E1074">
        <v>9</v>
      </c>
      <c r="F1074">
        <v>19.37</v>
      </c>
      <c r="G1074">
        <v>10.65</v>
      </c>
      <c r="H1074">
        <v>28.18</v>
      </c>
      <c r="I1074">
        <v>1.02</v>
      </c>
      <c r="J1074">
        <v>341.06</v>
      </c>
      <c r="K1074">
        <f t="shared" si="146"/>
        <v>3069.54</v>
      </c>
      <c r="L1074">
        <f t="shared" si="147"/>
        <v>0</v>
      </c>
      <c r="M1074">
        <f t="shared" si="144"/>
        <v>0</v>
      </c>
      <c r="N1074">
        <f t="shared" si="148"/>
        <v>0</v>
      </c>
      <c r="O1074">
        <f t="shared" si="149"/>
        <v>1856.6145000000004</v>
      </c>
      <c r="P1074">
        <f t="shared" si="150"/>
        <v>464.15362500000009</v>
      </c>
      <c r="Q1074">
        <f t="shared" si="151"/>
        <v>473.62235895000009</v>
      </c>
      <c r="R1074">
        <f t="shared" si="152"/>
        <v>258.69239999999996</v>
      </c>
      <c r="S1074">
        <f t="shared" si="145"/>
        <v>3069.54</v>
      </c>
    </row>
    <row r="1075" spans="1:19" x14ac:dyDescent="0.25">
      <c r="A1075">
        <v>1205</v>
      </c>
      <c r="B1075">
        <v>1352</v>
      </c>
      <c r="C1075" t="s">
        <v>33</v>
      </c>
      <c r="D1075" t="s">
        <v>172</v>
      </c>
      <c r="E1075">
        <v>19</v>
      </c>
      <c r="F1075">
        <v>18.649999999999999</v>
      </c>
      <c r="G1075">
        <v>10.63</v>
      </c>
      <c r="H1075">
        <v>33.49</v>
      </c>
      <c r="I1075">
        <v>0.97</v>
      </c>
      <c r="J1075">
        <v>333.55</v>
      </c>
      <c r="K1075">
        <f t="shared" si="146"/>
        <v>6337.45</v>
      </c>
      <c r="L1075">
        <f t="shared" si="147"/>
        <v>0</v>
      </c>
      <c r="M1075">
        <f t="shared" si="144"/>
        <v>0</v>
      </c>
      <c r="N1075">
        <f t="shared" si="148"/>
        <v>0</v>
      </c>
      <c r="O1075">
        <f t="shared" si="149"/>
        <v>3766.7405000000003</v>
      </c>
      <c r="P1075">
        <f t="shared" si="150"/>
        <v>941.68512500000008</v>
      </c>
      <c r="Q1075">
        <f t="shared" si="151"/>
        <v>960.89550155000006</v>
      </c>
      <c r="R1075">
        <f t="shared" si="152"/>
        <v>617.22070000000008</v>
      </c>
      <c r="S1075">
        <f t="shared" si="145"/>
        <v>6337.45</v>
      </c>
    </row>
    <row r="1076" spans="1:19" x14ac:dyDescent="0.25">
      <c r="A1076">
        <v>1206</v>
      </c>
      <c r="B1076">
        <v>1352</v>
      </c>
      <c r="C1076" t="s">
        <v>33</v>
      </c>
      <c r="D1076" t="s">
        <v>172</v>
      </c>
      <c r="E1076">
        <v>31</v>
      </c>
      <c r="F1076">
        <v>19.93</v>
      </c>
      <c r="G1076">
        <v>10.85</v>
      </c>
      <c r="H1076">
        <v>37.11</v>
      </c>
      <c r="I1076">
        <v>0.94</v>
      </c>
      <c r="J1076">
        <v>363.17</v>
      </c>
      <c r="K1076">
        <f t="shared" si="146"/>
        <v>11258.27</v>
      </c>
      <c r="L1076">
        <f t="shared" si="147"/>
        <v>0</v>
      </c>
      <c r="M1076">
        <f t="shared" si="144"/>
        <v>0</v>
      </c>
      <c r="N1076">
        <f t="shared" si="148"/>
        <v>0</v>
      </c>
      <c r="O1076">
        <f t="shared" si="149"/>
        <v>6703.4554999999991</v>
      </c>
      <c r="P1076">
        <f t="shared" si="150"/>
        <v>1675.8638749999998</v>
      </c>
      <c r="Q1076">
        <f t="shared" si="151"/>
        <v>1710.0514980499997</v>
      </c>
      <c r="R1076">
        <f t="shared" si="152"/>
        <v>1081.3853999999999</v>
      </c>
      <c r="S1076">
        <f t="shared" si="145"/>
        <v>11258.27</v>
      </c>
    </row>
    <row r="1077" spans="1:19" x14ac:dyDescent="0.25">
      <c r="A1077">
        <v>1207</v>
      </c>
      <c r="B1077">
        <v>1352</v>
      </c>
      <c r="C1077" t="s">
        <v>33</v>
      </c>
      <c r="D1077" t="s">
        <v>172</v>
      </c>
      <c r="E1077">
        <v>21</v>
      </c>
      <c r="F1077">
        <v>20.45</v>
      </c>
      <c r="G1077">
        <v>10.42</v>
      </c>
      <c r="H1077">
        <v>34.380000000000003</v>
      </c>
      <c r="I1077">
        <v>1.1000000000000001</v>
      </c>
      <c r="J1077">
        <v>361.97</v>
      </c>
      <c r="K1077">
        <f t="shared" si="146"/>
        <v>7601.3700000000008</v>
      </c>
      <c r="L1077">
        <f t="shared" si="147"/>
        <v>0</v>
      </c>
      <c r="M1077">
        <f t="shared" si="144"/>
        <v>0</v>
      </c>
      <c r="N1077">
        <f t="shared" si="148"/>
        <v>0</v>
      </c>
      <c r="O1077">
        <f t="shared" si="149"/>
        <v>4474.8689999999997</v>
      </c>
      <c r="P1077">
        <f t="shared" si="150"/>
        <v>1118.7172499999999</v>
      </c>
      <c r="Q1077">
        <f t="shared" si="151"/>
        <v>1141.5390818999999</v>
      </c>
      <c r="R1077">
        <f t="shared" si="152"/>
        <v>794.17800000000011</v>
      </c>
      <c r="S1077">
        <f t="shared" si="145"/>
        <v>7601.3700000000008</v>
      </c>
    </row>
    <row r="1078" spans="1:19" x14ac:dyDescent="0.25">
      <c r="A1078">
        <v>1208</v>
      </c>
      <c r="B1078">
        <v>1352</v>
      </c>
      <c r="C1078" t="s">
        <v>33</v>
      </c>
      <c r="D1078" t="s">
        <v>173</v>
      </c>
      <c r="E1078">
        <v>14</v>
      </c>
      <c r="F1078">
        <v>14.42</v>
      </c>
      <c r="G1078">
        <v>2.93</v>
      </c>
      <c r="H1078">
        <v>32.9</v>
      </c>
      <c r="I1078">
        <v>0.78</v>
      </c>
      <c r="J1078">
        <v>86.32</v>
      </c>
      <c r="K1078">
        <f t="shared" si="146"/>
        <v>1208.48</v>
      </c>
      <c r="L1078">
        <f t="shared" si="147"/>
        <v>1208.48</v>
      </c>
      <c r="M1078">
        <f t="shared" si="144"/>
        <v>591.50840000000005</v>
      </c>
      <c r="N1078">
        <f t="shared" si="148"/>
        <v>147.87710000000001</v>
      </c>
      <c r="O1078">
        <f t="shared" si="149"/>
        <v>591.50840000000005</v>
      </c>
      <c r="P1078">
        <f t="shared" si="150"/>
        <v>147.87710000000001</v>
      </c>
      <c r="Q1078">
        <f t="shared" si="151"/>
        <v>150.89379284</v>
      </c>
      <c r="R1078">
        <f t="shared" si="152"/>
        <v>359.26799999999997</v>
      </c>
      <c r="S1078">
        <f t="shared" si="145"/>
        <v>1208.48</v>
      </c>
    </row>
    <row r="1079" spans="1:19" x14ac:dyDescent="0.25">
      <c r="A1079">
        <v>1209</v>
      </c>
      <c r="B1079">
        <v>1352</v>
      </c>
      <c r="C1079" t="s">
        <v>33</v>
      </c>
      <c r="D1079" t="s">
        <v>172</v>
      </c>
      <c r="E1079">
        <v>17</v>
      </c>
      <c r="F1079">
        <v>19.18</v>
      </c>
      <c r="G1079">
        <v>11.33</v>
      </c>
      <c r="H1079">
        <v>34.979999999999997</v>
      </c>
      <c r="I1079">
        <v>1.06</v>
      </c>
      <c r="J1079">
        <v>367.37</v>
      </c>
      <c r="K1079">
        <f t="shared" si="146"/>
        <v>6245.29</v>
      </c>
      <c r="L1079">
        <f t="shared" si="147"/>
        <v>0</v>
      </c>
      <c r="M1079">
        <f t="shared" si="144"/>
        <v>0</v>
      </c>
      <c r="N1079">
        <f t="shared" si="148"/>
        <v>0</v>
      </c>
      <c r="O1079">
        <f t="shared" si="149"/>
        <v>3694.2598000000003</v>
      </c>
      <c r="P1079">
        <f t="shared" si="150"/>
        <v>923.56495000000007</v>
      </c>
      <c r="Q1079">
        <f t="shared" si="151"/>
        <v>942.40567498000007</v>
      </c>
      <c r="R1079">
        <f t="shared" si="152"/>
        <v>630.3395999999999</v>
      </c>
      <c r="S1079">
        <f t="shared" si="145"/>
        <v>6245.29</v>
      </c>
    </row>
    <row r="1080" spans="1:19" x14ac:dyDescent="0.25">
      <c r="A1080">
        <v>1210</v>
      </c>
      <c r="B1080">
        <v>1352</v>
      </c>
      <c r="C1080" t="s">
        <v>33</v>
      </c>
      <c r="D1080" t="s">
        <v>172</v>
      </c>
      <c r="E1080">
        <v>15</v>
      </c>
      <c r="F1080">
        <v>18.71</v>
      </c>
      <c r="G1080">
        <v>11.86</v>
      </c>
      <c r="H1080">
        <v>31.77</v>
      </c>
      <c r="I1080">
        <v>1</v>
      </c>
      <c r="J1080">
        <v>367.88</v>
      </c>
      <c r="K1080">
        <f t="shared" si="146"/>
        <v>5518.2</v>
      </c>
      <c r="L1080">
        <f t="shared" si="147"/>
        <v>0</v>
      </c>
      <c r="M1080">
        <f t="shared" si="144"/>
        <v>0</v>
      </c>
      <c r="N1080">
        <f t="shared" si="148"/>
        <v>0</v>
      </c>
      <c r="O1080">
        <f t="shared" si="149"/>
        <v>3328.5089999999996</v>
      </c>
      <c r="P1080">
        <f t="shared" si="150"/>
        <v>832.12724999999989</v>
      </c>
      <c r="Q1080">
        <f t="shared" si="151"/>
        <v>849.10264589999986</v>
      </c>
      <c r="R1080">
        <f t="shared" si="152"/>
        <v>476.55</v>
      </c>
      <c r="S1080">
        <f t="shared" si="145"/>
        <v>5518.2</v>
      </c>
    </row>
    <row r="1081" spans="1:19" x14ac:dyDescent="0.25">
      <c r="A1081">
        <v>1211</v>
      </c>
      <c r="B1081">
        <v>1352</v>
      </c>
      <c r="C1081" t="s">
        <v>33</v>
      </c>
      <c r="D1081" t="s">
        <v>172</v>
      </c>
      <c r="E1081">
        <v>10</v>
      </c>
      <c r="F1081">
        <v>20.65</v>
      </c>
      <c r="G1081">
        <v>10.72</v>
      </c>
      <c r="H1081">
        <v>31.27</v>
      </c>
      <c r="I1081">
        <v>1.05</v>
      </c>
      <c r="J1081">
        <v>368.36</v>
      </c>
      <c r="K1081">
        <f t="shared" si="146"/>
        <v>3683.6000000000004</v>
      </c>
      <c r="L1081">
        <f t="shared" si="147"/>
        <v>0</v>
      </c>
      <c r="M1081">
        <f t="shared" si="144"/>
        <v>0</v>
      </c>
      <c r="N1081">
        <f t="shared" si="148"/>
        <v>0</v>
      </c>
      <c r="O1081">
        <f t="shared" si="149"/>
        <v>2213.6799999999998</v>
      </c>
      <c r="P1081">
        <f t="shared" si="150"/>
        <v>553.41999999999996</v>
      </c>
      <c r="Q1081">
        <f t="shared" si="151"/>
        <v>564.70976799999994</v>
      </c>
      <c r="R1081">
        <f t="shared" si="152"/>
        <v>328.33499999999998</v>
      </c>
      <c r="S1081">
        <f t="shared" si="145"/>
        <v>3683.6000000000004</v>
      </c>
    </row>
    <row r="1082" spans="1:19" x14ac:dyDescent="0.25">
      <c r="A1082">
        <v>1212</v>
      </c>
      <c r="B1082">
        <v>1353</v>
      </c>
      <c r="C1082" t="s">
        <v>34</v>
      </c>
      <c r="D1082" t="s">
        <v>173</v>
      </c>
      <c r="E1082">
        <v>20</v>
      </c>
      <c r="F1082">
        <v>15.47</v>
      </c>
      <c r="G1082">
        <v>2.61</v>
      </c>
      <c r="H1082">
        <v>28.83</v>
      </c>
      <c r="I1082">
        <v>0.78</v>
      </c>
      <c r="J1082">
        <v>80.25</v>
      </c>
      <c r="K1082">
        <f t="shared" si="146"/>
        <v>1605</v>
      </c>
      <c r="L1082">
        <f t="shared" si="147"/>
        <v>1605</v>
      </c>
      <c r="M1082">
        <f t="shared" si="144"/>
        <v>807.53399999999999</v>
      </c>
      <c r="N1082">
        <f t="shared" si="148"/>
        <v>201.8835</v>
      </c>
      <c r="O1082">
        <f t="shared" si="149"/>
        <v>807.53399999999999</v>
      </c>
      <c r="P1082">
        <f t="shared" si="150"/>
        <v>201.8835</v>
      </c>
      <c r="Q1082">
        <f t="shared" si="151"/>
        <v>206.00192339999998</v>
      </c>
      <c r="R1082">
        <f t="shared" si="152"/>
        <v>449.74799999999999</v>
      </c>
      <c r="S1082">
        <f t="shared" si="145"/>
        <v>1605</v>
      </c>
    </row>
    <row r="1083" spans="1:19" x14ac:dyDescent="0.25">
      <c r="A1083">
        <v>1213</v>
      </c>
      <c r="B1083">
        <v>1353</v>
      </c>
      <c r="C1083" t="s">
        <v>34</v>
      </c>
      <c r="D1083" t="s">
        <v>173</v>
      </c>
      <c r="E1083">
        <v>38</v>
      </c>
      <c r="F1083">
        <v>14.47</v>
      </c>
      <c r="G1083">
        <v>2.72</v>
      </c>
      <c r="H1083">
        <v>29.63</v>
      </c>
      <c r="I1083">
        <v>0.8</v>
      </c>
      <c r="J1083">
        <v>80.19</v>
      </c>
      <c r="K1083">
        <f t="shared" si="146"/>
        <v>3047.22</v>
      </c>
      <c r="L1083">
        <f t="shared" si="147"/>
        <v>3047.22</v>
      </c>
      <c r="M1083">
        <f t="shared" si="144"/>
        <v>1495.6192000000003</v>
      </c>
      <c r="N1083">
        <f t="shared" si="148"/>
        <v>373.90480000000008</v>
      </c>
      <c r="O1083">
        <f t="shared" si="149"/>
        <v>1495.6192000000003</v>
      </c>
      <c r="P1083">
        <f t="shared" si="150"/>
        <v>373.90480000000008</v>
      </c>
      <c r="Q1083">
        <f t="shared" si="151"/>
        <v>381.53245792000007</v>
      </c>
      <c r="R1083">
        <f t="shared" si="152"/>
        <v>900.75200000000007</v>
      </c>
      <c r="S1083">
        <f t="shared" si="145"/>
        <v>3047.22</v>
      </c>
    </row>
    <row r="1084" spans="1:19" x14ac:dyDescent="0.25">
      <c r="A1084">
        <v>1214</v>
      </c>
      <c r="B1084">
        <v>1353</v>
      </c>
      <c r="C1084" t="s">
        <v>34</v>
      </c>
      <c r="D1084" t="s">
        <v>172</v>
      </c>
      <c r="E1084">
        <v>9</v>
      </c>
      <c r="F1084">
        <v>19.27</v>
      </c>
      <c r="G1084">
        <v>11.36</v>
      </c>
      <c r="H1084">
        <v>30.47</v>
      </c>
      <c r="I1084">
        <v>0.96</v>
      </c>
      <c r="J1084">
        <v>360.43</v>
      </c>
      <c r="K1084">
        <f t="shared" si="146"/>
        <v>3243.87</v>
      </c>
      <c r="L1084">
        <f t="shared" si="147"/>
        <v>0</v>
      </c>
      <c r="M1084">
        <f t="shared" si="144"/>
        <v>0</v>
      </c>
      <c r="N1084">
        <f t="shared" si="148"/>
        <v>0</v>
      </c>
      <c r="O1084">
        <f t="shared" si="149"/>
        <v>1970.1647999999998</v>
      </c>
      <c r="P1084">
        <f t="shared" si="150"/>
        <v>492.54119999999995</v>
      </c>
      <c r="Q1084">
        <f t="shared" si="151"/>
        <v>502.58904047999994</v>
      </c>
      <c r="R1084">
        <f t="shared" si="152"/>
        <v>263.26080000000002</v>
      </c>
      <c r="S1084">
        <f t="shared" si="145"/>
        <v>3243.87</v>
      </c>
    </row>
    <row r="1085" spans="1:19" x14ac:dyDescent="0.25">
      <c r="A1085">
        <v>1215</v>
      </c>
      <c r="B1085">
        <v>1353</v>
      </c>
      <c r="C1085" t="s">
        <v>34</v>
      </c>
      <c r="D1085" t="s">
        <v>173</v>
      </c>
      <c r="E1085">
        <v>16</v>
      </c>
      <c r="F1085">
        <v>14.9</v>
      </c>
      <c r="G1085">
        <v>3.11</v>
      </c>
      <c r="H1085">
        <v>36.72</v>
      </c>
      <c r="I1085">
        <v>0.8</v>
      </c>
      <c r="J1085">
        <v>96.03</v>
      </c>
      <c r="K1085">
        <f t="shared" si="146"/>
        <v>1536.48</v>
      </c>
      <c r="L1085">
        <f t="shared" si="147"/>
        <v>1536.48</v>
      </c>
      <c r="M1085">
        <f t="shared" si="144"/>
        <v>741.42399999999998</v>
      </c>
      <c r="N1085">
        <f t="shared" si="148"/>
        <v>185.35599999999999</v>
      </c>
      <c r="O1085">
        <f t="shared" si="149"/>
        <v>741.42399999999998</v>
      </c>
      <c r="P1085">
        <f t="shared" si="150"/>
        <v>185.35599999999999</v>
      </c>
      <c r="Q1085">
        <f t="shared" si="151"/>
        <v>189.1372624</v>
      </c>
      <c r="R1085">
        <f t="shared" si="152"/>
        <v>470.01600000000002</v>
      </c>
      <c r="S1085">
        <f t="shared" si="145"/>
        <v>1536.48</v>
      </c>
    </row>
    <row r="1086" spans="1:19" x14ac:dyDescent="0.25">
      <c r="A1086">
        <v>1216</v>
      </c>
      <c r="B1086">
        <v>1353</v>
      </c>
      <c r="C1086" t="s">
        <v>34</v>
      </c>
      <c r="D1086" t="s">
        <v>172</v>
      </c>
      <c r="E1086">
        <v>14</v>
      </c>
      <c r="F1086">
        <v>18.600000000000001</v>
      </c>
      <c r="G1086">
        <v>11.23</v>
      </c>
      <c r="H1086">
        <v>32.909999999999997</v>
      </c>
      <c r="I1086">
        <v>1</v>
      </c>
      <c r="J1086">
        <v>349.87</v>
      </c>
      <c r="K1086">
        <f t="shared" si="146"/>
        <v>4898.18</v>
      </c>
      <c r="L1086">
        <f t="shared" si="147"/>
        <v>0</v>
      </c>
      <c r="M1086">
        <f t="shared" si="144"/>
        <v>0</v>
      </c>
      <c r="N1086">
        <f t="shared" si="148"/>
        <v>0</v>
      </c>
      <c r="O1086">
        <f t="shared" si="149"/>
        <v>2924.2920000000004</v>
      </c>
      <c r="P1086">
        <f t="shared" si="150"/>
        <v>731.07300000000009</v>
      </c>
      <c r="Q1086">
        <f t="shared" si="151"/>
        <v>745.98688920000006</v>
      </c>
      <c r="R1086">
        <f t="shared" si="152"/>
        <v>460.73999999999995</v>
      </c>
      <c r="S1086">
        <f t="shared" si="145"/>
        <v>4898.18</v>
      </c>
    </row>
    <row r="1087" spans="1:19" x14ac:dyDescent="0.25">
      <c r="A1087">
        <v>1217</v>
      </c>
      <c r="B1087">
        <v>1353</v>
      </c>
      <c r="C1087" t="s">
        <v>34</v>
      </c>
      <c r="D1087" t="s">
        <v>172</v>
      </c>
      <c r="E1087">
        <v>13</v>
      </c>
      <c r="F1087">
        <v>18.600000000000001</v>
      </c>
      <c r="G1087">
        <v>11.49</v>
      </c>
      <c r="H1087">
        <v>29.7</v>
      </c>
      <c r="I1087">
        <v>1.04</v>
      </c>
      <c r="J1087">
        <v>354.66</v>
      </c>
      <c r="K1087">
        <f t="shared" si="146"/>
        <v>4610.58</v>
      </c>
      <c r="L1087">
        <f t="shared" si="147"/>
        <v>0</v>
      </c>
      <c r="M1087">
        <f t="shared" si="144"/>
        <v>0</v>
      </c>
      <c r="N1087">
        <f t="shared" si="148"/>
        <v>0</v>
      </c>
      <c r="O1087">
        <f t="shared" si="149"/>
        <v>2778.2820000000002</v>
      </c>
      <c r="P1087">
        <f t="shared" si="150"/>
        <v>694.57050000000004</v>
      </c>
      <c r="Q1087">
        <f t="shared" si="151"/>
        <v>708.73973820000003</v>
      </c>
      <c r="R1087">
        <f t="shared" si="152"/>
        <v>401.54399999999998</v>
      </c>
      <c r="S1087">
        <f t="shared" si="145"/>
        <v>4610.58</v>
      </c>
    </row>
    <row r="1088" spans="1:19" x14ac:dyDescent="0.25">
      <c r="A1088">
        <v>1218</v>
      </c>
      <c r="B1088">
        <v>1353</v>
      </c>
      <c r="C1088" t="s">
        <v>34</v>
      </c>
      <c r="D1088" t="s">
        <v>172</v>
      </c>
      <c r="E1088">
        <v>10</v>
      </c>
      <c r="F1088">
        <v>18.23</v>
      </c>
      <c r="G1088">
        <v>11.13</v>
      </c>
      <c r="H1088">
        <v>30.37</v>
      </c>
      <c r="I1088">
        <v>0.92</v>
      </c>
      <c r="J1088">
        <v>335.06</v>
      </c>
      <c r="K1088">
        <f t="shared" si="146"/>
        <v>3350.6</v>
      </c>
      <c r="L1088">
        <f t="shared" si="147"/>
        <v>0</v>
      </c>
      <c r="M1088">
        <f t="shared" si="144"/>
        <v>0</v>
      </c>
      <c r="N1088">
        <f t="shared" si="148"/>
        <v>0</v>
      </c>
      <c r="O1088">
        <f t="shared" si="149"/>
        <v>2028.9990000000003</v>
      </c>
      <c r="P1088">
        <f t="shared" si="150"/>
        <v>507.24975000000006</v>
      </c>
      <c r="Q1088">
        <f t="shared" si="151"/>
        <v>517.59764490000009</v>
      </c>
      <c r="R1088">
        <f t="shared" si="152"/>
        <v>279.40400000000005</v>
      </c>
      <c r="S1088">
        <f t="shared" si="145"/>
        <v>3350.6</v>
      </c>
    </row>
    <row r="1089" spans="1:19" x14ac:dyDescent="0.25">
      <c r="A1089">
        <v>1219</v>
      </c>
      <c r="B1089">
        <v>1354</v>
      </c>
      <c r="C1089" t="s">
        <v>35</v>
      </c>
      <c r="D1089" t="s">
        <v>172</v>
      </c>
      <c r="E1089">
        <v>14</v>
      </c>
      <c r="F1089">
        <v>19.41</v>
      </c>
      <c r="G1089">
        <v>10.51</v>
      </c>
      <c r="H1089">
        <v>37</v>
      </c>
      <c r="I1089">
        <v>0.87</v>
      </c>
      <c r="J1089">
        <v>341.76</v>
      </c>
      <c r="K1089">
        <f t="shared" si="146"/>
        <v>4784.6399999999994</v>
      </c>
      <c r="L1089">
        <f t="shared" si="147"/>
        <v>0</v>
      </c>
      <c r="M1089">
        <f t="shared" si="144"/>
        <v>0</v>
      </c>
      <c r="N1089">
        <f t="shared" si="148"/>
        <v>0</v>
      </c>
      <c r="O1089">
        <f t="shared" si="149"/>
        <v>2855.9874</v>
      </c>
      <c r="P1089">
        <f t="shared" si="150"/>
        <v>713.99684999999999</v>
      </c>
      <c r="Q1089">
        <f t="shared" si="151"/>
        <v>728.56238573999997</v>
      </c>
      <c r="R1089">
        <f t="shared" si="152"/>
        <v>450.65999999999997</v>
      </c>
      <c r="S1089">
        <f t="shared" si="145"/>
        <v>4784.6399999999994</v>
      </c>
    </row>
    <row r="1090" spans="1:19" x14ac:dyDescent="0.25">
      <c r="A1090">
        <v>1220</v>
      </c>
      <c r="B1090">
        <v>1354</v>
      </c>
      <c r="C1090" t="s">
        <v>35</v>
      </c>
      <c r="D1090" t="s">
        <v>173</v>
      </c>
      <c r="E1090">
        <v>290</v>
      </c>
      <c r="F1090">
        <v>15</v>
      </c>
      <c r="G1090">
        <v>2.77</v>
      </c>
      <c r="H1090">
        <v>26.72</v>
      </c>
      <c r="I1090">
        <v>0.79</v>
      </c>
      <c r="J1090">
        <v>80.349999999999994</v>
      </c>
      <c r="K1090">
        <f t="shared" si="146"/>
        <v>23301.5</v>
      </c>
      <c r="L1090">
        <f t="shared" si="147"/>
        <v>23301.5</v>
      </c>
      <c r="M1090">
        <f t="shared" ref="M1090:M1153" si="153">IF(D1090="SHOES",O1090,0)</f>
        <v>12049.5</v>
      </c>
      <c r="N1090">
        <f t="shared" si="148"/>
        <v>3012.375</v>
      </c>
      <c r="O1090">
        <f t="shared" si="149"/>
        <v>12049.5</v>
      </c>
      <c r="P1090">
        <f t="shared" si="150"/>
        <v>3012.375</v>
      </c>
      <c r="Q1090">
        <f t="shared" si="151"/>
        <v>3073.8274499999998</v>
      </c>
      <c r="R1090">
        <f t="shared" si="152"/>
        <v>6121.5520000000006</v>
      </c>
      <c r="S1090">
        <f t="shared" ref="S1090:S1153" si="154">PRODUCT(J1090,E1090)</f>
        <v>23301.5</v>
      </c>
    </row>
    <row r="1091" spans="1:19" x14ac:dyDescent="0.25">
      <c r="A1091">
        <v>1221</v>
      </c>
      <c r="B1091">
        <v>1354</v>
      </c>
      <c r="C1091" t="s">
        <v>35</v>
      </c>
      <c r="D1091" t="s">
        <v>173</v>
      </c>
      <c r="E1091">
        <v>25</v>
      </c>
      <c r="F1091">
        <v>15.74</v>
      </c>
      <c r="G1091">
        <v>2.67</v>
      </c>
      <c r="H1091">
        <v>26.63</v>
      </c>
      <c r="I1091">
        <v>0.79</v>
      </c>
      <c r="J1091">
        <v>80.930000000000007</v>
      </c>
      <c r="K1091">
        <f t="shared" ref="K1091:K1154" si="155">E1091*J1091</f>
        <v>2023.2500000000002</v>
      </c>
      <c r="L1091">
        <f t="shared" ref="L1091:L1149" si="156">IF(D1091="SHOES",E1091*J1091,0)</f>
        <v>2023.2500000000002</v>
      </c>
      <c r="M1091">
        <f t="shared" si="153"/>
        <v>1050.645</v>
      </c>
      <c r="N1091">
        <f t="shared" ref="N1091:N1154" si="157">IF(D1091="SHOES",P1091,0)</f>
        <v>262.66125</v>
      </c>
      <c r="O1091">
        <f t="shared" ref="O1091:O1154" si="158">PRODUCT(E1091,G1091,F1091)</f>
        <v>1050.645</v>
      </c>
      <c r="P1091">
        <f t="shared" ref="P1091:P1154" si="159">PRODUCT(O1091,0.25)</f>
        <v>262.66125</v>
      </c>
      <c r="Q1091">
        <f t="shared" ref="Q1091:Q1154" si="160">PRODUCT(O1091,0.2551)</f>
        <v>268.01953950000001</v>
      </c>
      <c r="R1091">
        <f t="shared" si="152"/>
        <v>525.9425</v>
      </c>
      <c r="S1091">
        <f t="shared" si="154"/>
        <v>2023.2500000000002</v>
      </c>
    </row>
    <row r="1092" spans="1:19" x14ac:dyDescent="0.25">
      <c r="A1092">
        <v>1222</v>
      </c>
      <c r="B1092">
        <v>1354</v>
      </c>
      <c r="C1092" t="s">
        <v>35</v>
      </c>
      <c r="D1092" t="s">
        <v>172</v>
      </c>
      <c r="E1092">
        <v>17</v>
      </c>
      <c r="F1092">
        <v>17.2</v>
      </c>
      <c r="G1092">
        <v>11.01</v>
      </c>
      <c r="H1092">
        <v>31.25</v>
      </c>
      <c r="I1092">
        <v>0.97</v>
      </c>
      <c r="J1092">
        <v>317.76</v>
      </c>
      <c r="K1092">
        <f t="shared" si="155"/>
        <v>5401.92</v>
      </c>
      <c r="L1092">
        <f t="shared" si="156"/>
        <v>0</v>
      </c>
      <c r="M1092">
        <f t="shared" si="153"/>
        <v>0</v>
      </c>
      <c r="N1092">
        <f t="shared" si="157"/>
        <v>0</v>
      </c>
      <c r="O1092">
        <f t="shared" si="158"/>
        <v>3219.3239999999996</v>
      </c>
      <c r="P1092">
        <f t="shared" si="159"/>
        <v>804.8309999999999</v>
      </c>
      <c r="Q1092">
        <f t="shared" si="160"/>
        <v>821.24955239999986</v>
      </c>
      <c r="R1092">
        <f t="shared" ref="R1092:R1155" si="161">PRODUCT(E1092,I1092,H1092)</f>
        <v>515.3125</v>
      </c>
      <c r="S1092">
        <f t="shared" si="154"/>
        <v>5401.92</v>
      </c>
    </row>
    <row r="1093" spans="1:19" x14ac:dyDescent="0.25">
      <c r="A1093">
        <v>1223</v>
      </c>
      <c r="B1093">
        <v>1354</v>
      </c>
      <c r="C1093" t="s">
        <v>35</v>
      </c>
      <c r="D1093" t="s">
        <v>173</v>
      </c>
      <c r="E1093">
        <v>15</v>
      </c>
      <c r="F1093">
        <v>14.77</v>
      </c>
      <c r="G1093">
        <v>3.05</v>
      </c>
      <c r="H1093">
        <v>30.94</v>
      </c>
      <c r="I1093">
        <v>0.8</v>
      </c>
      <c r="J1093">
        <v>89.17</v>
      </c>
      <c r="K1093">
        <f t="shared" si="155"/>
        <v>1337.55</v>
      </c>
      <c r="L1093">
        <f t="shared" si="156"/>
        <v>1337.55</v>
      </c>
      <c r="M1093">
        <f t="shared" si="153"/>
        <v>675.72749999999996</v>
      </c>
      <c r="N1093">
        <f t="shared" si="157"/>
        <v>168.93187499999999</v>
      </c>
      <c r="O1093">
        <f t="shared" si="158"/>
        <v>675.72749999999996</v>
      </c>
      <c r="P1093">
        <f t="shared" si="159"/>
        <v>168.93187499999999</v>
      </c>
      <c r="Q1093">
        <f t="shared" si="160"/>
        <v>172.37808525</v>
      </c>
      <c r="R1093">
        <f t="shared" si="161"/>
        <v>371.28000000000003</v>
      </c>
      <c r="S1093">
        <f t="shared" si="154"/>
        <v>1337.55</v>
      </c>
    </row>
    <row r="1094" spans="1:19" x14ac:dyDescent="0.25">
      <c r="A1094">
        <v>1224</v>
      </c>
      <c r="B1094">
        <v>1354</v>
      </c>
      <c r="C1094" t="s">
        <v>35</v>
      </c>
      <c r="D1094" t="s">
        <v>173</v>
      </c>
      <c r="E1094">
        <v>96</v>
      </c>
      <c r="F1094">
        <v>13.36</v>
      </c>
      <c r="G1094">
        <v>3.28</v>
      </c>
      <c r="H1094">
        <v>34.15</v>
      </c>
      <c r="I1094">
        <v>0.8</v>
      </c>
      <c r="J1094">
        <v>81.28</v>
      </c>
      <c r="K1094">
        <f t="shared" si="155"/>
        <v>7802.88</v>
      </c>
      <c r="L1094">
        <f t="shared" si="156"/>
        <v>7802.88</v>
      </c>
      <c r="M1094">
        <f t="shared" si="153"/>
        <v>4206.7968000000001</v>
      </c>
      <c r="N1094">
        <f t="shared" si="157"/>
        <v>1051.6992</v>
      </c>
      <c r="O1094">
        <f t="shared" si="158"/>
        <v>4206.7968000000001</v>
      </c>
      <c r="P1094">
        <f t="shared" si="159"/>
        <v>1051.6992</v>
      </c>
      <c r="Q1094">
        <f t="shared" si="160"/>
        <v>1073.1538636800001</v>
      </c>
      <c r="R1094">
        <f t="shared" si="161"/>
        <v>2622.7200000000003</v>
      </c>
      <c r="S1094">
        <f t="shared" si="154"/>
        <v>7802.88</v>
      </c>
    </row>
    <row r="1095" spans="1:19" x14ac:dyDescent="0.25">
      <c r="A1095">
        <v>1225</v>
      </c>
      <c r="B1095">
        <v>1354</v>
      </c>
      <c r="C1095" t="s">
        <v>35</v>
      </c>
      <c r="D1095" t="s">
        <v>172</v>
      </c>
      <c r="E1095">
        <v>15</v>
      </c>
      <c r="F1095">
        <v>18.5</v>
      </c>
      <c r="G1095">
        <v>11.51</v>
      </c>
      <c r="H1095">
        <v>33.04</v>
      </c>
      <c r="I1095">
        <v>0.96</v>
      </c>
      <c r="J1095">
        <v>354.49</v>
      </c>
      <c r="K1095">
        <f t="shared" si="155"/>
        <v>5317.35</v>
      </c>
      <c r="L1095">
        <f t="shared" si="156"/>
        <v>0</v>
      </c>
      <c r="M1095">
        <f t="shared" si="153"/>
        <v>0</v>
      </c>
      <c r="N1095">
        <f t="shared" si="157"/>
        <v>0</v>
      </c>
      <c r="O1095">
        <f t="shared" si="158"/>
        <v>3194.0250000000001</v>
      </c>
      <c r="P1095">
        <f t="shared" si="159"/>
        <v>798.50625000000002</v>
      </c>
      <c r="Q1095">
        <f t="shared" si="160"/>
        <v>814.79577749999999</v>
      </c>
      <c r="R1095">
        <f t="shared" si="161"/>
        <v>475.77599999999995</v>
      </c>
      <c r="S1095">
        <f t="shared" si="154"/>
        <v>5317.35</v>
      </c>
    </row>
    <row r="1096" spans="1:19" x14ac:dyDescent="0.25">
      <c r="A1096">
        <v>1226</v>
      </c>
      <c r="B1096">
        <v>1354</v>
      </c>
      <c r="C1096" t="s">
        <v>35</v>
      </c>
      <c r="D1096" t="s">
        <v>172</v>
      </c>
      <c r="E1096">
        <v>14</v>
      </c>
      <c r="F1096">
        <v>19.52</v>
      </c>
      <c r="G1096">
        <v>11.32</v>
      </c>
      <c r="H1096">
        <v>33.630000000000003</v>
      </c>
      <c r="I1096">
        <v>0.94</v>
      </c>
      <c r="J1096">
        <v>366.31</v>
      </c>
      <c r="K1096">
        <f t="shared" si="155"/>
        <v>5128.34</v>
      </c>
      <c r="L1096">
        <f t="shared" si="156"/>
        <v>0</v>
      </c>
      <c r="M1096">
        <f t="shared" si="153"/>
        <v>0</v>
      </c>
      <c r="N1096">
        <f t="shared" si="157"/>
        <v>0</v>
      </c>
      <c r="O1096">
        <f t="shared" si="158"/>
        <v>3093.5296000000003</v>
      </c>
      <c r="P1096">
        <f t="shared" si="159"/>
        <v>773.38240000000008</v>
      </c>
      <c r="Q1096">
        <f t="shared" si="160"/>
        <v>789.15940096000008</v>
      </c>
      <c r="R1096">
        <f t="shared" si="161"/>
        <v>442.57080000000002</v>
      </c>
      <c r="S1096">
        <f t="shared" si="154"/>
        <v>5128.34</v>
      </c>
    </row>
    <row r="1097" spans="1:19" x14ac:dyDescent="0.25">
      <c r="A1097">
        <v>1227</v>
      </c>
      <c r="B1097">
        <v>1354</v>
      </c>
      <c r="C1097" t="s">
        <v>35</v>
      </c>
      <c r="D1097" t="s">
        <v>173</v>
      </c>
      <c r="E1097">
        <v>14</v>
      </c>
      <c r="F1097">
        <v>14.05</v>
      </c>
      <c r="G1097">
        <v>2.93</v>
      </c>
      <c r="H1097">
        <v>27.1</v>
      </c>
      <c r="I1097">
        <v>0.76</v>
      </c>
      <c r="J1097">
        <v>79.260000000000005</v>
      </c>
      <c r="K1097">
        <f t="shared" si="155"/>
        <v>1109.6400000000001</v>
      </c>
      <c r="L1097">
        <f t="shared" si="156"/>
        <v>1109.6400000000001</v>
      </c>
      <c r="M1097">
        <f t="shared" si="153"/>
        <v>576.33100000000002</v>
      </c>
      <c r="N1097">
        <f t="shared" si="157"/>
        <v>144.08275</v>
      </c>
      <c r="O1097">
        <f t="shared" si="158"/>
        <v>576.33100000000002</v>
      </c>
      <c r="P1097">
        <f t="shared" si="159"/>
        <v>144.08275</v>
      </c>
      <c r="Q1097">
        <f t="shared" si="160"/>
        <v>147.0220381</v>
      </c>
      <c r="R1097">
        <f t="shared" si="161"/>
        <v>288.34400000000005</v>
      </c>
      <c r="S1097">
        <f t="shared" si="154"/>
        <v>1109.6400000000001</v>
      </c>
    </row>
    <row r="1098" spans="1:19" x14ac:dyDescent="0.25">
      <c r="A1098">
        <v>1228</v>
      </c>
      <c r="B1098">
        <v>1354</v>
      </c>
      <c r="C1098" t="s">
        <v>35</v>
      </c>
      <c r="D1098" t="s">
        <v>173</v>
      </c>
      <c r="E1098">
        <v>9</v>
      </c>
      <c r="F1098">
        <v>13.58</v>
      </c>
      <c r="G1098">
        <v>2.9</v>
      </c>
      <c r="H1098">
        <v>32.35</v>
      </c>
      <c r="I1098">
        <v>0.85</v>
      </c>
      <c r="J1098">
        <v>84.4</v>
      </c>
      <c r="K1098">
        <f t="shared" si="155"/>
        <v>759.6</v>
      </c>
      <c r="L1098">
        <f t="shared" si="156"/>
        <v>759.6</v>
      </c>
      <c r="M1098">
        <f t="shared" si="153"/>
        <v>354.43799999999999</v>
      </c>
      <c r="N1098">
        <f t="shared" si="157"/>
        <v>88.609499999999997</v>
      </c>
      <c r="O1098">
        <f t="shared" si="158"/>
        <v>354.43799999999999</v>
      </c>
      <c r="P1098">
        <f t="shared" si="159"/>
        <v>88.609499999999997</v>
      </c>
      <c r="Q1098">
        <f t="shared" si="160"/>
        <v>90.417133799999988</v>
      </c>
      <c r="R1098">
        <f t="shared" si="161"/>
        <v>247.47749999999999</v>
      </c>
      <c r="S1098">
        <f t="shared" si="154"/>
        <v>759.6</v>
      </c>
    </row>
    <row r="1099" spans="1:19" x14ac:dyDescent="0.25">
      <c r="A1099">
        <v>1229</v>
      </c>
      <c r="B1099">
        <v>1354</v>
      </c>
      <c r="C1099" t="s">
        <v>35</v>
      </c>
      <c r="D1099" t="s">
        <v>172</v>
      </c>
      <c r="E1099">
        <v>12</v>
      </c>
      <c r="F1099">
        <v>18.32</v>
      </c>
      <c r="G1099">
        <v>10.72</v>
      </c>
      <c r="H1099">
        <v>31.4</v>
      </c>
      <c r="I1099">
        <v>1.05</v>
      </c>
      <c r="J1099">
        <v>331.36</v>
      </c>
      <c r="K1099">
        <f t="shared" si="155"/>
        <v>3976.32</v>
      </c>
      <c r="L1099">
        <f t="shared" si="156"/>
        <v>0</v>
      </c>
      <c r="M1099">
        <f t="shared" si="153"/>
        <v>0</v>
      </c>
      <c r="N1099">
        <f t="shared" si="157"/>
        <v>0</v>
      </c>
      <c r="O1099">
        <f t="shared" si="158"/>
        <v>2356.6848000000005</v>
      </c>
      <c r="P1099">
        <f t="shared" si="159"/>
        <v>589.17120000000011</v>
      </c>
      <c r="Q1099">
        <f t="shared" si="160"/>
        <v>601.19029248000015</v>
      </c>
      <c r="R1099">
        <f t="shared" si="161"/>
        <v>395.64000000000004</v>
      </c>
      <c r="S1099">
        <f t="shared" si="154"/>
        <v>3976.32</v>
      </c>
    </row>
    <row r="1100" spans="1:19" x14ac:dyDescent="0.25">
      <c r="A1100">
        <v>1230</v>
      </c>
      <c r="B1100">
        <v>1354</v>
      </c>
      <c r="C1100" t="s">
        <v>35</v>
      </c>
      <c r="D1100" t="s">
        <v>173</v>
      </c>
      <c r="E1100">
        <v>10</v>
      </c>
      <c r="F1100">
        <v>14.03</v>
      </c>
      <c r="G1100">
        <v>3.04</v>
      </c>
      <c r="H1100">
        <v>27.9</v>
      </c>
      <c r="I1100">
        <v>0.79</v>
      </c>
      <c r="J1100">
        <v>82.89</v>
      </c>
      <c r="K1100">
        <f t="shared" si="155"/>
        <v>828.9</v>
      </c>
      <c r="L1100">
        <f t="shared" si="156"/>
        <v>828.9</v>
      </c>
      <c r="M1100">
        <f t="shared" si="153"/>
        <v>426.51199999999994</v>
      </c>
      <c r="N1100">
        <f t="shared" si="157"/>
        <v>106.62799999999999</v>
      </c>
      <c r="O1100">
        <f t="shared" si="158"/>
        <v>426.51199999999994</v>
      </c>
      <c r="P1100">
        <f t="shared" si="159"/>
        <v>106.62799999999999</v>
      </c>
      <c r="Q1100">
        <f t="shared" si="160"/>
        <v>108.80321119999998</v>
      </c>
      <c r="R1100">
        <f t="shared" si="161"/>
        <v>220.41</v>
      </c>
      <c r="S1100">
        <f t="shared" si="154"/>
        <v>828.9</v>
      </c>
    </row>
    <row r="1101" spans="1:19" x14ac:dyDescent="0.25">
      <c r="A1101">
        <v>1231</v>
      </c>
      <c r="B1101">
        <v>1354</v>
      </c>
      <c r="C1101" t="s">
        <v>35</v>
      </c>
      <c r="D1101" t="s">
        <v>173</v>
      </c>
      <c r="E1101">
        <v>12</v>
      </c>
      <c r="F1101">
        <v>15.19</v>
      </c>
      <c r="G1101">
        <v>2.85</v>
      </c>
      <c r="H1101">
        <v>29.87</v>
      </c>
      <c r="I1101">
        <v>0.8</v>
      </c>
      <c r="J1101">
        <v>85.81</v>
      </c>
      <c r="K1101">
        <f t="shared" si="155"/>
        <v>1029.72</v>
      </c>
      <c r="L1101">
        <f t="shared" si="156"/>
        <v>1029.72</v>
      </c>
      <c r="M1101">
        <f t="shared" si="153"/>
        <v>519.49800000000005</v>
      </c>
      <c r="N1101">
        <f t="shared" si="157"/>
        <v>129.87450000000001</v>
      </c>
      <c r="O1101">
        <f t="shared" si="158"/>
        <v>519.49800000000005</v>
      </c>
      <c r="P1101">
        <f t="shared" si="159"/>
        <v>129.87450000000001</v>
      </c>
      <c r="Q1101">
        <f t="shared" si="160"/>
        <v>132.52393980000002</v>
      </c>
      <c r="R1101">
        <f t="shared" si="161"/>
        <v>286.75200000000007</v>
      </c>
      <c r="S1101">
        <f t="shared" si="154"/>
        <v>1029.72</v>
      </c>
    </row>
    <row r="1102" spans="1:19" x14ac:dyDescent="0.25">
      <c r="A1102">
        <v>1232</v>
      </c>
      <c r="B1102">
        <v>1354</v>
      </c>
      <c r="C1102" t="s">
        <v>35</v>
      </c>
      <c r="D1102" t="s">
        <v>172</v>
      </c>
      <c r="E1102">
        <v>46</v>
      </c>
      <c r="F1102">
        <v>19.61</v>
      </c>
      <c r="G1102">
        <v>11.18</v>
      </c>
      <c r="H1102">
        <v>33.619999999999997</v>
      </c>
      <c r="I1102">
        <v>0.88</v>
      </c>
      <c r="J1102">
        <v>361.33</v>
      </c>
      <c r="K1102">
        <f t="shared" si="155"/>
        <v>16621.18</v>
      </c>
      <c r="L1102">
        <f t="shared" si="156"/>
        <v>0</v>
      </c>
      <c r="M1102">
        <f t="shared" si="153"/>
        <v>0</v>
      </c>
      <c r="N1102">
        <f t="shared" si="157"/>
        <v>0</v>
      </c>
      <c r="O1102">
        <f t="shared" si="158"/>
        <v>10085.030799999999</v>
      </c>
      <c r="P1102">
        <f t="shared" si="159"/>
        <v>2521.2576999999997</v>
      </c>
      <c r="Q1102">
        <f t="shared" si="160"/>
        <v>2572.6913570799998</v>
      </c>
      <c r="R1102">
        <f t="shared" si="161"/>
        <v>1360.9375999999997</v>
      </c>
      <c r="S1102">
        <f t="shared" si="154"/>
        <v>16621.18</v>
      </c>
    </row>
    <row r="1103" spans="1:19" x14ac:dyDescent="0.25">
      <c r="A1103">
        <v>1233</v>
      </c>
      <c r="B1103">
        <v>1355</v>
      </c>
      <c r="C1103" t="s">
        <v>35</v>
      </c>
      <c r="D1103" t="s">
        <v>173</v>
      </c>
      <c r="E1103">
        <v>8</v>
      </c>
      <c r="F1103">
        <v>15.04</v>
      </c>
      <c r="G1103">
        <v>2.8</v>
      </c>
      <c r="H1103">
        <v>33</v>
      </c>
      <c r="I1103">
        <v>0.82</v>
      </c>
      <c r="J1103">
        <v>87.67</v>
      </c>
      <c r="K1103">
        <f t="shared" si="155"/>
        <v>701.36</v>
      </c>
      <c r="L1103">
        <f t="shared" si="156"/>
        <v>701.36</v>
      </c>
      <c r="M1103">
        <f t="shared" si="153"/>
        <v>336.89599999999996</v>
      </c>
      <c r="N1103">
        <f t="shared" si="157"/>
        <v>84.22399999999999</v>
      </c>
      <c r="O1103">
        <f t="shared" si="158"/>
        <v>336.89599999999996</v>
      </c>
      <c r="P1103">
        <f t="shared" si="159"/>
        <v>84.22399999999999</v>
      </c>
      <c r="Q1103">
        <f t="shared" si="160"/>
        <v>85.942169599999986</v>
      </c>
      <c r="R1103">
        <f t="shared" si="161"/>
        <v>216.48</v>
      </c>
      <c r="S1103">
        <f t="shared" si="154"/>
        <v>701.36</v>
      </c>
    </row>
    <row r="1104" spans="1:19" x14ac:dyDescent="0.25">
      <c r="A1104">
        <v>1234</v>
      </c>
      <c r="B1104">
        <v>1355</v>
      </c>
      <c r="C1104" t="s">
        <v>35</v>
      </c>
      <c r="D1104" t="s">
        <v>172</v>
      </c>
      <c r="E1104">
        <v>30</v>
      </c>
      <c r="F1104">
        <v>20.05</v>
      </c>
      <c r="G1104">
        <v>10.92</v>
      </c>
      <c r="H1104">
        <v>33.35</v>
      </c>
      <c r="I1104">
        <v>1.06</v>
      </c>
      <c r="J1104">
        <v>367.75</v>
      </c>
      <c r="K1104">
        <f t="shared" si="155"/>
        <v>11032.5</v>
      </c>
      <c r="L1104">
        <f t="shared" si="156"/>
        <v>0</v>
      </c>
      <c r="M1104">
        <f t="shared" si="153"/>
        <v>0</v>
      </c>
      <c r="N1104">
        <f t="shared" si="157"/>
        <v>0</v>
      </c>
      <c r="O1104">
        <f t="shared" si="158"/>
        <v>6568.380000000001</v>
      </c>
      <c r="P1104">
        <f t="shared" si="159"/>
        <v>1642.0950000000003</v>
      </c>
      <c r="Q1104">
        <f t="shared" si="160"/>
        <v>1675.5937380000003</v>
      </c>
      <c r="R1104">
        <f t="shared" si="161"/>
        <v>1060.53</v>
      </c>
      <c r="S1104">
        <f t="shared" si="154"/>
        <v>11032.5</v>
      </c>
    </row>
    <row r="1105" spans="1:19" x14ac:dyDescent="0.25">
      <c r="A1105">
        <v>1235</v>
      </c>
      <c r="B1105">
        <v>1355</v>
      </c>
      <c r="C1105" t="s">
        <v>35</v>
      </c>
      <c r="D1105" t="s">
        <v>172</v>
      </c>
      <c r="E1105">
        <v>14</v>
      </c>
      <c r="F1105">
        <v>20.12</v>
      </c>
      <c r="G1105">
        <v>11.04</v>
      </c>
      <c r="H1105">
        <v>27.89</v>
      </c>
      <c r="I1105">
        <v>0.92</v>
      </c>
      <c r="J1105">
        <v>360.94</v>
      </c>
      <c r="K1105">
        <f t="shared" si="155"/>
        <v>5053.16</v>
      </c>
      <c r="L1105">
        <f t="shared" si="156"/>
        <v>0</v>
      </c>
      <c r="M1105">
        <f t="shared" si="153"/>
        <v>0</v>
      </c>
      <c r="N1105">
        <f t="shared" si="157"/>
        <v>0</v>
      </c>
      <c r="O1105">
        <f t="shared" si="158"/>
        <v>3109.7472000000002</v>
      </c>
      <c r="P1105">
        <f t="shared" si="159"/>
        <v>777.43680000000006</v>
      </c>
      <c r="Q1105">
        <f t="shared" si="160"/>
        <v>793.29651072000001</v>
      </c>
      <c r="R1105">
        <f t="shared" si="161"/>
        <v>359.22320000000002</v>
      </c>
      <c r="S1105">
        <f t="shared" si="154"/>
        <v>5053.16</v>
      </c>
    </row>
    <row r="1106" spans="1:19" x14ac:dyDescent="0.25">
      <c r="A1106">
        <v>1236</v>
      </c>
      <c r="B1106">
        <v>1355</v>
      </c>
      <c r="C1106" t="s">
        <v>35</v>
      </c>
      <c r="D1106" t="s">
        <v>172</v>
      </c>
      <c r="E1106">
        <v>9</v>
      </c>
      <c r="F1106">
        <v>19.920000000000002</v>
      </c>
      <c r="G1106">
        <v>10.59</v>
      </c>
      <c r="H1106">
        <v>26.71</v>
      </c>
      <c r="I1106">
        <v>1.03</v>
      </c>
      <c r="J1106">
        <v>346.53</v>
      </c>
      <c r="K1106">
        <f t="shared" si="155"/>
        <v>3118.7699999999995</v>
      </c>
      <c r="L1106">
        <f t="shared" si="156"/>
        <v>0</v>
      </c>
      <c r="M1106">
        <f t="shared" si="153"/>
        <v>0</v>
      </c>
      <c r="N1106">
        <f t="shared" si="157"/>
        <v>0</v>
      </c>
      <c r="O1106">
        <f t="shared" si="158"/>
        <v>1898.5752000000002</v>
      </c>
      <c r="P1106">
        <f t="shared" si="159"/>
        <v>474.64380000000006</v>
      </c>
      <c r="Q1106">
        <f t="shared" si="160"/>
        <v>484.32653352000005</v>
      </c>
      <c r="R1106">
        <f t="shared" si="161"/>
        <v>247.60169999999999</v>
      </c>
      <c r="S1106">
        <f t="shared" si="154"/>
        <v>3118.7699999999995</v>
      </c>
    </row>
    <row r="1107" spans="1:19" x14ac:dyDescent="0.25">
      <c r="A1107">
        <v>1237</v>
      </c>
      <c r="B1107">
        <v>1355</v>
      </c>
      <c r="C1107" t="s">
        <v>35</v>
      </c>
      <c r="D1107" t="s">
        <v>173</v>
      </c>
      <c r="E1107">
        <v>11</v>
      </c>
      <c r="F1107">
        <v>14.34</v>
      </c>
      <c r="G1107">
        <v>2.75</v>
      </c>
      <c r="H1107">
        <v>33.17</v>
      </c>
      <c r="I1107">
        <v>0.8</v>
      </c>
      <c r="J1107">
        <v>83.41</v>
      </c>
      <c r="K1107">
        <f t="shared" si="155"/>
        <v>917.51</v>
      </c>
      <c r="L1107">
        <f t="shared" si="156"/>
        <v>917.51</v>
      </c>
      <c r="M1107">
        <f t="shared" si="153"/>
        <v>433.78499999999997</v>
      </c>
      <c r="N1107">
        <f t="shared" si="157"/>
        <v>108.44624999999999</v>
      </c>
      <c r="O1107">
        <f t="shared" si="158"/>
        <v>433.78499999999997</v>
      </c>
      <c r="P1107">
        <f t="shared" si="159"/>
        <v>108.44624999999999</v>
      </c>
      <c r="Q1107">
        <f t="shared" si="160"/>
        <v>110.65855349999998</v>
      </c>
      <c r="R1107">
        <f t="shared" si="161"/>
        <v>291.89600000000002</v>
      </c>
      <c r="S1107">
        <f t="shared" si="154"/>
        <v>917.51</v>
      </c>
    </row>
    <row r="1108" spans="1:19" x14ac:dyDescent="0.25">
      <c r="A1108">
        <v>1238</v>
      </c>
      <c r="B1108">
        <v>1355</v>
      </c>
      <c r="C1108" t="s">
        <v>35</v>
      </c>
      <c r="D1108" t="s">
        <v>172</v>
      </c>
      <c r="E1108">
        <v>17</v>
      </c>
      <c r="F1108">
        <v>19.079999999999998</v>
      </c>
      <c r="G1108">
        <v>11.38</v>
      </c>
      <c r="H1108">
        <v>34.82</v>
      </c>
      <c r="I1108">
        <v>0.99</v>
      </c>
      <c r="J1108">
        <v>364</v>
      </c>
      <c r="K1108">
        <f t="shared" si="155"/>
        <v>6188</v>
      </c>
      <c r="L1108">
        <f t="shared" si="156"/>
        <v>0</v>
      </c>
      <c r="M1108">
        <f t="shared" si="153"/>
        <v>0</v>
      </c>
      <c r="N1108">
        <f t="shared" si="157"/>
        <v>0</v>
      </c>
      <c r="O1108">
        <f t="shared" si="158"/>
        <v>3691.2167999999997</v>
      </c>
      <c r="P1108">
        <f t="shared" si="159"/>
        <v>922.80419999999992</v>
      </c>
      <c r="Q1108">
        <f t="shared" si="160"/>
        <v>941.62940567999988</v>
      </c>
      <c r="R1108">
        <f t="shared" si="161"/>
        <v>586.02059999999994</v>
      </c>
      <c r="S1108">
        <f t="shared" si="154"/>
        <v>6188</v>
      </c>
    </row>
    <row r="1109" spans="1:19" x14ac:dyDescent="0.25">
      <c r="A1109">
        <v>1239</v>
      </c>
      <c r="B1109">
        <v>1355</v>
      </c>
      <c r="C1109" t="s">
        <v>35</v>
      </c>
      <c r="D1109" t="s">
        <v>172</v>
      </c>
      <c r="E1109">
        <v>13</v>
      </c>
      <c r="F1109">
        <v>18.8</v>
      </c>
      <c r="G1109">
        <v>10.69</v>
      </c>
      <c r="H1109">
        <v>30.85</v>
      </c>
      <c r="I1109">
        <v>1.03</v>
      </c>
      <c r="J1109">
        <v>336.76</v>
      </c>
      <c r="K1109">
        <f t="shared" si="155"/>
        <v>4377.88</v>
      </c>
      <c r="L1109">
        <f t="shared" si="156"/>
        <v>0</v>
      </c>
      <c r="M1109">
        <f t="shared" si="153"/>
        <v>0</v>
      </c>
      <c r="N1109">
        <f t="shared" si="157"/>
        <v>0</v>
      </c>
      <c r="O1109">
        <f t="shared" si="158"/>
        <v>2612.636</v>
      </c>
      <c r="P1109">
        <f t="shared" si="159"/>
        <v>653.15899999999999</v>
      </c>
      <c r="Q1109">
        <f t="shared" si="160"/>
        <v>666.48344359999999</v>
      </c>
      <c r="R1109">
        <f t="shared" si="161"/>
        <v>413.08150000000006</v>
      </c>
      <c r="S1109">
        <f t="shared" si="154"/>
        <v>4377.88</v>
      </c>
    </row>
    <row r="1110" spans="1:19" x14ac:dyDescent="0.25">
      <c r="A1110">
        <v>1240</v>
      </c>
      <c r="B1110">
        <v>1355</v>
      </c>
      <c r="C1110" t="s">
        <v>35</v>
      </c>
      <c r="D1110" t="s">
        <v>172</v>
      </c>
      <c r="E1110">
        <v>12</v>
      </c>
      <c r="F1110">
        <v>21.25</v>
      </c>
      <c r="G1110">
        <v>10.61</v>
      </c>
      <c r="H1110">
        <v>29.91</v>
      </c>
      <c r="I1110">
        <v>1.04</v>
      </c>
      <c r="J1110">
        <v>372.39</v>
      </c>
      <c r="K1110">
        <f t="shared" si="155"/>
        <v>4468.68</v>
      </c>
      <c r="L1110">
        <f t="shared" si="156"/>
        <v>0</v>
      </c>
      <c r="M1110">
        <f t="shared" si="153"/>
        <v>0</v>
      </c>
      <c r="N1110">
        <f t="shared" si="157"/>
        <v>0</v>
      </c>
      <c r="O1110">
        <f t="shared" si="158"/>
        <v>2705.5499999999997</v>
      </c>
      <c r="P1110">
        <f t="shared" si="159"/>
        <v>676.38749999999993</v>
      </c>
      <c r="Q1110">
        <f t="shared" si="160"/>
        <v>690.18580499999996</v>
      </c>
      <c r="R1110">
        <f t="shared" si="161"/>
        <v>373.27680000000004</v>
      </c>
      <c r="S1110">
        <f t="shared" si="154"/>
        <v>4468.68</v>
      </c>
    </row>
    <row r="1111" spans="1:19" x14ac:dyDescent="0.25">
      <c r="A1111">
        <v>1241</v>
      </c>
      <c r="B1111">
        <v>1355</v>
      </c>
      <c r="C1111" t="s">
        <v>35</v>
      </c>
      <c r="D1111" t="s">
        <v>172</v>
      </c>
      <c r="E1111">
        <v>10</v>
      </c>
      <c r="F1111">
        <v>18.71</v>
      </c>
      <c r="G1111">
        <v>10.66</v>
      </c>
      <c r="H1111">
        <v>29.69</v>
      </c>
      <c r="I1111">
        <v>1.04</v>
      </c>
      <c r="J1111">
        <v>333.42</v>
      </c>
      <c r="K1111">
        <f t="shared" si="155"/>
        <v>3334.2000000000003</v>
      </c>
      <c r="L1111">
        <f t="shared" si="156"/>
        <v>0</v>
      </c>
      <c r="M1111">
        <f t="shared" si="153"/>
        <v>0</v>
      </c>
      <c r="N1111">
        <f t="shared" si="157"/>
        <v>0</v>
      </c>
      <c r="O1111">
        <f t="shared" si="158"/>
        <v>1994.4859999999999</v>
      </c>
      <c r="P1111">
        <f t="shared" si="159"/>
        <v>498.62149999999997</v>
      </c>
      <c r="Q1111">
        <f t="shared" si="160"/>
        <v>508.79337859999998</v>
      </c>
      <c r="R1111">
        <f t="shared" si="161"/>
        <v>308.77600000000001</v>
      </c>
      <c r="S1111">
        <f t="shared" si="154"/>
        <v>3334.2000000000003</v>
      </c>
    </row>
    <row r="1112" spans="1:19" x14ac:dyDescent="0.25">
      <c r="A1112">
        <v>1242</v>
      </c>
      <c r="B1112">
        <v>1356</v>
      </c>
      <c r="C1112" t="s">
        <v>33</v>
      </c>
      <c r="D1112" t="s">
        <v>172</v>
      </c>
      <c r="E1112">
        <v>11</v>
      </c>
      <c r="F1112">
        <v>19.399999999999999</v>
      </c>
      <c r="G1112">
        <v>9.5399999999999991</v>
      </c>
      <c r="H1112">
        <v>29.37</v>
      </c>
      <c r="I1112">
        <v>0.95</v>
      </c>
      <c r="J1112">
        <v>254.32</v>
      </c>
      <c r="K1112">
        <f t="shared" si="155"/>
        <v>2797.52</v>
      </c>
      <c r="L1112">
        <f t="shared" si="156"/>
        <v>0</v>
      </c>
      <c r="M1112">
        <f t="shared" si="153"/>
        <v>0</v>
      </c>
      <c r="N1112">
        <f t="shared" si="157"/>
        <v>0</v>
      </c>
      <c r="O1112">
        <f t="shared" si="158"/>
        <v>2035.8359999999998</v>
      </c>
      <c r="P1112">
        <f t="shared" si="159"/>
        <v>508.95899999999995</v>
      </c>
      <c r="Q1112">
        <f t="shared" si="160"/>
        <v>519.34176359999992</v>
      </c>
      <c r="R1112">
        <f t="shared" si="161"/>
        <v>306.91649999999998</v>
      </c>
      <c r="S1112">
        <f t="shared" si="154"/>
        <v>2797.52</v>
      </c>
    </row>
    <row r="1113" spans="1:19" x14ac:dyDescent="0.25">
      <c r="A1113">
        <v>1243</v>
      </c>
      <c r="B1113">
        <v>1356</v>
      </c>
      <c r="C1113" t="s">
        <v>33</v>
      </c>
      <c r="D1113" t="s">
        <v>173</v>
      </c>
      <c r="E1113">
        <v>10</v>
      </c>
      <c r="F1113">
        <v>14.6</v>
      </c>
      <c r="G1113">
        <v>2.73</v>
      </c>
      <c r="H1113">
        <v>28.74</v>
      </c>
      <c r="I1113">
        <v>0.75</v>
      </c>
      <c r="J1113">
        <v>78.52</v>
      </c>
      <c r="K1113">
        <f t="shared" si="155"/>
        <v>785.19999999999993</v>
      </c>
      <c r="L1113">
        <f t="shared" si="156"/>
        <v>785.19999999999993</v>
      </c>
      <c r="M1113">
        <f t="shared" si="153"/>
        <v>398.58</v>
      </c>
      <c r="N1113">
        <f t="shared" si="157"/>
        <v>99.644999999999996</v>
      </c>
      <c r="O1113">
        <f t="shared" si="158"/>
        <v>398.58</v>
      </c>
      <c r="P1113">
        <f t="shared" si="159"/>
        <v>99.644999999999996</v>
      </c>
      <c r="Q1113">
        <f t="shared" si="160"/>
        <v>101.677758</v>
      </c>
      <c r="R1113">
        <f t="shared" si="161"/>
        <v>215.54999999999998</v>
      </c>
      <c r="S1113">
        <f t="shared" si="154"/>
        <v>785.19999999999993</v>
      </c>
    </row>
    <row r="1114" spans="1:19" x14ac:dyDescent="0.25">
      <c r="A1114">
        <v>1244</v>
      </c>
      <c r="B1114">
        <v>1356</v>
      </c>
      <c r="C1114" t="s">
        <v>33</v>
      </c>
      <c r="D1114" t="s">
        <v>172</v>
      </c>
      <c r="E1114">
        <v>11</v>
      </c>
      <c r="F1114">
        <v>20.329999999999998</v>
      </c>
      <c r="G1114">
        <v>10.94</v>
      </c>
      <c r="H1114">
        <v>32.81</v>
      </c>
      <c r="I1114">
        <v>0.94</v>
      </c>
      <c r="J1114">
        <v>367.54</v>
      </c>
      <c r="K1114">
        <f t="shared" si="155"/>
        <v>4042.94</v>
      </c>
      <c r="L1114">
        <f t="shared" si="156"/>
        <v>0</v>
      </c>
      <c r="M1114">
        <f t="shared" si="153"/>
        <v>0</v>
      </c>
      <c r="N1114">
        <f t="shared" si="157"/>
        <v>0</v>
      </c>
      <c r="O1114">
        <f t="shared" si="158"/>
        <v>2446.5121999999997</v>
      </c>
      <c r="P1114">
        <f t="shared" si="159"/>
        <v>611.62804999999992</v>
      </c>
      <c r="Q1114">
        <f t="shared" si="160"/>
        <v>624.10526221999987</v>
      </c>
      <c r="R1114">
        <f t="shared" si="161"/>
        <v>339.25540000000001</v>
      </c>
      <c r="S1114">
        <f t="shared" si="154"/>
        <v>4042.94</v>
      </c>
    </row>
    <row r="1115" spans="1:19" x14ac:dyDescent="0.25">
      <c r="A1115">
        <v>1245</v>
      </c>
      <c r="B1115">
        <v>1356</v>
      </c>
      <c r="C1115" t="s">
        <v>33</v>
      </c>
      <c r="D1115" t="s">
        <v>173</v>
      </c>
      <c r="E1115">
        <v>13</v>
      </c>
      <c r="F1115">
        <v>14.58</v>
      </c>
      <c r="G1115">
        <v>3.21</v>
      </c>
      <c r="H1115">
        <v>29.48</v>
      </c>
      <c r="I1115">
        <v>0.8</v>
      </c>
      <c r="J1115">
        <v>90.29</v>
      </c>
      <c r="K1115">
        <f t="shared" si="155"/>
        <v>1173.77</v>
      </c>
      <c r="L1115">
        <f t="shared" si="156"/>
        <v>1173.77</v>
      </c>
      <c r="M1115">
        <f t="shared" si="153"/>
        <v>608.4233999999999</v>
      </c>
      <c r="N1115">
        <f t="shared" si="157"/>
        <v>152.10584999999998</v>
      </c>
      <c r="O1115">
        <f t="shared" si="158"/>
        <v>608.4233999999999</v>
      </c>
      <c r="P1115">
        <f t="shared" si="159"/>
        <v>152.10584999999998</v>
      </c>
      <c r="Q1115">
        <f t="shared" si="160"/>
        <v>155.20880933999996</v>
      </c>
      <c r="R1115">
        <f t="shared" si="161"/>
        <v>306.59200000000004</v>
      </c>
      <c r="S1115">
        <f t="shared" si="154"/>
        <v>1173.77</v>
      </c>
    </row>
    <row r="1116" spans="1:19" x14ac:dyDescent="0.25">
      <c r="A1116">
        <v>1246</v>
      </c>
      <c r="B1116">
        <v>1356</v>
      </c>
      <c r="C1116" t="s">
        <v>33</v>
      </c>
      <c r="D1116" t="s">
        <v>173</v>
      </c>
      <c r="E1116">
        <v>37</v>
      </c>
      <c r="F1116">
        <v>15.78</v>
      </c>
      <c r="G1116">
        <v>2.87</v>
      </c>
      <c r="H1116">
        <v>29.72</v>
      </c>
      <c r="I1116">
        <v>0.83</v>
      </c>
      <c r="J1116">
        <v>89.41</v>
      </c>
      <c r="K1116">
        <f t="shared" si="155"/>
        <v>3308.17</v>
      </c>
      <c r="L1116">
        <f t="shared" si="156"/>
        <v>3308.17</v>
      </c>
      <c r="M1116">
        <f t="shared" si="153"/>
        <v>1675.6781999999998</v>
      </c>
      <c r="N1116">
        <f t="shared" si="157"/>
        <v>418.91954999999996</v>
      </c>
      <c r="O1116">
        <f t="shared" si="158"/>
        <v>1675.6781999999998</v>
      </c>
      <c r="P1116">
        <f t="shared" si="159"/>
        <v>418.91954999999996</v>
      </c>
      <c r="Q1116">
        <f t="shared" si="160"/>
        <v>427.46550881999997</v>
      </c>
      <c r="R1116">
        <f t="shared" si="161"/>
        <v>912.70119999999986</v>
      </c>
      <c r="S1116">
        <f t="shared" si="154"/>
        <v>3308.17</v>
      </c>
    </row>
    <row r="1117" spans="1:19" x14ac:dyDescent="0.25">
      <c r="A1117">
        <v>1247</v>
      </c>
      <c r="B1117">
        <v>1356</v>
      </c>
      <c r="C1117" t="s">
        <v>33</v>
      </c>
      <c r="D1117" t="s">
        <v>172</v>
      </c>
      <c r="E1117">
        <v>14</v>
      </c>
      <c r="F1117">
        <v>19.809999999999999</v>
      </c>
      <c r="G1117">
        <v>12.17</v>
      </c>
      <c r="H1117">
        <v>33.5</v>
      </c>
      <c r="I1117">
        <v>0.99</v>
      </c>
      <c r="J1117">
        <v>398.08</v>
      </c>
      <c r="K1117">
        <f t="shared" si="155"/>
        <v>5573.12</v>
      </c>
      <c r="L1117">
        <f t="shared" si="156"/>
        <v>0</v>
      </c>
      <c r="M1117">
        <f t="shared" si="153"/>
        <v>0</v>
      </c>
      <c r="N1117">
        <f t="shared" si="157"/>
        <v>0</v>
      </c>
      <c r="O1117">
        <f t="shared" si="158"/>
        <v>3375.2277999999997</v>
      </c>
      <c r="P1117">
        <f t="shared" si="159"/>
        <v>843.80694999999992</v>
      </c>
      <c r="Q1117">
        <f t="shared" si="160"/>
        <v>861.02061177999985</v>
      </c>
      <c r="R1117">
        <f t="shared" si="161"/>
        <v>464.31</v>
      </c>
      <c r="S1117">
        <f t="shared" si="154"/>
        <v>5573.12</v>
      </c>
    </row>
    <row r="1118" spans="1:19" x14ac:dyDescent="0.25">
      <c r="A1118">
        <v>1248</v>
      </c>
      <c r="B1118">
        <v>1356</v>
      </c>
      <c r="C1118" t="s">
        <v>33</v>
      </c>
      <c r="D1118" t="s">
        <v>173</v>
      </c>
      <c r="E1118">
        <v>11</v>
      </c>
      <c r="F1118">
        <v>14.29</v>
      </c>
      <c r="G1118">
        <v>2.89</v>
      </c>
      <c r="H1118">
        <v>31.92</v>
      </c>
      <c r="I1118">
        <v>0.81</v>
      </c>
      <c r="J1118">
        <v>85.23</v>
      </c>
      <c r="K1118">
        <f t="shared" si="155"/>
        <v>937.53000000000009</v>
      </c>
      <c r="L1118">
        <f t="shared" si="156"/>
        <v>937.53000000000009</v>
      </c>
      <c r="M1118">
        <f t="shared" si="153"/>
        <v>454.27910000000003</v>
      </c>
      <c r="N1118">
        <f t="shared" si="157"/>
        <v>113.56977500000001</v>
      </c>
      <c r="O1118">
        <f t="shared" si="158"/>
        <v>454.27910000000003</v>
      </c>
      <c r="P1118">
        <f t="shared" si="159"/>
        <v>113.56977500000001</v>
      </c>
      <c r="Q1118">
        <f t="shared" si="160"/>
        <v>115.88659841</v>
      </c>
      <c r="R1118">
        <f t="shared" si="161"/>
        <v>284.40720000000005</v>
      </c>
      <c r="S1118">
        <f t="shared" si="154"/>
        <v>937.53000000000009</v>
      </c>
    </row>
    <row r="1119" spans="1:19" x14ac:dyDescent="0.25">
      <c r="A1119">
        <v>1249</v>
      </c>
      <c r="B1119">
        <v>1356</v>
      </c>
      <c r="C1119" t="s">
        <v>33</v>
      </c>
      <c r="D1119" t="s">
        <v>173</v>
      </c>
      <c r="E1119">
        <v>17</v>
      </c>
      <c r="F1119">
        <v>13.76</v>
      </c>
      <c r="G1119">
        <v>2.78</v>
      </c>
      <c r="H1119">
        <v>30.91</v>
      </c>
      <c r="I1119">
        <v>0.79</v>
      </c>
      <c r="J1119">
        <v>79.459999999999994</v>
      </c>
      <c r="K1119">
        <f t="shared" si="155"/>
        <v>1350.82</v>
      </c>
      <c r="L1119">
        <f t="shared" si="156"/>
        <v>1350.82</v>
      </c>
      <c r="M1119">
        <f t="shared" si="153"/>
        <v>650.29759999999999</v>
      </c>
      <c r="N1119">
        <f t="shared" si="157"/>
        <v>162.5744</v>
      </c>
      <c r="O1119">
        <f t="shared" si="158"/>
        <v>650.29759999999999</v>
      </c>
      <c r="P1119">
        <f t="shared" si="159"/>
        <v>162.5744</v>
      </c>
      <c r="Q1119">
        <f t="shared" si="160"/>
        <v>165.89091775999998</v>
      </c>
      <c r="R1119">
        <f t="shared" si="161"/>
        <v>415.12130000000002</v>
      </c>
      <c r="S1119">
        <f t="shared" si="154"/>
        <v>1350.82</v>
      </c>
    </row>
    <row r="1120" spans="1:19" x14ac:dyDescent="0.25">
      <c r="A1120">
        <v>1250</v>
      </c>
      <c r="B1120">
        <v>1356</v>
      </c>
      <c r="C1120" t="s">
        <v>33</v>
      </c>
      <c r="D1120" t="s">
        <v>172</v>
      </c>
      <c r="E1120">
        <v>15</v>
      </c>
      <c r="F1120">
        <v>20.29</v>
      </c>
      <c r="G1120">
        <v>11.33</v>
      </c>
      <c r="H1120">
        <v>34.17</v>
      </c>
      <c r="I1120">
        <v>1.06</v>
      </c>
      <c r="J1120">
        <v>385.06</v>
      </c>
      <c r="K1120">
        <f t="shared" si="155"/>
        <v>5775.9</v>
      </c>
      <c r="L1120">
        <f t="shared" si="156"/>
        <v>0</v>
      </c>
      <c r="M1120">
        <f t="shared" si="153"/>
        <v>0</v>
      </c>
      <c r="N1120">
        <f t="shared" si="157"/>
        <v>0</v>
      </c>
      <c r="O1120">
        <f t="shared" si="158"/>
        <v>3448.2854999999995</v>
      </c>
      <c r="P1120">
        <f t="shared" si="159"/>
        <v>862.07137499999988</v>
      </c>
      <c r="Q1120">
        <f t="shared" si="160"/>
        <v>879.65763104999985</v>
      </c>
      <c r="R1120">
        <f t="shared" si="161"/>
        <v>543.303</v>
      </c>
      <c r="S1120">
        <f t="shared" si="154"/>
        <v>5775.9</v>
      </c>
    </row>
    <row r="1121" spans="1:19" x14ac:dyDescent="0.25">
      <c r="A1121">
        <v>1251</v>
      </c>
      <c r="B1121">
        <v>1356</v>
      </c>
      <c r="C1121" t="s">
        <v>33</v>
      </c>
      <c r="D1121" t="s">
        <v>173</v>
      </c>
      <c r="E1121">
        <v>11</v>
      </c>
      <c r="F1121">
        <v>13.52</v>
      </c>
      <c r="G1121">
        <v>3.18</v>
      </c>
      <c r="H1121">
        <v>31.32</v>
      </c>
      <c r="I1121">
        <v>0.8</v>
      </c>
      <c r="J1121">
        <v>77.22</v>
      </c>
      <c r="K1121">
        <f t="shared" si="155"/>
        <v>849.42</v>
      </c>
      <c r="L1121">
        <f t="shared" si="156"/>
        <v>849.42</v>
      </c>
      <c r="M1121">
        <f t="shared" si="153"/>
        <v>472.92960000000005</v>
      </c>
      <c r="N1121">
        <f t="shared" si="157"/>
        <v>118.23240000000001</v>
      </c>
      <c r="O1121">
        <f t="shared" si="158"/>
        <v>472.92960000000005</v>
      </c>
      <c r="P1121">
        <f t="shared" si="159"/>
        <v>118.23240000000001</v>
      </c>
      <c r="Q1121">
        <f t="shared" si="160"/>
        <v>120.64434096000001</v>
      </c>
      <c r="R1121">
        <f t="shared" si="161"/>
        <v>275.61600000000004</v>
      </c>
      <c r="S1121">
        <f t="shared" si="154"/>
        <v>849.42</v>
      </c>
    </row>
    <row r="1122" spans="1:19" x14ac:dyDescent="0.25">
      <c r="A1122">
        <v>1252</v>
      </c>
      <c r="B1122">
        <v>1356</v>
      </c>
      <c r="C1122" t="s">
        <v>33</v>
      </c>
      <c r="D1122" t="s">
        <v>172</v>
      </c>
      <c r="E1122">
        <v>11</v>
      </c>
      <c r="F1122">
        <v>20.010000000000002</v>
      </c>
      <c r="G1122">
        <v>10.17</v>
      </c>
      <c r="H1122">
        <v>29.44</v>
      </c>
      <c r="I1122">
        <v>1.1100000000000001</v>
      </c>
      <c r="J1122">
        <v>341.6</v>
      </c>
      <c r="K1122">
        <f t="shared" si="155"/>
        <v>3757.6000000000004</v>
      </c>
      <c r="L1122">
        <f t="shared" si="156"/>
        <v>0</v>
      </c>
      <c r="M1122">
        <f t="shared" si="153"/>
        <v>0</v>
      </c>
      <c r="N1122">
        <f t="shared" si="157"/>
        <v>0</v>
      </c>
      <c r="O1122">
        <f t="shared" si="158"/>
        <v>2238.5187000000001</v>
      </c>
      <c r="P1122">
        <f t="shared" si="159"/>
        <v>559.62967500000002</v>
      </c>
      <c r="Q1122">
        <f t="shared" si="160"/>
        <v>571.04612037000004</v>
      </c>
      <c r="R1122">
        <f t="shared" si="161"/>
        <v>359.46240000000006</v>
      </c>
      <c r="S1122">
        <f t="shared" si="154"/>
        <v>3757.6000000000004</v>
      </c>
    </row>
    <row r="1123" spans="1:19" x14ac:dyDescent="0.25">
      <c r="A1123">
        <v>1253</v>
      </c>
      <c r="B1123">
        <v>1356</v>
      </c>
      <c r="C1123" t="s">
        <v>33</v>
      </c>
      <c r="D1123" t="s">
        <v>173</v>
      </c>
      <c r="E1123">
        <v>12</v>
      </c>
      <c r="F1123">
        <v>15.22</v>
      </c>
      <c r="G1123">
        <v>3.11</v>
      </c>
      <c r="H1123">
        <v>31.11</v>
      </c>
      <c r="I1123">
        <v>0.79</v>
      </c>
      <c r="J1123">
        <v>92.12</v>
      </c>
      <c r="K1123">
        <f t="shared" si="155"/>
        <v>1105.44</v>
      </c>
      <c r="L1123">
        <f t="shared" si="156"/>
        <v>1105.44</v>
      </c>
      <c r="M1123">
        <f t="shared" si="153"/>
        <v>568.0104</v>
      </c>
      <c r="N1123">
        <f t="shared" si="157"/>
        <v>142.0026</v>
      </c>
      <c r="O1123">
        <f t="shared" si="158"/>
        <v>568.0104</v>
      </c>
      <c r="P1123">
        <f t="shared" si="159"/>
        <v>142.0026</v>
      </c>
      <c r="Q1123">
        <f t="shared" si="160"/>
        <v>144.89945304</v>
      </c>
      <c r="R1123">
        <f t="shared" si="161"/>
        <v>294.9228</v>
      </c>
      <c r="S1123">
        <f t="shared" si="154"/>
        <v>1105.44</v>
      </c>
    </row>
    <row r="1124" spans="1:19" x14ac:dyDescent="0.25">
      <c r="A1124">
        <v>1254</v>
      </c>
      <c r="B1124">
        <v>1356</v>
      </c>
      <c r="C1124" t="s">
        <v>33</v>
      </c>
      <c r="D1124" t="s">
        <v>173</v>
      </c>
      <c r="E1124">
        <v>148</v>
      </c>
      <c r="F1124">
        <v>13.57</v>
      </c>
      <c r="G1124">
        <v>2.63</v>
      </c>
      <c r="H1124">
        <v>30.38</v>
      </c>
      <c r="I1124">
        <v>0.82</v>
      </c>
      <c r="J1124">
        <v>68.83</v>
      </c>
      <c r="K1124">
        <f t="shared" si="155"/>
        <v>10186.84</v>
      </c>
      <c r="L1124">
        <f t="shared" si="156"/>
        <v>10186.84</v>
      </c>
      <c r="M1124">
        <f t="shared" si="153"/>
        <v>5281.9868000000006</v>
      </c>
      <c r="N1124">
        <f t="shared" si="157"/>
        <v>1320.4967000000001</v>
      </c>
      <c r="O1124">
        <f t="shared" si="158"/>
        <v>5281.9868000000006</v>
      </c>
      <c r="P1124">
        <f t="shared" si="159"/>
        <v>1320.4967000000001</v>
      </c>
      <c r="Q1124">
        <f t="shared" si="160"/>
        <v>1347.4348326800002</v>
      </c>
      <c r="R1124">
        <f t="shared" si="161"/>
        <v>3686.9168</v>
      </c>
      <c r="S1124">
        <f t="shared" si="154"/>
        <v>10186.84</v>
      </c>
    </row>
    <row r="1125" spans="1:19" x14ac:dyDescent="0.25">
      <c r="A1125">
        <v>1255</v>
      </c>
      <c r="B1125">
        <v>1356</v>
      </c>
      <c r="C1125" t="s">
        <v>33</v>
      </c>
      <c r="D1125" t="s">
        <v>172</v>
      </c>
      <c r="E1125">
        <v>17</v>
      </c>
      <c r="F1125">
        <v>18.78</v>
      </c>
      <c r="G1125">
        <v>11.17</v>
      </c>
      <c r="H1125">
        <v>26.27</v>
      </c>
      <c r="I1125">
        <v>1.02</v>
      </c>
      <c r="J1125">
        <v>343.92</v>
      </c>
      <c r="K1125">
        <f t="shared" si="155"/>
        <v>5846.64</v>
      </c>
      <c r="L1125">
        <f t="shared" si="156"/>
        <v>0</v>
      </c>
      <c r="M1125">
        <f t="shared" si="153"/>
        <v>0</v>
      </c>
      <c r="N1125">
        <f t="shared" si="157"/>
        <v>0</v>
      </c>
      <c r="O1125">
        <f t="shared" si="158"/>
        <v>3566.1342</v>
      </c>
      <c r="P1125">
        <f t="shared" si="159"/>
        <v>891.53354999999999</v>
      </c>
      <c r="Q1125">
        <f t="shared" si="160"/>
        <v>909.72083441999996</v>
      </c>
      <c r="R1125">
        <f t="shared" si="161"/>
        <v>455.52179999999998</v>
      </c>
      <c r="S1125">
        <f t="shared" si="154"/>
        <v>5846.64</v>
      </c>
    </row>
    <row r="1126" spans="1:19" x14ac:dyDescent="0.25">
      <c r="A1126">
        <v>1256</v>
      </c>
      <c r="B1126">
        <v>1356</v>
      </c>
      <c r="C1126" t="s">
        <v>33</v>
      </c>
      <c r="D1126" t="s">
        <v>172</v>
      </c>
      <c r="E1126">
        <v>15</v>
      </c>
      <c r="F1126">
        <v>18.82</v>
      </c>
      <c r="G1126">
        <v>11.64</v>
      </c>
      <c r="H1126">
        <v>30.35</v>
      </c>
      <c r="I1126">
        <v>1</v>
      </c>
      <c r="J1126">
        <v>361.97</v>
      </c>
      <c r="K1126">
        <f t="shared" si="155"/>
        <v>5429.55</v>
      </c>
      <c r="L1126">
        <f t="shared" si="156"/>
        <v>0</v>
      </c>
      <c r="M1126">
        <f t="shared" si="153"/>
        <v>0</v>
      </c>
      <c r="N1126">
        <f t="shared" si="157"/>
        <v>0</v>
      </c>
      <c r="O1126">
        <f t="shared" si="158"/>
        <v>3285.9720000000007</v>
      </c>
      <c r="P1126">
        <f t="shared" si="159"/>
        <v>821.49300000000017</v>
      </c>
      <c r="Q1126">
        <f t="shared" si="160"/>
        <v>838.25145720000012</v>
      </c>
      <c r="R1126">
        <f t="shared" si="161"/>
        <v>455.25</v>
      </c>
      <c r="S1126">
        <f t="shared" si="154"/>
        <v>5429.55</v>
      </c>
    </row>
    <row r="1127" spans="1:19" x14ac:dyDescent="0.25">
      <c r="A1127">
        <v>1257</v>
      </c>
      <c r="B1127">
        <v>1356</v>
      </c>
      <c r="C1127" t="s">
        <v>33</v>
      </c>
      <c r="D1127" t="s">
        <v>173</v>
      </c>
      <c r="E1127">
        <v>23</v>
      </c>
      <c r="F1127">
        <v>14.62</v>
      </c>
      <c r="G1127">
        <v>2.88</v>
      </c>
      <c r="H1127">
        <v>27.19</v>
      </c>
      <c r="I1127">
        <v>0.83</v>
      </c>
      <c r="J1127">
        <v>82.72</v>
      </c>
      <c r="K1127">
        <f t="shared" si="155"/>
        <v>1902.56</v>
      </c>
      <c r="L1127">
        <f t="shared" si="156"/>
        <v>1902.56</v>
      </c>
      <c r="M1127">
        <f t="shared" si="153"/>
        <v>968.42879999999991</v>
      </c>
      <c r="N1127">
        <f t="shared" si="157"/>
        <v>242.10719999999998</v>
      </c>
      <c r="O1127">
        <f t="shared" si="158"/>
        <v>968.42879999999991</v>
      </c>
      <c r="P1127">
        <f t="shared" si="159"/>
        <v>242.10719999999998</v>
      </c>
      <c r="Q1127">
        <f t="shared" si="160"/>
        <v>247.04618687999996</v>
      </c>
      <c r="R1127">
        <f t="shared" si="161"/>
        <v>519.05709999999999</v>
      </c>
      <c r="S1127">
        <f t="shared" si="154"/>
        <v>1902.56</v>
      </c>
    </row>
    <row r="1128" spans="1:19" x14ac:dyDescent="0.25">
      <c r="A1128">
        <v>1258</v>
      </c>
      <c r="B1128">
        <v>1356</v>
      </c>
      <c r="C1128" t="s">
        <v>33</v>
      </c>
      <c r="D1128" t="s">
        <v>173</v>
      </c>
      <c r="E1128">
        <v>21</v>
      </c>
      <c r="F1128">
        <v>15.82</v>
      </c>
      <c r="G1128">
        <v>3</v>
      </c>
      <c r="H1128">
        <v>28.26</v>
      </c>
      <c r="I1128">
        <v>0.78</v>
      </c>
      <c r="J1128">
        <v>89.5</v>
      </c>
      <c r="K1128">
        <f t="shared" si="155"/>
        <v>1879.5</v>
      </c>
      <c r="L1128">
        <f t="shared" si="156"/>
        <v>1879.5</v>
      </c>
      <c r="M1128">
        <f t="shared" si="153"/>
        <v>996.66</v>
      </c>
      <c r="N1128">
        <f t="shared" si="157"/>
        <v>249.16499999999999</v>
      </c>
      <c r="O1128">
        <f t="shared" si="158"/>
        <v>996.66</v>
      </c>
      <c r="P1128">
        <f t="shared" si="159"/>
        <v>249.16499999999999</v>
      </c>
      <c r="Q1128">
        <f t="shared" si="160"/>
        <v>254.24796599999999</v>
      </c>
      <c r="R1128">
        <f t="shared" si="161"/>
        <v>462.89879999999999</v>
      </c>
      <c r="S1128">
        <f t="shared" si="154"/>
        <v>1879.5</v>
      </c>
    </row>
    <row r="1129" spans="1:19" x14ac:dyDescent="0.25">
      <c r="A1129">
        <v>1259</v>
      </c>
      <c r="B1129">
        <v>1356</v>
      </c>
      <c r="C1129" t="s">
        <v>33</v>
      </c>
      <c r="D1129" t="s">
        <v>172</v>
      </c>
      <c r="E1129">
        <v>12</v>
      </c>
      <c r="F1129">
        <v>18.87</v>
      </c>
      <c r="G1129">
        <v>11.35</v>
      </c>
      <c r="H1129">
        <v>31.19</v>
      </c>
      <c r="I1129">
        <v>1.02</v>
      </c>
      <c r="J1129">
        <v>356.44</v>
      </c>
      <c r="K1129">
        <f t="shared" si="155"/>
        <v>4277.28</v>
      </c>
      <c r="L1129">
        <f t="shared" si="156"/>
        <v>0</v>
      </c>
      <c r="M1129">
        <f t="shared" si="153"/>
        <v>0</v>
      </c>
      <c r="N1129">
        <f t="shared" si="157"/>
        <v>0</v>
      </c>
      <c r="O1129">
        <f t="shared" si="158"/>
        <v>2570.0940000000001</v>
      </c>
      <c r="P1129">
        <f t="shared" si="159"/>
        <v>642.52350000000001</v>
      </c>
      <c r="Q1129">
        <f t="shared" si="160"/>
        <v>655.6309794</v>
      </c>
      <c r="R1129">
        <f t="shared" si="161"/>
        <v>381.76560000000001</v>
      </c>
      <c r="S1129">
        <f t="shared" si="154"/>
        <v>4277.28</v>
      </c>
    </row>
    <row r="1130" spans="1:19" x14ac:dyDescent="0.25">
      <c r="A1130">
        <v>1260</v>
      </c>
      <c r="B1130">
        <v>1356</v>
      </c>
      <c r="C1130" t="s">
        <v>33</v>
      </c>
      <c r="D1130" t="s">
        <v>172</v>
      </c>
      <c r="E1130">
        <v>17</v>
      </c>
      <c r="F1130">
        <v>20.73</v>
      </c>
      <c r="G1130">
        <v>10.46</v>
      </c>
      <c r="H1130">
        <v>31.4</v>
      </c>
      <c r="I1130">
        <v>1.1100000000000001</v>
      </c>
      <c r="J1130">
        <v>364.02</v>
      </c>
      <c r="K1130">
        <f t="shared" si="155"/>
        <v>6188.34</v>
      </c>
      <c r="L1130">
        <f t="shared" si="156"/>
        <v>0</v>
      </c>
      <c r="M1130">
        <f t="shared" si="153"/>
        <v>0</v>
      </c>
      <c r="N1130">
        <f t="shared" si="157"/>
        <v>0</v>
      </c>
      <c r="O1130">
        <f t="shared" si="158"/>
        <v>3686.2086000000004</v>
      </c>
      <c r="P1130">
        <f t="shared" si="159"/>
        <v>921.5521500000001</v>
      </c>
      <c r="Q1130">
        <f t="shared" si="160"/>
        <v>940.35181386000011</v>
      </c>
      <c r="R1130">
        <f t="shared" si="161"/>
        <v>592.51800000000003</v>
      </c>
      <c r="S1130">
        <f t="shared" si="154"/>
        <v>6188.34</v>
      </c>
    </row>
    <row r="1131" spans="1:19" x14ac:dyDescent="0.25">
      <c r="A1131">
        <v>1261</v>
      </c>
      <c r="B1131">
        <v>1356</v>
      </c>
      <c r="C1131" t="s">
        <v>33</v>
      </c>
      <c r="D1131" t="s">
        <v>173</v>
      </c>
      <c r="E1131">
        <v>36</v>
      </c>
      <c r="F1131">
        <v>14.67</v>
      </c>
      <c r="G1131">
        <v>2.42</v>
      </c>
      <c r="H1131">
        <v>26.5</v>
      </c>
      <c r="I1131">
        <v>0.81</v>
      </c>
      <c r="J1131">
        <v>72.430000000000007</v>
      </c>
      <c r="K1131">
        <f t="shared" si="155"/>
        <v>2607.4800000000005</v>
      </c>
      <c r="L1131">
        <f t="shared" si="156"/>
        <v>2607.4800000000005</v>
      </c>
      <c r="M1131">
        <f t="shared" si="153"/>
        <v>1278.0504000000001</v>
      </c>
      <c r="N1131">
        <f t="shared" si="157"/>
        <v>319.51260000000002</v>
      </c>
      <c r="O1131">
        <f t="shared" si="158"/>
        <v>1278.0504000000001</v>
      </c>
      <c r="P1131">
        <f t="shared" si="159"/>
        <v>319.51260000000002</v>
      </c>
      <c r="Q1131">
        <f t="shared" si="160"/>
        <v>326.03065703999999</v>
      </c>
      <c r="R1131">
        <f t="shared" si="161"/>
        <v>772.74000000000012</v>
      </c>
      <c r="S1131">
        <f t="shared" si="154"/>
        <v>2607.4800000000005</v>
      </c>
    </row>
    <row r="1132" spans="1:19" x14ac:dyDescent="0.25">
      <c r="A1132">
        <v>1262</v>
      </c>
      <c r="B1132">
        <v>1356</v>
      </c>
      <c r="C1132" t="s">
        <v>33</v>
      </c>
      <c r="D1132" t="s">
        <v>172</v>
      </c>
      <c r="E1132">
        <v>17</v>
      </c>
      <c r="F1132">
        <v>18.86</v>
      </c>
      <c r="G1132">
        <v>12.23</v>
      </c>
      <c r="H1132">
        <v>30.2</v>
      </c>
      <c r="I1132">
        <v>0.99</v>
      </c>
      <c r="J1132">
        <v>378.68</v>
      </c>
      <c r="K1132">
        <f t="shared" si="155"/>
        <v>6437.56</v>
      </c>
      <c r="L1132">
        <f t="shared" si="156"/>
        <v>0</v>
      </c>
      <c r="M1132">
        <f t="shared" si="153"/>
        <v>0</v>
      </c>
      <c r="N1132">
        <f t="shared" si="157"/>
        <v>0</v>
      </c>
      <c r="O1132">
        <f t="shared" si="158"/>
        <v>3921.1825999999996</v>
      </c>
      <c r="P1132">
        <f t="shared" si="159"/>
        <v>980.29564999999991</v>
      </c>
      <c r="Q1132">
        <f t="shared" si="160"/>
        <v>1000.2936812599999</v>
      </c>
      <c r="R1132">
        <f t="shared" si="161"/>
        <v>508.26599999999996</v>
      </c>
      <c r="S1132">
        <f t="shared" si="154"/>
        <v>6437.56</v>
      </c>
    </row>
    <row r="1133" spans="1:19" x14ac:dyDescent="0.25">
      <c r="A1133">
        <v>1263</v>
      </c>
      <c r="B1133">
        <v>1356</v>
      </c>
      <c r="C1133" t="s">
        <v>33</v>
      </c>
      <c r="D1133" t="s">
        <v>173</v>
      </c>
      <c r="E1133">
        <v>13</v>
      </c>
      <c r="F1133">
        <v>16.309999999999999</v>
      </c>
      <c r="G1133">
        <v>2.92</v>
      </c>
      <c r="H1133">
        <v>33.6</v>
      </c>
      <c r="I1133">
        <v>0.79</v>
      </c>
      <c r="J1133">
        <v>94.68</v>
      </c>
      <c r="K1133">
        <f t="shared" si="155"/>
        <v>1230.8400000000001</v>
      </c>
      <c r="L1133">
        <f t="shared" si="156"/>
        <v>1230.8400000000001</v>
      </c>
      <c r="M1133">
        <f t="shared" si="153"/>
        <v>619.12759999999992</v>
      </c>
      <c r="N1133">
        <f t="shared" si="157"/>
        <v>154.78189999999998</v>
      </c>
      <c r="O1133">
        <f t="shared" si="158"/>
        <v>619.12759999999992</v>
      </c>
      <c r="P1133">
        <f t="shared" si="159"/>
        <v>154.78189999999998</v>
      </c>
      <c r="Q1133">
        <f t="shared" si="160"/>
        <v>157.93945075999997</v>
      </c>
      <c r="R1133">
        <f t="shared" si="161"/>
        <v>345.072</v>
      </c>
      <c r="S1133">
        <f t="shared" si="154"/>
        <v>1230.8400000000001</v>
      </c>
    </row>
    <row r="1134" spans="1:19" x14ac:dyDescent="0.25">
      <c r="A1134">
        <v>1264</v>
      </c>
      <c r="B1134">
        <v>1356</v>
      </c>
      <c r="C1134" t="s">
        <v>33</v>
      </c>
      <c r="D1134" t="s">
        <v>173</v>
      </c>
      <c r="E1134">
        <v>18</v>
      </c>
      <c r="F1134">
        <v>15.17</v>
      </c>
      <c r="G1134">
        <v>3.1</v>
      </c>
      <c r="H1134">
        <v>29.67</v>
      </c>
      <c r="I1134">
        <v>0.83</v>
      </c>
      <c r="J1134">
        <v>91.75</v>
      </c>
      <c r="K1134">
        <f t="shared" si="155"/>
        <v>1651.5</v>
      </c>
      <c r="L1134">
        <f t="shared" si="156"/>
        <v>1651.5</v>
      </c>
      <c r="M1134">
        <f t="shared" si="153"/>
        <v>846.4860000000001</v>
      </c>
      <c r="N1134">
        <f t="shared" si="157"/>
        <v>211.62150000000003</v>
      </c>
      <c r="O1134">
        <f t="shared" si="158"/>
        <v>846.4860000000001</v>
      </c>
      <c r="P1134">
        <f t="shared" si="159"/>
        <v>211.62150000000003</v>
      </c>
      <c r="Q1134">
        <f t="shared" si="160"/>
        <v>215.93857860000003</v>
      </c>
      <c r="R1134">
        <f t="shared" si="161"/>
        <v>443.26980000000003</v>
      </c>
      <c r="S1134">
        <f t="shared" si="154"/>
        <v>1651.5</v>
      </c>
    </row>
    <row r="1135" spans="1:19" x14ac:dyDescent="0.25">
      <c r="A1135">
        <v>1265</v>
      </c>
      <c r="B1135">
        <v>1356</v>
      </c>
      <c r="C1135" t="s">
        <v>33</v>
      </c>
      <c r="D1135" t="s">
        <v>173</v>
      </c>
      <c r="E1135">
        <v>18</v>
      </c>
      <c r="F1135">
        <v>14.2</v>
      </c>
      <c r="G1135">
        <v>2.67</v>
      </c>
      <c r="H1135">
        <v>32.11</v>
      </c>
      <c r="I1135">
        <v>0.81</v>
      </c>
      <c r="J1135">
        <v>80.739999999999995</v>
      </c>
      <c r="K1135">
        <f t="shared" si="155"/>
        <v>1453.32</v>
      </c>
      <c r="L1135">
        <f t="shared" si="156"/>
        <v>1453.32</v>
      </c>
      <c r="M1135">
        <f t="shared" si="153"/>
        <v>682.452</v>
      </c>
      <c r="N1135">
        <f t="shared" si="157"/>
        <v>170.613</v>
      </c>
      <c r="O1135">
        <f t="shared" si="158"/>
        <v>682.452</v>
      </c>
      <c r="P1135">
        <f t="shared" si="159"/>
        <v>170.613</v>
      </c>
      <c r="Q1135">
        <f t="shared" si="160"/>
        <v>174.09350519999998</v>
      </c>
      <c r="R1135">
        <f t="shared" si="161"/>
        <v>468.16380000000004</v>
      </c>
      <c r="S1135">
        <f t="shared" si="154"/>
        <v>1453.32</v>
      </c>
    </row>
    <row r="1136" spans="1:19" x14ac:dyDescent="0.25">
      <c r="A1136">
        <v>1266</v>
      </c>
      <c r="B1136">
        <v>1356</v>
      </c>
      <c r="C1136" t="s">
        <v>33</v>
      </c>
      <c r="D1136" t="s">
        <v>172</v>
      </c>
      <c r="E1136">
        <v>17</v>
      </c>
      <c r="F1136">
        <v>19.43</v>
      </c>
      <c r="G1136">
        <v>10.25</v>
      </c>
      <c r="H1136">
        <v>34.76</v>
      </c>
      <c r="I1136">
        <v>1.1299999999999999</v>
      </c>
      <c r="J1136">
        <v>342.99</v>
      </c>
      <c r="K1136">
        <f t="shared" si="155"/>
        <v>5830.83</v>
      </c>
      <c r="L1136">
        <f t="shared" si="156"/>
        <v>0</v>
      </c>
      <c r="M1136">
        <f t="shared" si="153"/>
        <v>0</v>
      </c>
      <c r="N1136">
        <f t="shared" si="157"/>
        <v>0</v>
      </c>
      <c r="O1136">
        <f t="shared" si="158"/>
        <v>3385.6774999999998</v>
      </c>
      <c r="P1136">
        <f t="shared" si="159"/>
        <v>846.41937499999995</v>
      </c>
      <c r="Q1136">
        <f t="shared" si="160"/>
        <v>863.68633024999997</v>
      </c>
      <c r="R1136">
        <f t="shared" si="161"/>
        <v>667.73959999999988</v>
      </c>
      <c r="S1136">
        <f t="shared" si="154"/>
        <v>5830.83</v>
      </c>
    </row>
    <row r="1137" spans="1:19" x14ac:dyDescent="0.25">
      <c r="A1137">
        <v>1267</v>
      </c>
      <c r="B1137">
        <v>1356</v>
      </c>
      <c r="C1137" t="s">
        <v>33</v>
      </c>
      <c r="D1137" t="s">
        <v>172</v>
      </c>
      <c r="E1137">
        <v>12</v>
      </c>
      <c r="F1137">
        <v>18.559999999999999</v>
      </c>
      <c r="G1137">
        <v>11.27</v>
      </c>
      <c r="H1137">
        <v>28.81</v>
      </c>
      <c r="I1137">
        <v>0.95</v>
      </c>
      <c r="J1137">
        <v>343.71</v>
      </c>
      <c r="K1137">
        <f t="shared" si="155"/>
        <v>4124.5199999999995</v>
      </c>
      <c r="L1137">
        <f t="shared" si="156"/>
        <v>0</v>
      </c>
      <c r="M1137">
        <f t="shared" si="153"/>
        <v>0</v>
      </c>
      <c r="N1137">
        <f t="shared" si="157"/>
        <v>0</v>
      </c>
      <c r="O1137">
        <f t="shared" si="158"/>
        <v>2510.0544</v>
      </c>
      <c r="P1137">
        <f t="shared" si="159"/>
        <v>627.5136</v>
      </c>
      <c r="Q1137">
        <f t="shared" si="160"/>
        <v>640.31487744000003</v>
      </c>
      <c r="R1137">
        <f t="shared" si="161"/>
        <v>328.43399999999997</v>
      </c>
      <c r="S1137">
        <f t="shared" si="154"/>
        <v>4124.5199999999995</v>
      </c>
    </row>
    <row r="1138" spans="1:19" x14ac:dyDescent="0.25">
      <c r="A1138">
        <v>1268</v>
      </c>
      <c r="B1138">
        <v>1356</v>
      </c>
      <c r="C1138" t="s">
        <v>33</v>
      </c>
      <c r="D1138" t="s">
        <v>172</v>
      </c>
      <c r="E1138">
        <v>36</v>
      </c>
      <c r="F1138">
        <v>20.34</v>
      </c>
      <c r="G1138">
        <v>10.88</v>
      </c>
      <c r="H1138">
        <v>32.78</v>
      </c>
      <c r="I1138">
        <v>1.1000000000000001</v>
      </c>
      <c r="J1138">
        <v>372.09</v>
      </c>
      <c r="K1138">
        <f t="shared" si="155"/>
        <v>13395.24</v>
      </c>
      <c r="L1138">
        <f t="shared" si="156"/>
        <v>0</v>
      </c>
      <c r="M1138">
        <f t="shared" si="153"/>
        <v>0</v>
      </c>
      <c r="N1138">
        <f t="shared" si="157"/>
        <v>0</v>
      </c>
      <c r="O1138">
        <f t="shared" si="158"/>
        <v>7966.7712000000001</v>
      </c>
      <c r="P1138">
        <f t="shared" si="159"/>
        <v>1991.6928</v>
      </c>
      <c r="Q1138">
        <f t="shared" si="160"/>
        <v>2032.3233331199999</v>
      </c>
      <c r="R1138">
        <f t="shared" si="161"/>
        <v>1298.0880000000002</v>
      </c>
      <c r="S1138">
        <f t="shared" si="154"/>
        <v>13395.24</v>
      </c>
    </row>
    <row r="1139" spans="1:19" x14ac:dyDescent="0.25">
      <c r="A1139">
        <v>1269</v>
      </c>
      <c r="B1139">
        <v>1356</v>
      </c>
      <c r="C1139" t="s">
        <v>33</v>
      </c>
      <c r="D1139" t="s">
        <v>172</v>
      </c>
      <c r="E1139">
        <v>15</v>
      </c>
      <c r="F1139">
        <v>19.39</v>
      </c>
      <c r="G1139">
        <v>10.26</v>
      </c>
      <c r="H1139">
        <v>34.19</v>
      </c>
      <c r="I1139">
        <v>0.99</v>
      </c>
      <c r="J1139">
        <v>336.2</v>
      </c>
      <c r="K1139">
        <f t="shared" si="155"/>
        <v>5043</v>
      </c>
      <c r="L1139">
        <f t="shared" si="156"/>
        <v>0</v>
      </c>
      <c r="M1139">
        <f t="shared" si="153"/>
        <v>0</v>
      </c>
      <c r="N1139">
        <f t="shared" si="157"/>
        <v>0</v>
      </c>
      <c r="O1139">
        <f t="shared" si="158"/>
        <v>2984.1210000000001</v>
      </c>
      <c r="P1139">
        <f t="shared" si="159"/>
        <v>746.03025000000002</v>
      </c>
      <c r="Q1139">
        <f t="shared" si="160"/>
        <v>761.2492671</v>
      </c>
      <c r="R1139">
        <f t="shared" si="161"/>
        <v>507.72149999999993</v>
      </c>
      <c r="S1139">
        <f t="shared" si="154"/>
        <v>5043</v>
      </c>
    </row>
    <row r="1140" spans="1:19" x14ac:dyDescent="0.25">
      <c r="A1140">
        <v>1270</v>
      </c>
      <c r="B1140">
        <v>1356</v>
      </c>
      <c r="C1140" t="s">
        <v>33</v>
      </c>
      <c r="D1140" t="s">
        <v>173</v>
      </c>
      <c r="E1140">
        <v>9</v>
      </c>
      <c r="F1140">
        <v>14.52</v>
      </c>
      <c r="G1140">
        <v>2.75</v>
      </c>
      <c r="H1140">
        <v>27.88</v>
      </c>
      <c r="I1140">
        <v>0.82</v>
      </c>
      <c r="J1140">
        <v>80.05</v>
      </c>
      <c r="K1140">
        <f t="shared" si="155"/>
        <v>720.44999999999993</v>
      </c>
      <c r="L1140">
        <f t="shared" si="156"/>
        <v>720.44999999999993</v>
      </c>
      <c r="M1140">
        <f t="shared" si="153"/>
        <v>359.37</v>
      </c>
      <c r="N1140">
        <f t="shared" si="157"/>
        <v>89.842500000000001</v>
      </c>
      <c r="O1140">
        <f t="shared" si="158"/>
        <v>359.37</v>
      </c>
      <c r="P1140">
        <f t="shared" si="159"/>
        <v>89.842500000000001</v>
      </c>
      <c r="Q1140">
        <f t="shared" si="160"/>
        <v>91.675286999999997</v>
      </c>
      <c r="R1140">
        <f t="shared" si="161"/>
        <v>205.75439999999998</v>
      </c>
      <c r="S1140">
        <f t="shared" si="154"/>
        <v>720.44999999999993</v>
      </c>
    </row>
    <row r="1141" spans="1:19" x14ac:dyDescent="0.25">
      <c r="A1141">
        <v>1271</v>
      </c>
      <c r="B1141">
        <v>1356</v>
      </c>
      <c r="C1141" t="s">
        <v>33</v>
      </c>
      <c r="D1141" t="s">
        <v>172</v>
      </c>
      <c r="E1141">
        <v>8</v>
      </c>
      <c r="F1141">
        <v>21.62</v>
      </c>
      <c r="G1141">
        <v>12.14</v>
      </c>
      <c r="H1141">
        <v>26.93</v>
      </c>
      <c r="I1141">
        <v>1.2</v>
      </c>
      <c r="J1141">
        <v>428.88</v>
      </c>
      <c r="K1141">
        <f t="shared" si="155"/>
        <v>3431.04</v>
      </c>
      <c r="L1141">
        <f t="shared" si="156"/>
        <v>0</v>
      </c>
      <c r="M1141">
        <f t="shared" si="153"/>
        <v>0</v>
      </c>
      <c r="N1141">
        <f t="shared" si="157"/>
        <v>0</v>
      </c>
      <c r="O1141">
        <f t="shared" si="158"/>
        <v>2099.7344000000003</v>
      </c>
      <c r="P1141">
        <f t="shared" si="159"/>
        <v>524.93360000000007</v>
      </c>
      <c r="Q1141">
        <f t="shared" si="160"/>
        <v>535.64224544000001</v>
      </c>
      <c r="R1141">
        <f t="shared" si="161"/>
        <v>258.52799999999996</v>
      </c>
      <c r="S1141">
        <f t="shared" si="154"/>
        <v>3431.04</v>
      </c>
    </row>
    <row r="1142" spans="1:19" x14ac:dyDescent="0.25">
      <c r="A1142">
        <v>1272</v>
      </c>
      <c r="B1142">
        <v>1356</v>
      </c>
      <c r="C1142" t="s">
        <v>33</v>
      </c>
      <c r="D1142" t="s">
        <v>172</v>
      </c>
      <c r="E1142">
        <v>13</v>
      </c>
      <c r="F1142">
        <v>19.46</v>
      </c>
      <c r="G1142">
        <v>11.25</v>
      </c>
      <c r="H1142">
        <v>33.78</v>
      </c>
      <c r="I1142">
        <v>1.08</v>
      </c>
      <c r="J1142">
        <v>369.06</v>
      </c>
      <c r="K1142">
        <f t="shared" si="155"/>
        <v>4797.78</v>
      </c>
      <c r="L1142">
        <f t="shared" si="156"/>
        <v>0</v>
      </c>
      <c r="M1142">
        <f t="shared" si="153"/>
        <v>0</v>
      </c>
      <c r="N1142">
        <f t="shared" si="157"/>
        <v>0</v>
      </c>
      <c r="O1142">
        <f t="shared" si="158"/>
        <v>2846.0250000000001</v>
      </c>
      <c r="P1142">
        <f t="shared" si="159"/>
        <v>711.50625000000002</v>
      </c>
      <c r="Q1142">
        <f t="shared" si="160"/>
        <v>726.02097749999996</v>
      </c>
      <c r="R1142">
        <f t="shared" si="161"/>
        <v>474.27120000000002</v>
      </c>
      <c r="S1142">
        <f t="shared" si="154"/>
        <v>4797.78</v>
      </c>
    </row>
    <row r="1143" spans="1:19" x14ac:dyDescent="0.25">
      <c r="A1143">
        <v>1273</v>
      </c>
      <c r="B1143">
        <v>1356</v>
      </c>
      <c r="C1143" t="s">
        <v>33</v>
      </c>
      <c r="D1143" t="s">
        <v>172</v>
      </c>
      <c r="E1143">
        <v>27</v>
      </c>
      <c r="F1143">
        <v>18.899999999999999</v>
      </c>
      <c r="G1143">
        <v>8.92</v>
      </c>
      <c r="H1143">
        <v>27.46</v>
      </c>
      <c r="I1143">
        <v>0.96</v>
      </c>
      <c r="J1143">
        <v>282.14999999999998</v>
      </c>
      <c r="K1143">
        <f t="shared" si="155"/>
        <v>7618.0499999999993</v>
      </c>
      <c r="L1143">
        <f t="shared" si="156"/>
        <v>0</v>
      </c>
      <c r="M1143">
        <f t="shared" si="153"/>
        <v>0</v>
      </c>
      <c r="N1143">
        <f t="shared" si="157"/>
        <v>0</v>
      </c>
      <c r="O1143">
        <f t="shared" si="158"/>
        <v>4551.8759999999993</v>
      </c>
      <c r="P1143">
        <f t="shared" si="159"/>
        <v>1137.9689999999998</v>
      </c>
      <c r="Q1143">
        <f t="shared" si="160"/>
        <v>1161.1835675999998</v>
      </c>
      <c r="R1143">
        <f t="shared" si="161"/>
        <v>711.76319999999998</v>
      </c>
      <c r="S1143">
        <f t="shared" si="154"/>
        <v>7618.0499999999993</v>
      </c>
    </row>
    <row r="1144" spans="1:19" x14ac:dyDescent="0.25">
      <c r="A1144">
        <v>1274</v>
      </c>
      <c r="B1144">
        <v>1356</v>
      </c>
      <c r="C1144" t="s">
        <v>33</v>
      </c>
      <c r="D1144" t="s">
        <v>172</v>
      </c>
      <c r="E1144">
        <v>15</v>
      </c>
      <c r="F1144">
        <v>21</v>
      </c>
      <c r="G1144">
        <v>11.38</v>
      </c>
      <c r="H1144">
        <v>31.47</v>
      </c>
      <c r="I1144">
        <v>0.92</v>
      </c>
      <c r="J1144">
        <v>389.94</v>
      </c>
      <c r="K1144">
        <f t="shared" si="155"/>
        <v>5849.1</v>
      </c>
      <c r="L1144">
        <f t="shared" si="156"/>
        <v>0</v>
      </c>
      <c r="M1144">
        <f t="shared" si="153"/>
        <v>0</v>
      </c>
      <c r="N1144">
        <f t="shared" si="157"/>
        <v>0</v>
      </c>
      <c r="O1144">
        <f t="shared" si="158"/>
        <v>3584.7000000000003</v>
      </c>
      <c r="P1144">
        <f t="shared" si="159"/>
        <v>896.17500000000007</v>
      </c>
      <c r="Q1144">
        <f t="shared" si="160"/>
        <v>914.45697000000007</v>
      </c>
      <c r="R1144">
        <f t="shared" si="161"/>
        <v>434.286</v>
      </c>
      <c r="S1144">
        <f t="shared" si="154"/>
        <v>5849.1</v>
      </c>
    </row>
    <row r="1145" spans="1:19" x14ac:dyDescent="0.25">
      <c r="A1145">
        <v>1275</v>
      </c>
      <c r="B1145">
        <v>1356</v>
      </c>
      <c r="C1145" t="s">
        <v>33</v>
      </c>
      <c r="D1145" t="s">
        <v>173</v>
      </c>
      <c r="E1145">
        <v>12</v>
      </c>
      <c r="F1145">
        <v>16.010000000000002</v>
      </c>
      <c r="G1145">
        <v>2.62</v>
      </c>
      <c r="H1145">
        <v>25.19</v>
      </c>
      <c r="I1145">
        <v>0.81</v>
      </c>
      <c r="J1145">
        <v>80.12</v>
      </c>
      <c r="K1145">
        <f t="shared" si="155"/>
        <v>961.44</v>
      </c>
      <c r="L1145">
        <f t="shared" si="156"/>
        <v>961.44</v>
      </c>
      <c r="M1145">
        <f t="shared" si="153"/>
        <v>503.35440000000006</v>
      </c>
      <c r="N1145">
        <f t="shared" si="157"/>
        <v>125.83860000000001</v>
      </c>
      <c r="O1145">
        <f t="shared" si="158"/>
        <v>503.35440000000006</v>
      </c>
      <c r="P1145">
        <f t="shared" si="159"/>
        <v>125.83860000000001</v>
      </c>
      <c r="Q1145">
        <f t="shared" si="160"/>
        <v>128.40570744000001</v>
      </c>
      <c r="R1145">
        <f t="shared" si="161"/>
        <v>244.84680000000003</v>
      </c>
      <c r="S1145">
        <f t="shared" si="154"/>
        <v>961.44</v>
      </c>
    </row>
    <row r="1146" spans="1:19" x14ac:dyDescent="0.25">
      <c r="A1146">
        <v>1276</v>
      </c>
      <c r="B1146">
        <v>1356</v>
      </c>
      <c r="C1146" t="s">
        <v>33</v>
      </c>
      <c r="D1146" t="s">
        <v>173</v>
      </c>
      <c r="E1146">
        <v>15</v>
      </c>
      <c r="F1146">
        <v>14.86</v>
      </c>
      <c r="G1146">
        <v>2.8</v>
      </c>
      <c r="H1146">
        <v>31.87</v>
      </c>
      <c r="I1146">
        <v>0.82</v>
      </c>
      <c r="J1146">
        <v>85.96</v>
      </c>
      <c r="K1146">
        <f t="shared" si="155"/>
        <v>1289.3999999999999</v>
      </c>
      <c r="L1146">
        <f t="shared" si="156"/>
        <v>1289.3999999999999</v>
      </c>
      <c r="M1146">
        <f t="shared" si="153"/>
        <v>624.12</v>
      </c>
      <c r="N1146">
        <f t="shared" si="157"/>
        <v>156.03</v>
      </c>
      <c r="O1146">
        <f t="shared" si="158"/>
        <v>624.12</v>
      </c>
      <c r="P1146">
        <f t="shared" si="159"/>
        <v>156.03</v>
      </c>
      <c r="Q1146">
        <f t="shared" si="160"/>
        <v>159.21301199999999</v>
      </c>
      <c r="R1146">
        <f t="shared" si="161"/>
        <v>392.00099999999998</v>
      </c>
      <c r="S1146">
        <f t="shared" si="154"/>
        <v>1289.3999999999999</v>
      </c>
    </row>
    <row r="1147" spans="1:19" x14ac:dyDescent="0.25">
      <c r="A1147">
        <v>1277</v>
      </c>
      <c r="B1147">
        <v>1356</v>
      </c>
      <c r="C1147" t="s">
        <v>33</v>
      </c>
      <c r="D1147" t="s">
        <v>173</v>
      </c>
      <c r="E1147">
        <v>16</v>
      </c>
      <c r="F1147">
        <v>14.42</v>
      </c>
      <c r="G1147">
        <v>3.03</v>
      </c>
      <c r="H1147">
        <v>31.12</v>
      </c>
      <c r="I1147">
        <v>0.79</v>
      </c>
      <c r="J1147">
        <v>87.12</v>
      </c>
      <c r="K1147">
        <f t="shared" si="155"/>
        <v>1393.92</v>
      </c>
      <c r="L1147">
        <f t="shared" si="156"/>
        <v>1393.92</v>
      </c>
      <c r="M1147">
        <f t="shared" si="153"/>
        <v>699.08159999999998</v>
      </c>
      <c r="N1147">
        <f t="shared" si="157"/>
        <v>174.7704</v>
      </c>
      <c r="O1147">
        <f t="shared" si="158"/>
        <v>699.08159999999998</v>
      </c>
      <c r="P1147">
        <f t="shared" si="159"/>
        <v>174.7704</v>
      </c>
      <c r="Q1147">
        <f t="shared" si="160"/>
        <v>178.33571616</v>
      </c>
      <c r="R1147">
        <f t="shared" si="161"/>
        <v>393.35680000000002</v>
      </c>
      <c r="S1147">
        <f t="shared" si="154"/>
        <v>1393.92</v>
      </c>
    </row>
    <row r="1148" spans="1:19" x14ac:dyDescent="0.25">
      <c r="A1148">
        <v>1278</v>
      </c>
      <c r="B1148">
        <v>1356</v>
      </c>
      <c r="C1148" t="s">
        <v>33</v>
      </c>
      <c r="D1148" t="s">
        <v>172</v>
      </c>
      <c r="E1148">
        <v>19</v>
      </c>
      <c r="F1148">
        <v>18.489999999999998</v>
      </c>
      <c r="G1148">
        <v>11.64</v>
      </c>
      <c r="H1148">
        <v>32.11</v>
      </c>
      <c r="I1148">
        <v>1.04</v>
      </c>
      <c r="J1148">
        <v>359.88</v>
      </c>
      <c r="K1148">
        <f t="shared" si="155"/>
        <v>6837.72</v>
      </c>
      <c r="L1148">
        <f t="shared" si="156"/>
        <v>0</v>
      </c>
      <c r="M1148">
        <f t="shared" si="153"/>
        <v>0</v>
      </c>
      <c r="N1148">
        <f t="shared" si="157"/>
        <v>0</v>
      </c>
      <c r="O1148">
        <f t="shared" si="158"/>
        <v>4089.2483999999999</v>
      </c>
      <c r="P1148">
        <f t="shared" si="159"/>
        <v>1022.3121</v>
      </c>
      <c r="Q1148">
        <f t="shared" si="160"/>
        <v>1043.1672668399999</v>
      </c>
      <c r="R1148">
        <f t="shared" si="161"/>
        <v>634.49360000000001</v>
      </c>
      <c r="S1148">
        <f t="shared" si="154"/>
        <v>6837.72</v>
      </c>
    </row>
    <row r="1149" spans="1:19" x14ac:dyDescent="0.25">
      <c r="A1149">
        <v>1279</v>
      </c>
      <c r="B1149">
        <v>1356</v>
      </c>
      <c r="C1149" t="s">
        <v>33</v>
      </c>
      <c r="D1149" t="s">
        <v>173</v>
      </c>
      <c r="E1149">
        <v>18</v>
      </c>
      <c r="F1149">
        <v>14.76</v>
      </c>
      <c r="G1149">
        <v>3.05</v>
      </c>
      <c r="H1149">
        <v>31.98</v>
      </c>
      <c r="I1149">
        <v>0.83</v>
      </c>
      <c r="J1149">
        <v>91.1</v>
      </c>
      <c r="K1149">
        <f t="shared" si="155"/>
        <v>1639.8</v>
      </c>
      <c r="L1149">
        <f t="shared" si="156"/>
        <v>1639.8</v>
      </c>
      <c r="M1149">
        <f t="shared" si="153"/>
        <v>810.32399999999996</v>
      </c>
      <c r="N1149">
        <f t="shared" si="157"/>
        <v>202.58099999999999</v>
      </c>
      <c r="O1149">
        <f t="shared" si="158"/>
        <v>810.32399999999996</v>
      </c>
      <c r="P1149">
        <f t="shared" si="159"/>
        <v>202.58099999999999</v>
      </c>
      <c r="Q1149">
        <f t="shared" si="160"/>
        <v>206.71365239999997</v>
      </c>
      <c r="R1149">
        <f t="shared" si="161"/>
        <v>477.78120000000001</v>
      </c>
      <c r="S1149">
        <f t="shared" si="154"/>
        <v>1639.8</v>
      </c>
    </row>
    <row r="1150" spans="1:19" x14ac:dyDescent="0.25">
      <c r="A1150">
        <v>1280</v>
      </c>
      <c r="B1150">
        <v>1356</v>
      </c>
      <c r="C1150" t="s">
        <v>33</v>
      </c>
      <c r="D1150" t="s">
        <v>173</v>
      </c>
      <c r="E1150">
        <v>18</v>
      </c>
      <c r="F1150">
        <v>13.34</v>
      </c>
      <c r="G1150">
        <v>2.63</v>
      </c>
      <c r="H1150">
        <v>31.37</v>
      </c>
      <c r="I1150">
        <v>0.79</v>
      </c>
      <c r="J1150">
        <v>67.95</v>
      </c>
      <c r="K1150">
        <f t="shared" si="155"/>
        <v>1223.1000000000001</v>
      </c>
      <c r="L1150">
        <f>IF(D1150="SHOES",E1150*J1150,0)</f>
        <v>1223.1000000000001</v>
      </c>
      <c r="M1150">
        <f t="shared" si="153"/>
        <v>631.51559999999995</v>
      </c>
      <c r="N1150">
        <f t="shared" si="157"/>
        <v>157.87889999999999</v>
      </c>
      <c r="O1150">
        <f t="shared" si="158"/>
        <v>631.51559999999995</v>
      </c>
      <c r="P1150">
        <f t="shared" si="159"/>
        <v>157.87889999999999</v>
      </c>
      <c r="Q1150">
        <f t="shared" si="160"/>
        <v>161.09962955999998</v>
      </c>
      <c r="R1150">
        <f t="shared" si="161"/>
        <v>446.08140000000003</v>
      </c>
      <c r="S1150">
        <f t="shared" si="154"/>
        <v>1223.1000000000001</v>
      </c>
    </row>
    <row r="1151" spans="1:19" x14ac:dyDescent="0.25">
      <c r="A1151">
        <v>1281</v>
      </c>
      <c r="B1151">
        <v>1356</v>
      </c>
      <c r="C1151" t="s">
        <v>33</v>
      </c>
      <c r="D1151" t="s">
        <v>173</v>
      </c>
      <c r="E1151">
        <v>21</v>
      </c>
      <c r="F1151">
        <v>14.89</v>
      </c>
      <c r="G1151">
        <v>2.6</v>
      </c>
      <c r="H1151">
        <v>30.09</v>
      </c>
      <c r="I1151">
        <v>0.8</v>
      </c>
      <c r="J1151">
        <v>79.709999999999994</v>
      </c>
      <c r="K1151">
        <f t="shared" si="155"/>
        <v>1673.9099999999999</v>
      </c>
      <c r="L1151">
        <f t="shared" ref="L1151:L1157" si="162">IF(D1151="SHOES",E1151*J1151,0)</f>
        <v>1673.9099999999999</v>
      </c>
      <c r="M1151">
        <f t="shared" si="153"/>
        <v>812.99400000000003</v>
      </c>
      <c r="N1151">
        <f t="shared" si="157"/>
        <v>203.24850000000001</v>
      </c>
      <c r="O1151">
        <f t="shared" si="158"/>
        <v>812.99400000000003</v>
      </c>
      <c r="P1151">
        <f t="shared" si="159"/>
        <v>203.24850000000001</v>
      </c>
      <c r="Q1151">
        <f t="shared" si="160"/>
        <v>207.3947694</v>
      </c>
      <c r="R1151">
        <f t="shared" si="161"/>
        <v>505.512</v>
      </c>
      <c r="S1151">
        <f t="shared" si="154"/>
        <v>1673.9099999999999</v>
      </c>
    </row>
    <row r="1152" spans="1:19" x14ac:dyDescent="0.25">
      <c r="A1152">
        <v>1282</v>
      </c>
      <c r="B1152">
        <v>1356</v>
      </c>
      <c r="C1152" t="s">
        <v>33</v>
      </c>
      <c r="D1152" t="s">
        <v>172</v>
      </c>
      <c r="E1152">
        <v>15</v>
      </c>
      <c r="F1152">
        <v>18.71</v>
      </c>
      <c r="G1152">
        <v>11.33</v>
      </c>
      <c r="H1152">
        <v>36.369999999999997</v>
      </c>
      <c r="I1152">
        <v>0.94</v>
      </c>
      <c r="J1152">
        <v>356.01</v>
      </c>
      <c r="K1152">
        <f t="shared" si="155"/>
        <v>5340.15</v>
      </c>
      <c r="L1152">
        <f t="shared" si="162"/>
        <v>0</v>
      </c>
      <c r="M1152">
        <f t="shared" si="153"/>
        <v>0</v>
      </c>
      <c r="N1152">
        <f t="shared" si="157"/>
        <v>0</v>
      </c>
      <c r="O1152">
        <f t="shared" si="158"/>
        <v>3179.7644999999998</v>
      </c>
      <c r="P1152">
        <f t="shared" si="159"/>
        <v>794.94112499999994</v>
      </c>
      <c r="Q1152">
        <f t="shared" si="160"/>
        <v>811.15792394999994</v>
      </c>
      <c r="R1152">
        <f t="shared" si="161"/>
        <v>512.81700000000001</v>
      </c>
      <c r="S1152">
        <f t="shared" si="154"/>
        <v>5340.15</v>
      </c>
    </row>
    <row r="1153" spans="1:19" x14ac:dyDescent="0.25">
      <c r="A1153">
        <v>1283</v>
      </c>
      <c r="B1153">
        <v>1356</v>
      </c>
      <c r="C1153" t="s">
        <v>33</v>
      </c>
      <c r="D1153" t="s">
        <v>173</v>
      </c>
      <c r="E1153">
        <v>11</v>
      </c>
      <c r="F1153">
        <v>15.61</v>
      </c>
      <c r="G1153">
        <v>2.57</v>
      </c>
      <c r="H1153">
        <v>30.64</v>
      </c>
      <c r="I1153">
        <v>0.78</v>
      </c>
      <c r="J1153">
        <v>81.45</v>
      </c>
      <c r="K1153">
        <f t="shared" si="155"/>
        <v>895.95</v>
      </c>
      <c r="L1153">
        <f t="shared" si="162"/>
        <v>895.95</v>
      </c>
      <c r="M1153">
        <f t="shared" si="153"/>
        <v>441.29469999999998</v>
      </c>
      <c r="N1153">
        <f t="shared" si="157"/>
        <v>110.32367499999999</v>
      </c>
      <c r="O1153">
        <f t="shared" si="158"/>
        <v>441.29469999999998</v>
      </c>
      <c r="P1153">
        <f t="shared" si="159"/>
        <v>110.32367499999999</v>
      </c>
      <c r="Q1153">
        <f t="shared" si="160"/>
        <v>112.57427797</v>
      </c>
      <c r="R1153">
        <f t="shared" si="161"/>
        <v>262.89120000000003</v>
      </c>
      <c r="S1153">
        <f t="shared" si="154"/>
        <v>895.95</v>
      </c>
    </row>
    <row r="1154" spans="1:19" x14ac:dyDescent="0.25">
      <c r="A1154">
        <v>1284</v>
      </c>
      <c r="B1154">
        <v>1356</v>
      </c>
      <c r="C1154" t="s">
        <v>33</v>
      </c>
      <c r="D1154" t="s">
        <v>173</v>
      </c>
      <c r="E1154">
        <v>7</v>
      </c>
      <c r="F1154">
        <v>15.96</v>
      </c>
      <c r="G1154">
        <v>2.44</v>
      </c>
      <c r="H1154">
        <v>29.95</v>
      </c>
      <c r="I1154">
        <v>0.82</v>
      </c>
      <c r="J1154">
        <v>80.56</v>
      </c>
      <c r="K1154">
        <f t="shared" si="155"/>
        <v>563.92000000000007</v>
      </c>
      <c r="L1154">
        <f t="shared" si="162"/>
        <v>563.92000000000007</v>
      </c>
      <c r="M1154">
        <f t="shared" ref="M1154:M1217" si="163">IF(D1154="SHOES",O1154,0)</f>
        <v>272.59679999999997</v>
      </c>
      <c r="N1154">
        <f t="shared" si="157"/>
        <v>68.149199999999993</v>
      </c>
      <c r="O1154">
        <f t="shared" si="158"/>
        <v>272.59679999999997</v>
      </c>
      <c r="P1154">
        <f t="shared" si="159"/>
        <v>68.149199999999993</v>
      </c>
      <c r="Q1154">
        <f t="shared" si="160"/>
        <v>69.539443679999991</v>
      </c>
      <c r="R1154">
        <f t="shared" si="161"/>
        <v>171.91299999999998</v>
      </c>
      <c r="S1154">
        <f t="shared" ref="S1154:S1217" si="164">PRODUCT(J1154,E1154)</f>
        <v>563.92000000000007</v>
      </c>
    </row>
    <row r="1155" spans="1:19" x14ac:dyDescent="0.25">
      <c r="A1155">
        <v>1285</v>
      </c>
      <c r="B1155">
        <v>1356</v>
      </c>
      <c r="C1155" t="s">
        <v>33</v>
      </c>
      <c r="D1155" t="s">
        <v>172</v>
      </c>
      <c r="E1155">
        <v>10</v>
      </c>
      <c r="F1155">
        <v>19.03</v>
      </c>
      <c r="G1155">
        <v>11.17</v>
      </c>
      <c r="H1155">
        <v>24.37</v>
      </c>
      <c r="I1155">
        <v>1.08</v>
      </c>
      <c r="J1155">
        <v>280.93</v>
      </c>
      <c r="K1155">
        <f t="shared" ref="K1155:K1218" si="165">E1155*J1155</f>
        <v>2809.3</v>
      </c>
      <c r="L1155">
        <f t="shared" si="162"/>
        <v>0</v>
      </c>
      <c r="M1155">
        <f t="shared" si="163"/>
        <v>0</v>
      </c>
      <c r="N1155">
        <f t="shared" ref="N1155:N1218" si="166">IF(D1155="SHOES",P1155,0)</f>
        <v>0</v>
      </c>
      <c r="O1155">
        <f t="shared" ref="O1155:O1218" si="167">PRODUCT(E1155,G1155,F1155)</f>
        <v>2125.6510000000003</v>
      </c>
      <c r="P1155">
        <f t="shared" ref="P1155:P1218" si="168">PRODUCT(O1155,0.25)</f>
        <v>531.41275000000007</v>
      </c>
      <c r="Q1155">
        <f t="shared" ref="Q1155:Q1218" si="169">PRODUCT(O1155,0.2551)</f>
        <v>542.25357010000005</v>
      </c>
      <c r="R1155">
        <f t="shared" si="161"/>
        <v>263.19600000000003</v>
      </c>
      <c r="S1155">
        <f t="shared" si="164"/>
        <v>2809.3</v>
      </c>
    </row>
    <row r="1156" spans="1:19" x14ac:dyDescent="0.25">
      <c r="A1156">
        <v>1286</v>
      </c>
      <c r="B1156">
        <v>1356</v>
      </c>
      <c r="C1156" t="s">
        <v>33</v>
      </c>
      <c r="D1156" t="s">
        <v>172</v>
      </c>
      <c r="E1156">
        <v>13</v>
      </c>
      <c r="F1156">
        <v>19.61</v>
      </c>
      <c r="G1156">
        <v>9.9499999999999993</v>
      </c>
      <c r="H1156">
        <v>29.85</v>
      </c>
      <c r="I1156">
        <v>0.98</v>
      </c>
      <c r="J1156">
        <v>325.05</v>
      </c>
      <c r="K1156">
        <f t="shared" si="165"/>
        <v>4225.6500000000005</v>
      </c>
      <c r="L1156">
        <f t="shared" si="162"/>
        <v>0</v>
      </c>
      <c r="M1156">
        <f t="shared" si="163"/>
        <v>0</v>
      </c>
      <c r="N1156">
        <f t="shared" si="166"/>
        <v>0</v>
      </c>
      <c r="O1156">
        <f t="shared" si="167"/>
        <v>2536.5535</v>
      </c>
      <c r="P1156">
        <f t="shared" si="168"/>
        <v>634.138375</v>
      </c>
      <c r="Q1156">
        <f t="shared" si="169"/>
        <v>647.07479784999998</v>
      </c>
      <c r="R1156">
        <f t="shared" ref="R1156:R1219" si="170">PRODUCT(E1156,I1156,H1156)</f>
        <v>380.28900000000004</v>
      </c>
      <c r="S1156">
        <f t="shared" si="164"/>
        <v>4225.6500000000005</v>
      </c>
    </row>
    <row r="1157" spans="1:19" x14ac:dyDescent="0.25">
      <c r="A1157">
        <v>1287</v>
      </c>
      <c r="B1157">
        <v>1356</v>
      </c>
      <c r="C1157" t="s">
        <v>33</v>
      </c>
      <c r="D1157" t="s">
        <v>172</v>
      </c>
      <c r="E1157">
        <v>59</v>
      </c>
      <c r="F1157">
        <v>19.39</v>
      </c>
      <c r="G1157">
        <v>9.6</v>
      </c>
      <c r="H1157">
        <v>30.49</v>
      </c>
      <c r="I1157">
        <v>0.91</v>
      </c>
      <c r="J1157">
        <v>255.48</v>
      </c>
      <c r="K1157">
        <f t="shared" si="165"/>
        <v>15073.32</v>
      </c>
      <c r="L1157">
        <f t="shared" si="162"/>
        <v>0</v>
      </c>
      <c r="M1157">
        <f t="shared" si="163"/>
        <v>0</v>
      </c>
      <c r="N1157">
        <f t="shared" si="166"/>
        <v>0</v>
      </c>
      <c r="O1157">
        <f t="shared" si="167"/>
        <v>10982.495999999999</v>
      </c>
      <c r="P1157">
        <f t="shared" si="168"/>
        <v>2745.6239999999998</v>
      </c>
      <c r="Q1157">
        <f t="shared" si="169"/>
        <v>2801.6347295999999</v>
      </c>
      <c r="R1157">
        <f t="shared" si="170"/>
        <v>1637.0081</v>
      </c>
      <c r="S1157">
        <f t="shared" si="164"/>
        <v>15073.32</v>
      </c>
    </row>
    <row r="1158" spans="1:19" x14ac:dyDescent="0.25">
      <c r="A1158">
        <v>1288</v>
      </c>
      <c r="B1158">
        <v>1356</v>
      </c>
      <c r="C1158" t="s">
        <v>33</v>
      </c>
      <c r="D1158" t="s">
        <v>172</v>
      </c>
      <c r="E1158">
        <v>11</v>
      </c>
      <c r="F1158">
        <v>19.78</v>
      </c>
      <c r="G1158">
        <v>10.43</v>
      </c>
      <c r="H1158">
        <v>30.08</v>
      </c>
      <c r="I1158">
        <v>1.04</v>
      </c>
      <c r="J1158">
        <v>344.11</v>
      </c>
      <c r="K1158">
        <f t="shared" si="165"/>
        <v>3785.21</v>
      </c>
      <c r="L1158">
        <f>IF(D1158="SHOES",E1158*J1158,0)</f>
        <v>0</v>
      </c>
      <c r="M1158">
        <f t="shared" si="163"/>
        <v>0</v>
      </c>
      <c r="N1158">
        <f t="shared" si="166"/>
        <v>0</v>
      </c>
      <c r="O1158">
        <f t="shared" si="167"/>
        <v>2269.3593999999998</v>
      </c>
      <c r="P1158">
        <f t="shared" si="168"/>
        <v>567.33984999999996</v>
      </c>
      <c r="Q1158">
        <f t="shared" si="169"/>
        <v>578.91358293999997</v>
      </c>
      <c r="R1158">
        <f t="shared" si="170"/>
        <v>344.11520000000002</v>
      </c>
      <c r="S1158">
        <f t="shared" si="164"/>
        <v>3785.21</v>
      </c>
    </row>
    <row r="1159" spans="1:19" x14ac:dyDescent="0.25">
      <c r="A1159">
        <v>1289</v>
      </c>
      <c r="B1159">
        <v>1356</v>
      </c>
      <c r="C1159" t="s">
        <v>33</v>
      </c>
      <c r="D1159" t="s">
        <v>173</v>
      </c>
      <c r="E1159">
        <v>13</v>
      </c>
      <c r="F1159">
        <v>14.89</v>
      </c>
      <c r="G1159">
        <v>3.03</v>
      </c>
      <c r="H1159">
        <v>28.35</v>
      </c>
      <c r="I1159">
        <v>0.84</v>
      </c>
      <c r="J1159">
        <v>88.23</v>
      </c>
      <c r="K1159">
        <f t="shared" si="165"/>
        <v>1146.99</v>
      </c>
      <c r="L1159">
        <f t="shared" ref="L1159:L1222" si="171">IF(D1159="SHOES",E1159*J1159,0)</f>
        <v>1146.99</v>
      </c>
      <c r="M1159">
        <f t="shared" si="163"/>
        <v>586.51710000000003</v>
      </c>
      <c r="N1159">
        <f t="shared" si="166"/>
        <v>146.62927500000001</v>
      </c>
      <c r="O1159">
        <f t="shared" si="167"/>
        <v>586.51710000000003</v>
      </c>
      <c r="P1159">
        <f t="shared" si="168"/>
        <v>146.62927500000001</v>
      </c>
      <c r="Q1159">
        <f t="shared" si="169"/>
        <v>149.62051221000002</v>
      </c>
      <c r="R1159">
        <f t="shared" si="170"/>
        <v>309.58199999999999</v>
      </c>
      <c r="S1159">
        <f t="shared" si="164"/>
        <v>1146.99</v>
      </c>
    </row>
    <row r="1160" spans="1:19" x14ac:dyDescent="0.25">
      <c r="A1160">
        <v>1290</v>
      </c>
      <c r="B1160">
        <v>1356</v>
      </c>
      <c r="C1160" t="s">
        <v>33</v>
      </c>
      <c r="D1160" t="s">
        <v>173</v>
      </c>
      <c r="E1160">
        <v>19</v>
      </c>
      <c r="F1160">
        <v>16.52</v>
      </c>
      <c r="G1160">
        <v>2.98</v>
      </c>
      <c r="H1160">
        <v>32.03</v>
      </c>
      <c r="I1160">
        <v>0.8</v>
      </c>
      <c r="J1160">
        <v>95.88</v>
      </c>
      <c r="K1160">
        <f t="shared" si="165"/>
        <v>1821.7199999999998</v>
      </c>
      <c r="L1160">
        <f t="shared" si="171"/>
        <v>1821.7199999999998</v>
      </c>
      <c r="M1160">
        <f t="shared" si="163"/>
        <v>935.36239999999998</v>
      </c>
      <c r="N1160">
        <f t="shared" si="166"/>
        <v>233.84059999999999</v>
      </c>
      <c r="O1160">
        <f t="shared" si="167"/>
        <v>935.36239999999998</v>
      </c>
      <c r="P1160">
        <f t="shared" si="168"/>
        <v>233.84059999999999</v>
      </c>
      <c r="Q1160">
        <f t="shared" si="169"/>
        <v>238.61094824</v>
      </c>
      <c r="R1160">
        <f t="shared" si="170"/>
        <v>486.85600000000005</v>
      </c>
      <c r="S1160">
        <f t="shared" si="164"/>
        <v>1821.7199999999998</v>
      </c>
    </row>
    <row r="1161" spans="1:19" x14ac:dyDescent="0.25">
      <c r="A1161">
        <v>1291</v>
      </c>
      <c r="B1161">
        <v>1356</v>
      </c>
      <c r="C1161" t="s">
        <v>33</v>
      </c>
      <c r="D1161" t="s">
        <v>172</v>
      </c>
      <c r="E1161">
        <v>18</v>
      </c>
      <c r="F1161">
        <v>17.739999999999998</v>
      </c>
      <c r="G1161">
        <v>10.73</v>
      </c>
      <c r="H1161">
        <v>32.520000000000003</v>
      </c>
      <c r="I1161">
        <v>1.04</v>
      </c>
      <c r="J1161">
        <v>323.39</v>
      </c>
      <c r="K1161">
        <f t="shared" si="165"/>
        <v>5821.0199999999995</v>
      </c>
      <c r="L1161">
        <f t="shared" si="171"/>
        <v>0</v>
      </c>
      <c r="M1161">
        <f t="shared" si="163"/>
        <v>0</v>
      </c>
      <c r="N1161">
        <f t="shared" si="166"/>
        <v>0</v>
      </c>
      <c r="O1161">
        <f t="shared" si="167"/>
        <v>3426.3036000000002</v>
      </c>
      <c r="P1161">
        <f t="shared" si="168"/>
        <v>856.57590000000005</v>
      </c>
      <c r="Q1161">
        <f t="shared" si="169"/>
        <v>874.05004836000001</v>
      </c>
      <c r="R1161">
        <f t="shared" si="170"/>
        <v>608.77440000000001</v>
      </c>
      <c r="S1161">
        <f t="shared" si="164"/>
        <v>5821.0199999999995</v>
      </c>
    </row>
    <row r="1162" spans="1:19" x14ac:dyDescent="0.25">
      <c r="A1162">
        <v>1292</v>
      </c>
      <c r="B1162">
        <v>1356</v>
      </c>
      <c r="C1162" t="s">
        <v>33</v>
      </c>
      <c r="D1162" t="s">
        <v>172</v>
      </c>
      <c r="E1162">
        <v>21</v>
      </c>
      <c r="F1162">
        <v>21.32</v>
      </c>
      <c r="G1162">
        <v>11.36</v>
      </c>
      <c r="H1162">
        <v>33.82</v>
      </c>
      <c r="I1162">
        <v>0.95</v>
      </c>
      <c r="J1162">
        <v>398.5</v>
      </c>
      <c r="K1162">
        <f t="shared" si="165"/>
        <v>8368.5</v>
      </c>
      <c r="L1162">
        <f t="shared" si="171"/>
        <v>0</v>
      </c>
      <c r="M1162">
        <f t="shared" si="163"/>
        <v>0</v>
      </c>
      <c r="N1162">
        <f t="shared" si="166"/>
        <v>0</v>
      </c>
      <c r="O1162">
        <f t="shared" si="167"/>
        <v>5086.0992000000006</v>
      </c>
      <c r="P1162">
        <f t="shared" si="168"/>
        <v>1271.5248000000001</v>
      </c>
      <c r="Q1162">
        <f t="shared" si="169"/>
        <v>1297.4639059200001</v>
      </c>
      <c r="R1162">
        <f t="shared" si="170"/>
        <v>674.70899999999995</v>
      </c>
      <c r="S1162">
        <f t="shared" si="164"/>
        <v>8368.5</v>
      </c>
    </row>
    <row r="1163" spans="1:19" x14ac:dyDescent="0.25">
      <c r="A1163">
        <v>1293</v>
      </c>
      <c r="B1163">
        <v>1356</v>
      </c>
      <c r="C1163" t="s">
        <v>33</v>
      </c>
      <c r="D1163" t="s">
        <v>173</v>
      </c>
      <c r="E1163">
        <v>12</v>
      </c>
      <c r="F1163">
        <v>15.53</v>
      </c>
      <c r="G1163">
        <v>2.75</v>
      </c>
      <c r="H1163">
        <v>35.369999999999997</v>
      </c>
      <c r="I1163">
        <v>0.81</v>
      </c>
      <c r="J1163">
        <v>81.209999999999994</v>
      </c>
      <c r="K1163">
        <f t="shared" si="165"/>
        <v>974.52</v>
      </c>
      <c r="L1163">
        <f t="shared" si="171"/>
        <v>974.52</v>
      </c>
      <c r="M1163">
        <f t="shared" si="163"/>
        <v>512.49</v>
      </c>
      <c r="N1163">
        <f t="shared" si="166"/>
        <v>128.1225</v>
      </c>
      <c r="O1163">
        <f t="shared" si="167"/>
        <v>512.49</v>
      </c>
      <c r="P1163">
        <f t="shared" si="168"/>
        <v>128.1225</v>
      </c>
      <c r="Q1163">
        <f t="shared" si="169"/>
        <v>130.736199</v>
      </c>
      <c r="R1163">
        <f t="shared" si="170"/>
        <v>343.79640000000001</v>
      </c>
      <c r="S1163">
        <f t="shared" si="164"/>
        <v>974.52</v>
      </c>
    </row>
    <row r="1164" spans="1:19" x14ac:dyDescent="0.25">
      <c r="A1164">
        <v>1294</v>
      </c>
      <c r="B1164">
        <v>1356</v>
      </c>
      <c r="C1164" t="s">
        <v>33</v>
      </c>
      <c r="D1164" t="s">
        <v>172</v>
      </c>
      <c r="E1164">
        <v>24</v>
      </c>
      <c r="F1164">
        <v>19.850000000000001</v>
      </c>
      <c r="G1164">
        <v>10.09</v>
      </c>
      <c r="H1164">
        <v>33.270000000000003</v>
      </c>
      <c r="I1164">
        <v>0.94</v>
      </c>
      <c r="J1164">
        <v>335.14</v>
      </c>
      <c r="K1164">
        <f t="shared" si="165"/>
        <v>8043.36</v>
      </c>
      <c r="L1164">
        <f t="shared" si="171"/>
        <v>0</v>
      </c>
      <c r="M1164">
        <f t="shared" si="163"/>
        <v>0</v>
      </c>
      <c r="N1164">
        <f t="shared" si="166"/>
        <v>0</v>
      </c>
      <c r="O1164">
        <f t="shared" si="167"/>
        <v>4806.8760000000002</v>
      </c>
      <c r="P1164">
        <f t="shared" si="168"/>
        <v>1201.7190000000001</v>
      </c>
      <c r="Q1164">
        <f t="shared" si="169"/>
        <v>1226.2340676000001</v>
      </c>
      <c r="R1164">
        <f t="shared" si="170"/>
        <v>750.57119999999998</v>
      </c>
      <c r="S1164">
        <f t="shared" si="164"/>
        <v>8043.36</v>
      </c>
    </row>
    <row r="1165" spans="1:19" x14ac:dyDescent="0.25">
      <c r="A1165">
        <v>1295</v>
      </c>
      <c r="B1165">
        <v>1356</v>
      </c>
      <c r="C1165" t="s">
        <v>33</v>
      </c>
      <c r="D1165" t="s">
        <v>172</v>
      </c>
      <c r="E1165">
        <v>15</v>
      </c>
      <c r="F1165">
        <v>18.72</v>
      </c>
      <c r="G1165">
        <v>11.27</v>
      </c>
      <c r="H1165">
        <v>34.44</v>
      </c>
      <c r="I1165">
        <v>0.93</v>
      </c>
      <c r="J1165">
        <v>351.94</v>
      </c>
      <c r="K1165">
        <f t="shared" si="165"/>
        <v>5279.1</v>
      </c>
      <c r="L1165">
        <f t="shared" si="171"/>
        <v>0</v>
      </c>
      <c r="M1165">
        <f t="shared" si="163"/>
        <v>0</v>
      </c>
      <c r="N1165">
        <f t="shared" si="166"/>
        <v>0</v>
      </c>
      <c r="O1165">
        <f t="shared" si="167"/>
        <v>3164.6159999999995</v>
      </c>
      <c r="P1165">
        <f t="shared" si="168"/>
        <v>791.15399999999988</v>
      </c>
      <c r="Q1165">
        <f t="shared" si="169"/>
        <v>807.29354159999991</v>
      </c>
      <c r="R1165">
        <f t="shared" si="170"/>
        <v>480.43799999999999</v>
      </c>
      <c r="S1165">
        <f t="shared" si="164"/>
        <v>5279.1</v>
      </c>
    </row>
    <row r="1166" spans="1:19" x14ac:dyDescent="0.25">
      <c r="A1166">
        <v>1296</v>
      </c>
      <c r="B1166">
        <v>1356</v>
      </c>
      <c r="C1166" t="s">
        <v>33</v>
      </c>
      <c r="D1166" t="s">
        <v>172</v>
      </c>
      <c r="E1166">
        <v>18</v>
      </c>
      <c r="F1166">
        <v>20.97</v>
      </c>
      <c r="G1166">
        <v>11.43</v>
      </c>
      <c r="H1166">
        <v>26.33</v>
      </c>
      <c r="I1166">
        <v>1.03</v>
      </c>
      <c r="J1166">
        <v>388.81</v>
      </c>
      <c r="K1166">
        <f t="shared" si="165"/>
        <v>6998.58</v>
      </c>
      <c r="L1166">
        <f t="shared" si="171"/>
        <v>0</v>
      </c>
      <c r="M1166">
        <f t="shared" si="163"/>
        <v>0</v>
      </c>
      <c r="N1166">
        <f t="shared" si="166"/>
        <v>0</v>
      </c>
      <c r="O1166">
        <f t="shared" si="167"/>
        <v>4314.3678</v>
      </c>
      <c r="P1166">
        <f t="shared" si="168"/>
        <v>1078.59195</v>
      </c>
      <c r="Q1166">
        <f t="shared" si="169"/>
        <v>1100.59522578</v>
      </c>
      <c r="R1166">
        <f t="shared" si="170"/>
        <v>488.15819999999997</v>
      </c>
      <c r="S1166">
        <f t="shared" si="164"/>
        <v>6998.58</v>
      </c>
    </row>
    <row r="1167" spans="1:19" x14ac:dyDescent="0.25">
      <c r="A1167">
        <v>1297</v>
      </c>
      <c r="B1167">
        <v>1356</v>
      </c>
      <c r="C1167" t="s">
        <v>33</v>
      </c>
      <c r="D1167" t="s">
        <v>172</v>
      </c>
      <c r="E1167">
        <v>14</v>
      </c>
      <c r="F1167">
        <v>19.940000000000001</v>
      </c>
      <c r="G1167">
        <v>10.87</v>
      </c>
      <c r="H1167">
        <v>26.11</v>
      </c>
      <c r="I1167">
        <v>1.06</v>
      </c>
      <c r="J1167">
        <v>287.26</v>
      </c>
      <c r="K1167">
        <f t="shared" si="165"/>
        <v>4021.64</v>
      </c>
      <c r="L1167">
        <f t="shared" si="171"/>
        <v>0</v>
      </c>
      <c r="M1167">
        <f t="shared" si="163"/>
        <v>0</v>
      </c>
      <c r="N1167">
        <f t="shared" si="166"/>
        <v>0</v>
      </c>
      <c r="O1167">
        <f t="shared" si="167"/>
        <v>3034.4691999999995</v>
      </c>
      <c r="P1167">
        <f t="shared" si="168"/>
        <v>758.61729999999989</v>
      </c>
      <c r="Q1167">
        <f t="shared" si="169"/>
        <v>774.09309291999989</v>
      </c>
      <c r="R1167">
        <f t="shared" si="170"/>
        <v>387.47239999999999</v>
      </c>
      <c r="S1167">
        <f t="shared" si="164"/>
        <v>4021.64</v>
      </c>
    </row>
    <row r="1168" spans="1:19" x14ac:dyDescent="0.25">
      <c r="A1168">
        <v>1298</v>
      </c>
      <c r="B1168">
        <v>1356</v>
      </c>
      <c r="C1168" t="s">
        <v>33</v>
      </c>
      <c r="D1168" t="s">
        <v>172</v>
      </c>
      <c r="E1168">
        <v>15</v>
      </c>
      <c r="F1168">
        <v>19.93</v>
      </c>
      <c r="G1168">
        <v>10.62</v>
      </c>
      <c r="H1168">
        <v>32.049999999999997</v>
      </c>
      <c r="I1168">
        <v>1</v>
      </c>
      <c r="J1168">
        <v>352.98</v>
      </c>
      <c r="K1168">
        <f t="shared" si="165"/>
        <v>5294.7000000000007</v>
      </c>
      <c r="L1168">
        <f t="shared" si="171"/>
        <v>0</v>
      </c>
      <c r="M1168">
        <f t="shared" si="163"/>
        <v>0</v>
      </c>
      <c r="N1168">
        <f t="shared" si="166"/>
        <v>0</v>
      </c>
      <c r="O1168">
        <f t="shared" si="167"/>
        <v>3174.8489999999997</v>
      </c>
      <c r="P1168">
        <f t="shared" si="168"/>
        <v>793.71224999999993</v>
      </c>
      <c r="Q1168">
        <f t="shared" si="169"/>
        <v>809.90397989999985</v>
      </c>
      <c r="R1168">
        <f t="shared" si="170"/>
        <v>480.74999999999994</v>
      </c>
      <c r="S1168">
        <f t="shared" si="164"/>
        <v>5294.7000000000007</v>
      </c>
    </row>
    <row r="1169" spans="1:19" x14ac:dyDescent="0.25">
      <c r="A1169">
        <v>1299</v>
      </c>
      <c r="B1169">
        <v>1356</v>
      </c>
      <c r="C1169" t="s">
        <v>33</v>
      </c>
      <c r="D1169" t="s">
        <v>172</v>
      </c>
      <c r="E1169">
        <v>34</v>
      </c>
      <c r="F1169">
        <v>19.98</v>
      </c>
      <c r="G1169">
        <v>11.75</v>
      </c>
      <c r="H1169">
        <v>29.41</v>
      </c>
      <c r="I1169">
        <v>1.05</v>
      </c>
      <c r="J1169">
        <v>385.96</v>
      </c>
      <c r="K1169">
        <f t="shared" si="165"/>
        <v>13122.64</v>
      </c>
      <c r="L1169">
        <f t="shared" si="171"/>
        <v>0</v>
      </c>
      <c r="M1169">
        <f t="shared" si="163"/>
        <v>0</v>
      </c>
      <c r="N1169">
        <f t="shared" si="166"/>
        <v>0</v>
      </c>
      <c r="O1169">
        <f t="shared" si="167"/>
        <v>7982.01</v>
      </c>
      <c r="P1169">
        <f t="shared" si="168"/>
        <v>1995.5025000000001</v>
      </c>
      <c r="Q1169">
        <f t="shared" si="169"/>
        <v>2036.2107510000001</v>
      </c>
      <c r="R1169">
        <f t="shared" si="170"/>
        <v>1049.9370000000001</v>
      </c>
      <c r="S1169">
        <f t="shared" si="164"/>
        <v>13122.64</v>
      </c>
    </row>
    <row r="1170" spans="1:19" x14ac:dyDescent="0.25">
      <c r="A1170">
        <v>1300</v>
      </c>
      <c r="B1170">
        <v>1356</v>
      </c>
      <c r="C1170" t="s">
        <v>33</v>
      </c>
      <c r="D1170" t="s">
        <v>173</v>
      </c>
      <c r="E1170">
        <v>16</v>
      </c>
      <c r="F1170">
        <v>14.76</v>
      </c>
      <c r="G1170">
        <v>2.89</v>
      </c>
      <c r="H1170">
        <v>32.72</v>
      </c>
      <c r="I1170">
        <v>0.78</v>
      </c>
      <c r="J1170">
        <v>86.73</v>
      </c>
      <c r="K1170">
        <f t="shared" si="165"/>
        <v>1387.68</v>
      </c>
      <c r="L1170">
        <f t="shared" si="171"/>
        <v>1387.68</v>
      </c>
      <c r="M1170">
        <f t="shared" si="163"/>
        <v>682.50239999999997</v>
      </c>
      <c r="N1170">
        <f t="shared" si="166"/>
        <v>170.62559999999999</v>
      </c>
      <c r="O1170">
        <f t="shared" si="167"/>
        <v>682.50239999999997</v>
      </c>
      <c r="P1170">
        <f t="shared" si="168"/>
        <v>170.62559999999999</v>
      </c>
      <c r="Q1170">
        <f t="shared" si="169"/>
        <v>174.10636223999998</v>
      </c>
      <c r="R1170">
        <f t="shared" si="170"/>
        <v>408.34559999999999</v>
      </c>
      <c r="S1170">
        <f t="shared" si="164"/>
        <v>1387.68</v>
      </c>
    </row>
    <row r="1171" spans="1:19" x14ac:dyDescent="0.25">
      <c r="A1171">
        <v>1301</v>
      </c>
      <c r="B1171">
        <v>1356</v>
      </c>
      <c r="C1171" t="s">
        <v>33</v>
      </c>
      <c r="D1171" t="s">
        <v>172</v>
      </c>
      <c r="E1171">
        <v>15</v>
      </c>
      <c r="F1171">
        <v>20.63</v>
      </c>
      <c r="G1171">
        <v>11.28</v>
      </c>
      <c r="H1171">
        <v>28.72</v>
      </c>
      <c r="I1171">
        <v>1.1200000000000001</v>
      </c>
      <c r="J1171">
        <v>384.43</v>
      </c>
      <c r="K1171">
        <f t="shared" si="165"/>
        <v>5766.45</v>
      </c>
      <c r="L1171">
        <f t="shared" si="171"/>
        <v>0</v>
      </c>
      <c r="M1171">
        <f t="shared" si="163"/>
        <v>0</v>
      </c>
      <c r="N1171">
        <f t="shared" si="166"/>
        <v>0</v>
      </c>
      <c r="O1171">
        <f t="shared" si="167"/>
        <v>3490.5959999999995</v>
      </c>
      <c r="P1171">
        <f t="shared" si="168"/>
        <v>872.64899999999989</v>
      </c>
      <c r="Q1171">
        <f t="shared" si="169"/>
        <v>890.45103959999983</v>
      </c>
      <c r="R1171">
        <f t="shared" si="170"/>
        <v>482.49599999999998</v>
      </c>
      <c r="S1171">
        <f t="shared" si="164"/>
        <v>5766.45</v>
      </c>
    </row>
    <row r="1172" spans="1:19" x14ac:dyDescent="0.25">
      <c r="A1172">
        <v>1302</v>
      </c>
      <c r="B1172">
        <v>1356</v>
      </c>
      <c r="C1172" t="s">
        <v>33</v>
      </c>
      <c r="D1172" t="s">
        <v>172</v>
      </c>
      <c r="E1172">
        <v>10</v>
      </c>
      <c r="F1172">
        <v>18.45</v>
      </c>
      <c r="G1172">
        <v>10.69</v>
      </c>
      <c r="H1172">
        <v>32.090000000000003</v>
      </c>
      <c r="I1172">
        <v>0.93</v>
      </c>
      <c r="J1172">
        <v>328.9</v>
      </c>
      <c r="K1172">
        <f t="shared" si="165"/>
        <v>3289</v>
      </c>
      <c r="L1172">
        <f t="shared" si="171"/>
        <v>0</v>
      </c>
      <c r="M1172">
        <f t="shared" si="163"/>
        <v>0</v>
      </c>
      <c r="N1172">
        <f t="shared" si="166"/>
        <v>0</v>
      </c>
      <c r="O1172">
        <f t="shared" si="167"/>
        <v>1972.3049999999998</v>
      </c>
      <c r="P1172">
        <f t="shared" si="168"/>
        <v>493.07624999999996</v>
      </c>
      <c r="Q1172">
        <f t="shared" si="169"/>
        <v>503.13500549999992</v>
      </c>
      <c r="R1172">
        <f t="shared" si="170"/>
        <v>298.43700000000007</v>
      </c>
      <c r="S1172">
        <f t="shared" si="164"/>
        <v>3289</v>
      </c>
    </row>
    <row r="1173" spans="1:19" x14ac:dyDescent="0.25">
      <c r="A1173">
        <v>1303</v>
      </c>
      <c r="B1173">
        <v>1356</v>
      </c>
      <c r="C1173" t="s">
        <v>33</v>
      </c>
      <c r="D1173" t="s">
        <v>173</v>
      </c>
      <c r="E1173">
        <v>16</v>
      </c>
      <c r="F1173">
        <v>13.88</v>
      </c>
      <c r="G1173">
        <v>2.86</v>
      </c>
      <c r="H1173">
        <v>36.08</v>
      </c>
      <c r="I1173">
        <v>0.77</v>
      </c>
      <c r="J1173">
        <v>85.14</v>
      </c>
      <c r="K1173">
        <f t="shared" si="165"/>
        <v>1362.24</v>
      </c>
      <c r="L1173">
        <f t="shared" si="171"/>
        <v>1362.24</v>
      </c>
      <c r="M1173">
        <f t="shared" si="163"/>
        <v>635.14880000000005</v>
      </c>
      <c r="N1173">
        <f t="shared" si="166"/>
        <v>158.78720000000001</v>
      </c>
      <c r="O1173">
        <f t="shared" si="167"/>
        <v>635.14880000000005</v>
      </c>
      <c r="P1173">
        <f t="shared" si="168"/>
        <v>158.78720000000001</v>
      </c>
      <c r="Q1173">
        <f t="shared" si="169"/>
        <v>162.02645888000001</v>
      </c>
      <c r="R1173">
        <f t="shared" si="170"/>
        <v>444.50560000000002</v>
      </c>
      <c r="S1173">
        <f t="shared" si="164"/>
        <v>1362.24</v>
      </c>
    </row>
    <row r="1174" spans="1:19" x14ac:dyDescent="0.25">
      <c r="A1174">
        <v>1304</v>
      </c>
      <c r="B1174">
        <v>1356</v>
      </c>
      <c r="C1174" t="s">
        <v>33</v>
      </c>
      <c r="D1174" t="s">
        <v>173</v>
      </c>
      <c r="E1174">
        <v>16</v>
      </c>
      <c r="F1174">
        <v>14.25</v>
      </c>
      <c r="G1174">
        <v>3.11</v>
      </c>
      <c r="H1174">
        <v>31.3</v>
      </c>
      <c r="I1174">
        <v>0.8</v>
      </c>
      <c r="J1174">
        <v>88.48</v>
      </c>
      <c r="K1174">
        <f t="shared" si="165"/>
        <v>1415.68</v>
      </c>
      <c r="L1174">
        <f t="shared" si="171"/>
        <v>1415.68</v>
      </c>
      <c r="M1174">
        <f t="shared" si="163"/>
        <v>709.07999999999993</v>
      </c>
      <c r="N1174">
        <f t="shared" si="166"/>
        <v>177.26999999999998</v>
      </c>
      <c r="O1174">
        <f t="shared" si="167"/>
        <v>709.07999999999993</v>
      </c>
      <c r="P1174">
        <f t="shared" si="168"/>
        <v>177.26999999999998</v>
      </c>
      <c r="Q1174">
        <f t="shared" si="169"/>
        <v>180.88630799999999</v>
      </c>
      <c r="R1174">
        <f t="shared" si="170"/>
        <v>400.64000000000004</v>
      </c>
      <c r="S1174">
        <f t="shared" si="164"/>
        <v>1415.68</v>
      </c>
    </row>
    <row r="1175" spans="1:19" x14ac:dyDescent="0.25">
      <c r="A1175">
        <v>1305</v>
      </c>
      <c r="B1175">
        <v>1356</v>
      </c>
      <c r="C1175" t="s">
        <v>33</v>
      </c>
      <c r="D1175" t="s">
        <v>173</v>
      </c>
      <c r="E1175">
        <v>74</v>
      </c>
      <c r="F1175">
        <v>15.39</v>
      </c>
      <c r="G1175">
        <v>2.86</v>
      </c>
      <c r="H1175">
        <v>29.58</v>
      </c>
      <c r="I1175">
        <v>0.8</v>
      </c>
      <c r="J1175">
        <v>86.55</v>
      </c>
      <c r="K1175">
        <f t="shared" si="165"/>
        <v>6404.7</v>
      </c>
      <c r="L1175">
        <f t="shared" si="171"/>
        <v>6404.7</v>
      </c>
      <c r="M1175">
        <f t="shared" si="163"/>
        <v>3257.1396</v>
      </c>
      <c r="N1175">
        <f t="shared" si="166"/>
        <v>814.28489999999999</v>
      </c>
      <c r="O1175">
        <f t="shared" si="167"/>
        <v>3257.1396</v>
      </c>
      <c r="P1175">
        <f t="shared" si="168"/>
        <v>814.28489999999999</v>
      </c>
      <c r="Q1175">
        <f t="shared" si="169"/>
        <v>830.89631195999993</v>
      </c>
      <c r="R1175">
        <f t="shared" si="170"/>
        <v>1751.136</v>
      </c>
      <c r="S1175">
        <f t="shared" si="164"/>
        <v>6404.7</v>
      </c>
    </row>
    <row r="1176" spans="1:19" x14ac:dyDescent="0.25">
      <c r="A1176">
        <v>1306</v>
      </c>
      <c r="B1176">
        <v>1356</v>
      </c>
      <c r="C1176" t="s">
        <v>33</v>
      </c>
      <c r="D1176" t="s">
        <v>173</v>
      </c>
      <c r="E1176">
        <v>24</v>
      </c>
      <c r="F1176">
        <v>14.9</v>
      </c>
      <c r="G1176">
        <v>2.79</v>
      </c>
      <c r="H1176">
        <v>30.81</v>
      </c>
      <c r="I1176">
        <v>0.76</v>
      </c>
      <c r="J1176">
        <v>82.92</v>
      </c>
      <c r="K1176">
        <f t="shared" si="165"/>
        <v>1990.08</v>
      </c>
      <c r="L1176">
        <f t="shared" si="171"/>
        <v>1990.08</v>
      </c>
      <c r="M1176">
        <f t="shared" si="163"/>
        <v>997.70400000000018</v>
      </c>
      <c r="N1176">
        <f t="shared" si="166"/>
        <v>249.42600000000004</v>
      </c>
      <c r="O1176">
        <f t="shared" si="167"/>
        <v>997.70400000000018</v>
      </c>
      <c r="P1176">
        <f t="shared" si="168"/>
        <v>249.42600000000004</v>
      </c>
      <c r="Q1176">
        <f t="shared" si="169"/>
        <v>254.51429040000005</v>
      </c>
      <c r="R1176">
        <f t="shared" si="170"/>
        <v>561.97440000000006</v>
      </c>
      <c r="S1176">
        <f t="shared" si="164"/>
        <v>1990.08</v>
      </c>
    </row>
    <row r="1177" spans="1:19" x14ac:dyDescent="0.25">
      <c r="A1177">
        <v>1307</v>
      </c>
      <c r="B1177">
        <v>1356</v>
      </c>
      <c r="C1177" t="s">
        <v>33</v>
      </c>
      <c r="D1177" t="s">
        <v>172</v>
      </c>
      <c r="E1177">
        <v>17</v>
      </c>
      <c r="F1177">
        <v>18.82</v>
      </c>
      <c r="G1177">
        <v>10.68</v>
      </c>
      <c r="H1177">
        <v>32.33</v>
      </c>
      <c r="I1177">
        <v>0.91</v>
      </c>
      <c r="J1177">
        <v>333.99</v>
      </c>
      <c r="K1177">
        <f t="shared" si="165"/>
        <v>5677.83</v>
      </c>
      <c r="L1177">
        <f t="shared" si="171"/>
        <v>0</v>
      </c>
      <c r="M1177">
        <f t="shared" si="163"/>
        <v>0</v>
      </c>
      <c r="N1177">
        <f t="shared" si="166"/>
        <v>0</v>
      </c>
      <c r="O1177">
        <f t="shared" si="167"/>
        <v>3416.9592000000002</v>
      </c>
      <c r="P1177">
        <f t="shared" si="168"/>
        <v>854.23980000000006</v>
      </c>
      <c r="Q1177">
        <f t="shared" si="169"/>
        <v>871.66629192000005</v>
      </c>
      <c r="R1177">
        <f t="shared" si="170"/>
        <v>500.14510000000001</v>
      </c>
      <c r="S1177">
        <f t="shared" si="164"/>
        <v>5677.83</v>
      </c>
    </row>
    <row r="1178" spans="1:19" x14ac:dyDescent="0.25">
      <c r="A1178">
        <v>1308</v>
      </c>
      <c r="B1178">
        <v>1356</v>
      </c>
      <c r="C1178" t="s">
        <v>33</v>
      </c>
      <c r="D1178" t="s">
        <v>172</v>
      </c>
      <c r="E1178">
        <v>14</v>
      </c>
      <c r="F1178">
        <v>19.09</v>
      </c>
      <c r="G1178">
        <v>10.83</v>
      </c>
      <c r="H1178">
        <v>31.03</v>
      </c>
      <c r="I1178">
        <v>0.98</v>
      </c>
      <c r="J1178">
        <v>343.72</v>
      </c>
      <c r="K1178">
        <f t="shared" si="165"/>
        <v>4812.08</v>
      </c>
      <c r="L1178">
        <f t="shared" si="171"/>
        <v>0</v>
      </c>
      <c r="M1178">
        <f t="shared" si="163"/>
        <v>0</v>
      </c>
      <c r="N1178">
        <f t="shared" si="166"/>
        <v>0</v>
      </c>
      <c r="O1178">
        <f t="shared" si="167"/>
        <v>2894.4258</v>
      </c>
      <c r="P1178">
        <f t="shared" si="168"/>
        <v>723.60645</v>
      </c>
      <c r="Q1178">
        <f t="shared" si="169"/>
        <v>738.36802158</v>
      </c>
      <c r="R1178">
        <f t="shared" si="170"/>
        <v>425.73159999999996</v>
      </c>
      <c r="S1178">
        <f t="shared" si="164"/>
        <v>4812.08</v>
      </c>
    </row>
    <row r="1179" spans="1:19" x14ac:dyDescent="0.25">
      <c r="A1179">
        <v>1309</v>
      </c>
      <c r="B1179">
        <v>1356</v>
      </c>
      <c r="C1179" t="s">
        <v>33</v>
      </c>
      <c r="D1179" t="s">
        <v>173</v>
      </c>
      <c r="E1179">
        <v>8</v>
      </c>
      <c r="F1179">
        <v>15.51</v>
      </c>
      <c r="G1179">
        <v>2.65</v>
      </c>
      <c r="H1179">
        <v>33.270000000000003</v>
      </c>
      <c r="I1179">
        <v>0.8</v>
      </c>
      <c r="J1179">
        <v>85.79</v>
      </c>
      <c r="K1179">
        <f t="shared" si="165"/>
        <v>686.32</v>
      </c>
      <c r="L1179">
        <f t="shared" si="171"/>
        <v>686.32</v>
      </c>
      <c r="M1179">
        <f t="shared" si="163"/>
        <v>328.81200000000001</v>
      </c>
      <c r="N1179">
        <f t="shared" si="166"/>
        <v>82.203000000000003</v>
      </c>
      <c r="O1179">
        <f t="shared" si="167"/>
        <v>328.81200000000001</v>
      </c>
      <c r="P1179">
        <f t="shared" si="168"/>
        <v>82.203000000000003</v>
      </c>
      <c r="Q1179">
        <f t="shared" si="169"/>
        <v>83.879941200000005</v>
      </c>
      <c r="R1179">
        <f t="shared" si="170"/>
        <v>212.92800000000003</v>
      </c>
      <c r="S1179">
        <f t="shared" si="164"/>
        <v>686.32</v>
      </c>
    </row>
    <row r="1180" spans="1:19" x14ac:dyDescent="0.25">
      <c r="A1180">
        <v>1310</v>
      </c>
      <c r="B1180">
        <v>1356</v>
      </c>
      <c r="C1180" t="s">
        <v>33</v>
      </c>
      <c r="D1180" t="s">
        <v>173</v>
      </c>
      <c r="E1180">
        <v>13</v>
      </c>
      <c r="F1180">
        <v>13.81</v>
      </c>
      <c r="G1180">
        <v>2.75</v>
      </c>
      <c r="H1180">
        <v>32.409999999999997</v>
      </c>
      <c r="I1180">
        <v>0.81</v>
      </c>
      <c r="J1180">
        <v>81.099999999999994</v>
      </c>
      <c r="K1180">
        <f t="shared" si="165"/>
        <v>1054.3</v>
      </c>
      <c r="L1180">
        <f t="shared" si="171"/>
        <v>1054.3</v>
      </c>
      <c r="M1180">
        <f t="shared" si="163"/>
        <v>493.70750000000004</v>
      </c>
      <c r="N1180">
        <f t="shared" si="166"/>
        <v>123.42687500000001</v>
      </c>
      <c r="O1180">
        <f t="shared" si="167"/>
        <v>493.70750000000004</v>
      </c>
      <c r="P1180">
        <f t="shared" si="168"/>
        <v>123.42687500000001</v>
      </c>
      <c r="Q1180">
        <f t="shared" si="169"/>
        <v>125.94478325</v>
      </c>
      <c r="R1180">
        <f t="shared" si="170"/>
        <v>341.27730000000003</v>
      </c>
      <c r="S1180">
        <f t="shared" si="164"/>
        <v>1054.3</v>
      </c>
    </row>
    <row r="1181" spans="1:19" x14ac:dyDescent="0.25">
      <c r="A1181">
        <v>1311</v>
      </c>
      <c r="B1181">
        <v>1356</v>
      </c>
      <c r="C1181" t="s">
        <v>33</v>
      </c>
      <c r="D1181" t="s">
        <v>172</v>
      </c>
      <c r="E1181">
        <v>15</v>
      </c>
      <c r="F1181">
        <v>20.61</v>
      </c>
      <c r="G1181">
        <v>11.86</v>
      </c>
      <c r="H1181">
        <v>41.5</v>
      </c>
      <c r="I1181">
        <v>0.97</v>
      </c>
      <c r="J1181">
        <v>411.5</v>
      </c>
      <c r="K1181">
        <f t="shared" si="165"/>
        <v>6172.5</v>
      </c>
      <c r="L1181">
        <f t="shared" si="171"/>
        <v>0</v>
      </c>
      <c r="M1181">
        <f t="shared" si="163"/>
        <v>0</v>
      </c>
      <c r="N1181">
        <f t="shared" si="166"/>
        <v>0</v>
      </c>
      <c r="O1181">
        <f t="shared" si="167"/>
        <v>3666.5189999999993</v>
      </c>
      <c r="P1181">
        <f t="shared" si="168"/>
        <v>916.62974999999983</v>
      </c>
      <c r="Q1181">
        <f t="shared" si="169"/>
        <v>935.32899689999977</v>
      </c>
      <c r="R1181">
        <f t="shared" si="170"/>
        <v>603.82499999999993</v>
      </c>
      <c r="S1181">
        <f t="shared" si="164"/>
        <v>6172.5</v>
      </c>
    </row>
    <row r="1182" spans="1:19" x14ac:dyDescent="0.25">
      <c r="A1182">
        <v>1312</v>
      </c>
      <c r="B1182">
        <v>1356</v>
      </c>
      <c r="C1182" t="s">
        <v>33</v>
      </c>
      <c r="D1182" t="s">
        <v>172</v>
      </c>
      <c r="E1182">
        <v>13</v>
      </c>
      <c r="F1182">
        <v>19.440000000000001</v>
      </c>
      <c r="G1182">
        <v>11.56</v>
      </c>
      <c r="H1182">
        <v>36.479999999999997</v>
      </c>
      <c r="I1182">
        <v>1.05</v>
      </c>
      <c r="J1182">
        <v>379.86</v>
      </c>
      <c r="K1182">
        <f t="shared" si="165"/>
        <v>4938.18</v>
      </c>
      <c r="L1182">
        <f t="shared" si="171"/>
        <v>0</v>
      </c>
      <c r="M1182">
        <f t="shared" si="163"/>
        <v>0</v>
      </c>
      <c r="N1182">
        <f t="shared" si="166"/>
        <v>0</v>
      </c>
      <c r="O1182">
        <f t="shared" si="167"/>
        <v>2921.4432000000002</v>
      </c>
      <c r="P1182">
        <f t="shared" si="168"/>
        <v>730.36080000000004</v>
      </c>
      <c r="Q1182">
        <f t="shared" si="169"/>
        <v>745.26016032000007</v>
      </c>
      <c r="R1182">
        <f t="shared" si="170"/>
        <v>497.952</v>
      </c>
      <c r="S1182">
        <f t="shared" si="164"/>
        <v>4938.18</v>
      </c>
    </row>
    <row r="1183" spans="1:19" x14ac:dyDescent="0.25">
      <c r="A1183">
        <v>1313</v>
      </c>
      <c r="B1183">
        <v>1356</v>
      </c>
      <c r="C1183" t="s">
        <v>33</v>
      </c>
      <c r="D1183" t="s">
        <v>173</v>
      </c>
      <c r="E1183">
        <v>27</v>
      </c>
      <c r="F1183">
        <v>15.7</v>
      </c>
      <c r="G1183">
        <v>2.68</v>
      </c>
      <c r="H1183">
        <v>33.43</v>
      </c>
      <c r="I1183">
        <v>0.82</v>
      </c>
      <c r="J1183">
        <v>88.01</v>
      </c>
      <c r="K1183">
        <f t="shared" si="165"/>
        <v>2376.27</v>
      </c>
      <c r="L1183">
        <f t="shared" si="171"/>
        <v>2376.27</v>
      </c>
      <c r="M1183">
        <f t="shared" si="163"/>
        <v>1136.0519999999999</v>
      </c>
      <c r="N1183">
        <f t="shared" si="166"/>
        <v>284.01299999999998</v>
      </c>
      <c r="O1183">
        <f t="shared" si="167"/>
        <v>1136.0519999999999</v>
      </c>
      <c r="P1183">
        <f t="shared" si="168"/>
        <v>284.01299999999998</v>
      </c>
      <c r="Q1183">
        <f t="shared" si="169"/>
        <v>289.80686519999995</v>
      </c>
      <c r="R1183">
        <f t="shared" si="170"/>
        <v>740.14019999999994</v>
      </c>
      <c r="S1183">
        <f t="shared" si="164"/>
        <v>2376.27</v>
      </c>
    </row>
    <row r="1184" spans="1:19" x14ac:dyDescent="0.25">
      <c r="A1184">
        <v>1314</v>
      </c>
      <c r="B1184">
        <v>1356</v>
      </c>
      <c r="C1184" t="s">
        <v>33</v>
      </c>
      <c r="D1184" t="s">
        <v>173</v>
      </c>
      <c r="E1184">
        <v>43</v>
      </c>
      <c r="F1184">
        <v>14.18</v>
      </c>
      <c r="G1184">
        <v>3.03</v>
      </c>
      <c r="H1184">
        <v>32.51</v>
      </c>
      <c r="I1184">
        <v>0.79</v>
      </c>
      <c r="J1184">
        <v>87.33</v>
      </c>
      <c r="K1184">
        <f t="shared" si="165"/>
        <v>3755.19</v>
      </c>
      <c r="L1184">
        <f t="shared" si="171"/>
        <v>3755.19</v>
      </c>
      <c r="M1184">
        <f t="shared" si="163"/>
        <v>1847.5121999999999</v>
      </c>
      <c r="N1184">
        <f t="shared" si="166"/>
        <v>461.87804999999997</v>
      </c>
      <c r="O1184">
        <f t="shared" si="167"/>
        <v>1847.5121999999999</v>
      </c>
      <c r="P1184">
        <f t="shared" si="168"/>
        <v>461.87804999999997</v>
      </c>
      <c r="Q1184">
        <f t="shared" si="169"/>
        <v>471.30036221999995</v>
      </c>
      <c r="R1184">
        <f t="shared" si="170"/>
        <v>1104.3646999999999</v>
      </c>
      <c r="S1184">
        <f t="shared" si="164"/>
        <v>3755.19</v>
      </c>
    </row>
    <row r="1185" spans="1:19" x14ac:dyDescent="0.25">
      <c r="A1185">
        <v>1315</v>
      </c>
      <c r="B1185">
        <v>1356</v>
      </c>
      <c r="C1185" t="s">
        <v>33</v>
      </c>
      <c r="D1185" t="s">
        <v>172</v>
      </c>
      <c r="E1185">
        <v>35</v>
      </c>
      <c r="F1185">
        <v>20.329999999999998</v>
      </c>
      <c r="G1185">
        <v>11.71</v>
      </c>
      <c r="H1185">
        <v>31.44</v>
      </c>
      <c r="I1185">
        <v>0.98</v>
      </c>
      <c r="J1185">
        <v>390.79</v>
      </c>
      <c r="K1185">
        <f t="shared" si="165"/>
        <v>13677.650000000001</v>
      </c>
      <c r="L1185">
        <f t="shared" si="171"/>
        <v>0</v>
      </c>
      <c r="M1185">
        <f t="shared" si="163"/>
        <v>0</v>
      </c>
      <c r="N1185">
        <f t="shared" si="166"/>
        <v>0</v>
      </c>
      <c r="O1185">
        <f t="shared" si="167"/>
        <v>8332.2505000000001</v>
      </c>
      <c r="P1185">
        <f t="shared" si="168"/>
        <v>2083.062625</v>
      </c>
      <c r="Q1185">
        <f t="shared" si="169"/>
        <v>2125.5571025499999</v>
      </c>
      <c r="R1185">
        <f t="shared" si="170"/>
        <v>1078.3920000000001</v>
      </c>
      <c r="S1185">
        <f t="shared" si="164"/>
        <v>13677.650000000001</v>
      </c>
    </row>
    <row r="1186" spans="1:19" x14ac:dyDescent="0.25">
      <c r="A1186">
        <v>1316</v>
      </c>
      <c r="B1186">
        <v>1356</v>
      </c>
      <c r="C1186" t="s">
        <v>33</v>
      </c>
      <c r="D1186" t="s">
        <v>172</v>
      </c>
      <c r="E1186">
        <v>14</v>
      </c>
      <c r="F1186">
        <v>20.079999999999998</v>
      </c>
      <c r="G1186">
        <v>11.93</v>
      </c>
      <c r="H1186">
        <v>37.119999999999997</v>
      </c>
      <c r="I1186">
        <v>0.95</v>
      </c>
      <c r="J1186">
        <v>398.3</v>
      </c>
      <c r="K1186">
        <f t="shared" si="165"/>
        <v>5576.2</v>
      </c>
      <c r="L1186">
        <f t="shared" si="171"/>
        <v>0</v>
      </c>
      <c r="M1186">
        <f t="shared" si="163"/>
        <v>0</v>
      </c>
      <c r="N1186">
        <f t="shared" si="166"/>
        <v>0</v>
      </c>
      <c r="O1186">
        <f t="shared" si="167"/>
        <v>3353.7615999999994</v>
      </c>
      <c r="P1186">
        <f t="shared" si="168"/>
        <v>838.44039999999984</v>
      </c>
      <c r="Q1186">
        <f t="shared" si="169"/>
        <v>855.54458415999977</v>
      </c>
      <c r="R1186">
        <f t="shared" si="170"/>
        <v>493.69599999999991</v>
      </c>
      <c r="S1186">
        <f t="shared" si="164"/>
        <v>5576.2</v>
      </c>
    </row>
    <row r="1187" spans="1:19" x14ac:dyDescent="0.25">
      <c r="A1187">
        <v>1317</v>
      </c>
      <c r="B1187">
        <v>1356</v>
      </c>
      <c r="C1187" t="s">
        <v>33</v>
      </c>
      <c r="D1187" t="s">
        <v>172</v>
      </c>
      <c r="E1187">
        <v>14</v>
      </c>
      <c r="F1187">
        <v>19.489999999999998</v>
      </c>
      <c r="G1187">
        <v>11.77</v>
      </c>
      <c r="H1187">
        <v>33.42</v>
      </c>
      <c r="I1187">
        <v>1.07</v>
      </c>
      <c r="J1187">
        <v>383.78</v>
      </c>
      <c r="K1187">
        <f t="shared" si="165"/>
        <v>5372.92</v>
      </c>
      <c r="L1187">
        <f t="shared" si="171"/>
        <v>0</v>
      </c>
      <c r="M1187">
        <f t="shared" si="163"/>
        <v>0</v>
      </c>
      <c r="N1187">
        <f t="shared" si="166"/>
        <v>0</v>
      </c>
      <c r="O1187">
        <f t="shared" si="167"/>
        <v>3211.5621999999998</v>
      </c>
      <c r="P1187">
        <f t="shared" si="168"/>
        <v>802.89054999999996</v>
      </c>
      <c r="Q1187">
        <f t="shared" si="169"/>
        <v>819.2695172199999</v>
      </c>
      <c r="R1187">
        <f t="shared" si="170"/>
        <v>500.63160000000005</v>
      </c>
      <c r="S1187">
        <f t="shared" si="164"/>
        <v>5372.92</v>
      </c>
    </row>
    <row r="1188" spans="1:19" x14ac:dyDescent="0.25">
      <c r="A1188">
        <v>1318</v>
      </c>
      <c r="B1188">
        <v>1356</v>
      </c>
      <c r="C1188" t="s">
        <v>33</v>
      </c>
      <c r="D1188" t="s">
        <v>173</v>
      </c>
      <c r="E1188">
        <v>14</v>
      </c>
      <c r="F1188">
        <v>14.11</v>
      </c>
      <c r="G1188">
        <v>2.93</v>
      </c>
      <c r="H1188">
        <v>29.03</v>
      </c>
      <c r="I1188">
        <v>0.78</v>
      </c>
      <c r="J1188">
        <v>81.75</v>
      </c>
      <c r="K1188">
        <f t="shared" si="165"/>
        <v>1144.5</v>
      </c>
      <c r="L1188">
        <f t="shared" si="171"/>
        <v>1144.5</v>
      </c>
      <c r="M1188">
        <f t="shared" si="163"/>
        <v>578.79219999999998</v>
      </c>
      <c r="N1188">
        <f t="shared" si="166"/>
        <v>144.69804999999999</v>
      </c>
      <c r="O1188">
        <f t="shared" si="167"/>
        <v>578.79219999999998</v>
      </c>
      <c r="P1188">
        <f t="shared" si="168"/>
        <v>144.69804999999999</v>
      </c>
      <c r="Q1188">
        <f t="shared" si="169"/>
        <v>147.64989022</v>
      </c>
      <c r="R1188">
        <f t="shared" si="170"/>
        <v>317.00760000000002</v>
      </c>
      <c r="S1188">
        <f t="shared" si="164"/>
        <v>1144.5</v>
      </c>
    </row>
    <row r="1189" spans="1:19" x14ac:dyDescent="0.25">
      <c r="A1189">
        <v>1319</v>
      </c>
      <c r="B1189">
        <v>1356</v>
      </c>
      <c r="C1189" t="s">
        <v>33</v>
      </c>
      <c r="D1189" t="s">
        <v>173</v>
      </c>
      <c r="E1189">
        <v>51</v>
      </c>
      <c r="F1189">
        <v>15.82</v>
      </c>
      <c r="G1189">
        <v>2.87</v>
      </c>
      <c r="H1189">
        <v>28.89</v>
      </c>
      <c r="I1189">
        <v>0.8</v>
      </c>
      <c r="J1189">
        <v>78.27</v>
      </c>
      <c r="K1189">
        <f t="shared" si="165"/>
        <v>3991.77</v>
      </c>
      <c r="L1189">
        <f t="shared" si="171"/>
        <v>3991.77</v>
      </c>
      <c r="M1189">
        <f t="shared" si="163"/>
        <v>2315.5734000000002</v>
      </c>
      <c r="N1189">
        <f t="shared" si="166"/>
        <v>578.89335000000005</v>
      </c>
      <c r="O1189">
        <f t="shared" si="167"/>
        <v>2315.5734000000002</v>
      </c>
      <c r="P1189">
        <f t="shared" si="168"/>
        <v>578.89335000000005</v>
      </c>
      <c r="Q1189">
        <f t="shared" si="169"/>
        <v>590.70277434000002</v>
      </c>
      <c r="R1189">
        <f t="shared" si="170"/>
        <v>1178.7120000000002</v>
      </c>
      <c r="S1189">
        <f t="shared" si="164"/>
        <v>3991.77</v>
      </c>
    </row>
    <row r="1190" spans="1:19" x14ac:dyDescent="0.25">
      <c r="A1190">
        <v>1320</v>
      </c>
      <c r="B1190">
        <v>1356</v>
      </c>
      <c r="C1190" t="s">
        <v>33</v>
      </c>
      <c r="D1190" t="s">
        <v>173</v>
      </c>
      <c r="E1190">
        <v>11</v>
      </c>
      <c r="F1190">
        <v>17.420000000000002</v>
      </c>
      <c r="G1190">
        <v>2.75</v>
      </c>
      <c r="H1190">
        <v>31.99</v>
      </c>
      <c r="I1190">
        <v>0.82</v>
      </c>
      <c r="J1190">
        <v>94.73</v>
      </c>
      <c r="K1190">
        <f t="shared" si="165"/>
        <v>1042.03</v>
      </c>
      <c r="L1190">
        <f t="shared" si="171"/>
        <v>1042.03</v>
      </c>
      <c r="M1190">
        <f t="shared" si="163"/>
        <v>526.95500000000004</v>
      </c>
      <c r="N1190">
        <f t="shared" si="166"/>
        <v>131.73875000000001</v>
      </c>
      <c r="O1190">
        <f t="shared" si="167"/>
        <v>526.95500000000004</v>
      </c>
      <c r="P1190">
        <f t="shared" si="168"/>
        <v>131.73875000000001</v>
      </c>
      <c r="Q1190">
        <f t="shared" si="169"/>
        <v>134.4262205</v>
      </c>
      <c r="R1190">
        <f t="shared" si="170"/>
        <v>288.54979999999995</v>
      </c>
      <c r="S1190">
        <f t="shared" si="164"/>
        <v>1042.03</v>
      </c>
    </row>
    <row r="1191" spans="1:19" x14ac:dyDescent="0.25">
      <c r="A1191">
        <v>1321</v>
      </c>
      <c r="B1191">
        <v>1356</v>
      </c>
      <c r="C1191" t="s">
        <v>33</v>
      </c>
      <c r="D1191" t="s">
        <v>172</v>
      </c>
      <c r="E1191">
        <v>94</v>
      </c>
      <c r="F1191">
        <v>19.13</v>
      </c>
      <c r="G1191">
        <v>9.26</v>
      </c>
      <c r="H1191">
        <v>32.25</v>
      </c>
      <c r="I1191">
        <v>0.94</v>
      </c>
      <c r="J1191">
        <v>242.18</v>
      </c>
      <c r="K1191">
        <f t="shared" si="165"/>
        <v>22764.920000000002</v>
      </c>
      <c r="L1191">
        <f t="shared" si="171"/>
        <v>0</v>
      </c>
      <c r="M1191">
        <f t="shared" si="163"/>
        <v>0</v>
      </c>
      <c r="N1191">
        <f t="shared" si="166"/>
        <v>0</v>
      </c>
      <c r="O1191">
        <f t="shared" si="167"/>
        <v>16651.517199999998</v>
      </c>
      <c r="P1191">
        <f t="shared" si="168"/>
        <v>4162.8792999999996</v>
      </c>
      <c r="Q1191">
        <f t="shared" si="169"/>
        <v>4247.8020377199991</v>
      </c>
      <c r="R1191">
        <f t="shared" si="170"/>
        <v>2849.61</v>
      </c>
      <c r="S1191">
        <f t="shared" si="164"/>
        <v>22764.920000000002</v>
      </c>
    </row>
    <row r="1192" spans="1:19" x14ac:dyDescent="0.25">
      <c r="A1192">
        <v>1322</v>
      </c>
      <c r="B1192">
        <v>1356</v>
      </c>
      <c r="C1192" t="s">
        <v>33</v>
      </c>
      <c r="D1192" t="s">
        <v>172</v>
      </c>
      <c r="E1192">
        <v>21</v>
      </c>
      <c r="F1192">
        <v>18.45</v>
      </c>
      <c r="G1192">
        <v>11.63</v>
      </c>
      <c r="H1192">
        <v>26.86</v>
      </c>
      <c r="I1192">
        <v>1.1000000000000001</v>
      </c>
      <c r="J1192">
        <v>354.34</v>
      </c>
      <c r="K1192">
        <f t="shared" si="165"/>
        <v>7441.1399999999994</v>
      </c>
      <c r="L1192">
        <f t="shared" si="171"/>
        <v>0</v>
      </c>
      <c r="M1192">
        <f t="shared" si="163"/>
        <v>0</v>
      </c>
      <c r="N1192">
        <f t="shared" si="166"/>
        <v>0</v>
      </c>
      <c r="O1192">
        <f t="shared" si="167"/>
        <v>4506.0434999999998</v>
      </c>
      <c r="P1192">
        <f t="shared" si="168"/>
        <v>1126.5108749999999</v>
      </c>
      <c r="Q1192">
        <f t="shared" si="169"/>
        <v>1149.4916968499999</v>
      </c>
      <c r="R1192">
        <f t="shared" si="170"/>
        <v>620.46600000000001</v>
      </c>
      <c r="S1192">
        <f t="shared" si="164"/>
        <v>7441.1399999999994</v>
      </c>
    </row>
    <row r="1193" spans="1:19" x14ac:dyDescent="0.25">
      <c r="A1193">
        <v>1323</v>
      </c>
      <c r="B1193">
        <v>1356</v>
      </c>
      <c r="C1193" t="s">
        <v>33</v>
      </c>
      <c r="D1193" t="s">
        <v>173</v>
      </c>
      <c r="E1193">
        <v>9</v>
      </c>
      <c r="F1193">
        <v>15</v>
      </c>
      <c r="G1193">
        <v>2.94</v>
      </c>
      <c r="H1193">
        <v>30.81</v>
      </c>
      <c r="I1193">
        <v>0.79</v>
      </c>
      <c r="J1193">
        <v>87.41</v>
      </c>
      <c r="K1193">
        <f t="shared" si="165"/>
        <v>786.68999999999994</v>
      </c>
      <c r="L1193">
        <f t="shared" si="171"/>
        <v>786.68999999999994</v>
      </c>
      <c r="M1193">
        <f t="shared" si="163"/>
        <v>396.90000000000003</v>
      </c>
      <c r="N1193">
        <f t="shared" si="166"/>
        <v>99.225000000000009</v>
      </c>
      <c r="O1193">
        <f t="shared" si="167"/>
        <v>396.90000000000003</v>
      </c>
      <c r="P1193">
        <f t="shared" si="168"/>
        <v>99.225000000000009</v>
      </c>
      <c r="Q1193">
        <f t="shared" si="169"/>
        <v>101.24919000000001</v>
      </c>
      <c r="R1193">
        <f t="shared" si="170"/>
        <v>219.0591</v>
      </c>
      <c r="S1193">
        <f t="shared" si="164"/>
        <v>786.68999999999994</v>
      </c>
    </row>
    <row r="1194" spans="1:19" x14ac:dyDescent="0.25">
      <c r="A1194">
        <v>1324</v>
      </c>
      <c r="B1194">
        <v>1356</v>
      </c>
      <c r="C1194" t="s">
        <v>33</v>
      </c>
      <c r="D1194" t="s">
        <v>172</v>
      </c>
      <c r="E1194">
        <v>12</v>
      </c>
      <c r="F1194">
        <v>19.579999999999998</v>
      </c>
      <c r="G1194">
        <v>10.11</v>
      </c>
      <c r="H1194">
        <v>28.46</v>
      </c>
      <c r="I1194">
        <v>0.88</v>
      </c>
      <c r="J1194">
        <v>324.26</v>
      </c>
      <c r="K1194">
        <f t="shared" si="165"/>
        <v>3891.12</v>
      </c>
      <c r="L1194">
        <f t="shared" si="171"/>
        <v>0</v>
      </c>
      <c r="M1194">
        <f t="shared" si="163"/>
        <v>0</v>
      </c>
      <c r="N1194">
        <f t="shared" si="166"/>
        <v>0</v>
      </c>
      <c r="O1194">
        <f t="shared" si="167"/>
        <v>2375.4455999999996</v>
      </c>
      <c r="P1194">
        <f t="shared" si="168"/>
        <v>593.86139999999989</v>
      </c>
      <c r="Q1194">
        <f t="shared" si="169"/>
        <v>605.9761725599999</v>
      </c>
      <c r="R1194">
        <f t="shared" si="170"/>
        <v>300.5376</v>
      </c>
      <c r="S1194">
        <f t="shared" si="164"/>
        <v>3891.12</v>
      </c>
    </row>
    <row r="1195" spans="1:19" x14ac:dyDescent="0.25">
      <c r="A1195">
        <v>1325</v>
      </c>
      <c r="B1195">
        <v>1356</v>
      </c>
      <c r="C1195" t="s">
        <v>33</v>
      </c>
      <c r="D1195" t="s">
        <v>173</v>
      </c>
      <c r="E1195">
        <v>13</v>
      </c>
      <c r="F1195">
        <v>15.05</v>
      </c>
      <c r="G1195">
        <v>2.77</v>
      </c>
      <c r="H1195">
        <v>29.74</v>
      </c>
      <c r="I1195">
        <v>0.84</v>
      </c>
      <c r="J1195">
        <v>84.8</v>
      </c>
      <c r="K1195">
        <f t="shared" si="165"/>
        <v>1102.3999999999999</v>
      </c>
      <c r="L1195">
        <f t="shared" si="171"/>
        <v>1102.3999999999999</v>
      </c>
      <c r="M1195">
        <f t="shared" si="163"/>
        <v>541.95050000000003</v>
      </c>
      <c r="N1195">
        <f t="shared" si="166"/>
        <v>135.48762500000001</v>
      </c>
      <c r="O1195">
        <f t="shared" si="167"/>
        <v>541.95050000000003</v>
      </c>
      <c r="P1195">
        <f t="shared" si="168"/>
        <v>135.48762500000001</v>
      </c>
      <c r="Q1195">
        <f t="shared" si="169"/>
        <v>138.25157254999999</v>
      </c>
      <c r="R1195">
        <f t="shared" si="170"/>
        <v>324.76079999999996</v>
      </c>
      <c r="S1195">
        <f t="shared" si="164"/>
        <v>1102.3999999999999</v>
      </c>
    </row>
    <row r="1196" spans="1:19" x14ac:dyDescent="0.25">
      <c r="A1196">
        <v>1326</v>
      </c>
      <c r="B1196">
        <v>1356</v>
      </c>
      <c r="C1196" t="s">
        <v>33</v>
      </c>
      <c r="D1196" t="s">
        <v>173</v>
      </c>
      <c r="E1196">
        <v>19</v>
      </c>
      <c r="F1196">
        <v>15.43</v>
      </c>
      <c r="G1196">
        <v>2.96</v>
      </c>
      <c r="H1196">
        <v>33.159999999999997</v>
      </c>
      <c r="I1196">
        <v>0.79</v>
      </c>
      <c r="J1196">
        <v>91.62</v>
      </c>
      <c r="K1196">
        <f t="shared" si="165"/>
        <v>1740.7800000000002</v>
      </c>
      <c r="L1196">
        <f t="shared" si="171"/>
        <v>1740.7800000000002</v>
      </c>
      <c r="M1196">
        <f t="shared" si="163"/>
        <v>867.78319999999997</v>
      </c>
      <c r="N1196">
        <f t="shared" si="166"/>
        <v>216.94579999999999</v>
      </c>
      <c r="O1196">
        <f t="shared" si="167"/>
        <v>867.78319999999997</v>
      </c>
      <c r="P1196">
        <f t="shared" si="168"/>
        <v>216.94579999999999</v>
      </c>
      <c r="Q1196">
        <f t="shared" si="169"/>
        <v>221.37149431999998</v>
      </c>
      <c r="R1196">
        <f t="shared" si="170"/>
        <v>497.73160000000001</v>
      </c>
      <c r="S1196">
        <f t="shared" si="164"/>
        <v>1740.7800000000002</v>
      </c>
    </row>
    <row r="1197" spans="1:19" x14ac:dyDescent="0.25">
      <c r="A1197">
        <v>1327</v>
      </c>
      <c r="B1197">
        <v>1356</v>
      </c>
      <c r="C1197" t="s">
        <v>33</v>
      </c>
      <c r="D1197" t="s">
        <v>173</v>
      </c>
      <c r="E1197">
        <v>9</v>
      </c>
      <c r="F1197">
        <v>14.68</v>
      </c>
      <c r="G1197">
        <v>2.9</v>
      </c>
      <c r="H1197">
        <v>28.05</v>
      </c>
      <c r="I1197">
        <v>0.8</v>
      </c>
      <c r="J1197">
        <v>83.22</v>
      </c>
      <c r="K1197">
        <f t="shared" si="165"/>
        <v>748.98</v>
      </c>
      <c r="L1197">
        <f t="shared" si="171"/>
        <v>748.98</v>
      </c>
      <c r="M1197">
        <f t="shared" si="163"/>
        <v>383.14799999999997</v>
      </c>
      <c r="N1197">
        <f t="shared" si="166"/>
        <v>95.786999999999992</v>
      </c>
      <c r="O1197">
        <f t="shared" si="167"/>
        <v>383.14799999999997</v>
      </c>
      <c r="P1197">
        <f t="shared" si="168"/>
        <v>95.786999999999992</v>
      </c>
      <c r="Q1197">
        <f t="shared" si="169"/>
        <v>97.741054799999986</v>
      </c>
      <c r="R1197">
        <f t="shared" si="170"/>
        <v>201.96</v>
      </c>
      <c r="S1197">
        <f t="shared" si="164"/>
        <v>748.98</v>
      </c>
    </row>
    <row r="1198" spans="1:19" x14ac:dyDescent="0.25">
      <c r="A1198">
        <v>1328</v>
      </c>
      <c r="B1198">
        <v>1356</v>
      </c>
      <c r="C1198" t="s">
        <v>33</v>
      </c>
      <c r="D1198" t="s">
        <v>173</v>
      </c>
      <c r="E1198">
        <v>8</v>
      </c>
      <c r="F1198">
        <v>15.68</v>
      </c>
      <c r="G1198">
        <v>2.83</v>
      </c>
      <c r="H1198">
        <v>32.29</v>
      </c>
      <c r="I1198">
        <v>0.84</v>
      </c>
      <c r="J1198">
        <v>90.85</v>
      </c>
      <c r="K1198">
        <f t="shared" si="165"/>
        <v>726.8</v>
      </c>
      <c r="L1198">
        <f t="shared" si="171"/>
        <v>726.8</v>
      </c>
      <c r="M1198">
        <f t="shared" si="163"/>
        <v>354.99520000000001</v>
      </c>
      <c r="N1198">
        <f t="shared" si="166"/>
        <v>88.748800000000003</v>
      </c>
      <c r="O1198">
        <f t="shared" si="167"/>
        <v>354.99520000000001</v>
      </c>
      <c r="P1198">
        <f t="shared" si="168"/>
        <v>88.748800000000003</v>
      </c>
      <c r="Q1198">
        <f t="shared" si="169"/>
        <v>90.55927552</v>
      </c>
      <c r="R1198">
        <f t="shared" si="170"/>
        <v>216.9888</v>
      </c>
      <c r="S1198">
        <f t="shared" si="164"/>
        <v>726.8</v>
      </c>
    </row>
    <row r="1199" spans="1:19" x14ac:dyDescent="0.25">
      <c r="A1199">
        <v>1329</v>
      </c>
      <c r="B1199">
        <v>1356</v>
      </c>
      <c r="C1199" t="s">
        <v>33</v>
      </c>
      <c r="D1199" t="s">
        <v>173</v>
      </c>
      <c r="E1199">
        <v>11</v>
      </c>
      <c r="F1199">
        <v>15.31</v>
      </c>
      <c r="G1199">
        <v>2.83</v>
      </c>
      <c r="H1199">
        <v>32.47</v>
      </c>
      <c r="I1199">
        <v>0.8</v>
      </c>
      <c r="J1199">
        <v>79.33</v>
      </c>
      <c r="K1199">
        <f t="shared" si="165"/>
        <v>872.63</v>
      </c>
      <c r="L1199">
        <f t="shared" si="171"/>
        <v>872.63</v>
      </c>
      <c r="M1199">
        <f t="shared" si="163"/>
        <v>476.60030000000006</v>
      </c>
      <c r="N1199">
        <f t="shared" si="166"/>
        <v>119.15007500000002</v>
      </c>
      <c r="O1199">
        <f t="shared" si="167"/>
        <v>476.60030000000006</v>
      </c>
      <c r="P1199">
        <f t="shared" si="168"/>
        <v>119.15007500000002</v>
      </c>
      <c r="Q1199">
        <f t="shared" si="169"/>
        <v>121.58073653000001</v>
      </c>
      <c r="R1199">
        <f t="shared" si="170"/>
        <v>285.73599999999999</v>
      </c>
      <c r="S1199">
        <f t="shared" si="164"/>
        <v>872.63</v>
      </c>
    </row>
    <row r="1200" spans="1:19" x14ac:dyDescent="0.25">
      <c r="A1200">
        <v>1330</v>
      </c>
      <c r="B1200">
        <v>1356</v>
      </c>
      <c r="C1200" t="s">
        <v>33</v>
      </c>
      <c r="D1200" t="s">
        <v>173</v>
      </c>
      <c r="E1200">
        <v>32</v>
      </c>
      <c r="F1200">
        <v>14.31</v>
      </c>
      <c r="G1200">
        <v>2.48</v>
      </c>
      <c r="H1200">
        <v>27.78</v>
      </c>
      <c r="I1200">
        <v>0.81</v>
      </c>
      <c r="J1200">
        <v>73.55</v>
      </c>
      <c r="K1200">
        <f t="shared" si="165"/>
        <v>2353.6</v>
      </c>
      <c r="L1200">
        <f t="shared" si="171"/>
        <v>2353.6</v>
      </c>
      <c r="M1200">
        <f t="shared" si="163"/>
        <v>1135.6415999999999</v>
      </c>
      <c r="N1200">
        <f t="shared" si="166"/>
        <v>283.91039999999998</v>
      </c>
      <c r="O1200">
        <f t="shared" si="167"/>
        <v>1135.6415999999999</v>
      </c>
      <c r="P1200">
        <f t="shared" si="168"/>
        <v>283.91039999999998</v>
      </c>
      <c r="Q1200">
        <f t="shared" si="169"/>
        <v>289.70217215999998</v>
      </c>
      <c r="R1200">
        <f t="shared" si="170"/>
        <v>720.05760000000009</v>
      </c>
      <c r="S1200">
        <f t="shared" si="164"/>
        <v>2353.6</v>
      </c>
    </row>
    <row r="1201" spans="1:19" x14ac:dyDescent="0.25">
      <c r="A1201">
        <v>1331</v>
      </c>
      <c r="B1201">
        <v>1356</v>
      </c>
      <c r="C1201" t="s">
        <v>33</v>
      </c>
      <c r="D1201" t="s">
        <v>172</v>
      </c>
      <c r="E1201">
        <v>12</v>
      </c>
      <c r="F1201">
        <v>19.190000000000001</v>
      </c>
      <c r="G1201">
        <v>10.79</v>
      </c>
      <c r="H1201">
        <v>27.06</v>
      </c>
      <c r="I1201">
        <v>0.96</v>
      </c>
      <c r="J1201">
        <v>338.92</v>
      </c>
      <c r="K1201">
        <f t="shared" si="165"/>
        <v>4067.04</v>
      </c>
      <c r="L1201">
        <f t="shared" si="171"/>
        <v>0</v>
      </c>
      <c r="M1201">
        <f t="shared" si="163"/>
        <v>0</v>
      </c>
      <c r="N1201">
        <f t="shared" si="166"/>
        <v>0</v>
      </c>
      <c r="O1201">
        <f t="shared" si="167"/>
        <v>2484.7212</v>
      </c>
      <c r="P1201">
        <f t="shared" si="168"/>
        <v>621.18029999999999</v>
      </c>
      <c r="Q1201">
        <f t="shared" si="169"/>
        <v>633.85237812000003</v>
      </c>
      <c r="R1201">
        <f t="shared" si="170"/>
        <v>311.7312</v>
      </c>
      <c r="S1201">
        <f t="shared" si="164"/>
        <v>4067.04</v>
      </c>
    </row>
    <row r="1202" spans="1:19" x14ac:dyDescent="0.25">
      <c r="A1202">
        <v>1332</v>
      </c>
      <c r="B1202">
        <v>1356</v>
      </c>
      <c r="C1202" t="s">
        <v>33</v>
      </c>
      <c r="D1202" t="s">
        <v>173</v>
      </c>
      <c r="E1202">
        <v>23</v>
      </c>
      <c r="F1202">
        <v>13.52</v>
      </c>
      <c r="G1202">
        <v>2.96</v>
      </c>
      <c r="H1202">
        <v>28.39</v>
      </c>
      <c r="I1202">
        <v>0.81</v>
      </c>
      <c r="J1202">
        <v>80.319999999999993</v>
      </c>
      <c r="K1202">
        <f t="shared" si="165"/>
        <v>1847.36</v>
      </c>
      <c r="L1202">
        <f t="shared" si="171"/>
        <v>1847.36</v>
      </c>
      <c r="M1202">
        <f t="shared" si="163"/>
        <v>920.44159999999999</v>
      </c>
      <c r="N1202">
        <f t="shared" si="166"/>
        <v>230.1104</v>
      </c>
      <c r="O1202">
        <f t="shared" si="167"/>
        <v>920.44159999999999</v>
      </c>
      <c r="P1202">
        <f t="shared" si="168"/>
        <v>230.1104</v>
      </c>
      <c r="Q1202">
        <f t="shared" si="169"/>
        <v>234.80465215999999</v>
      </c>
      <c r="R1202">
        <f t="shared" si="170"/>
        <v>528.90570000000014</v>
      </c>
      <c r="S1202">
        <f t="shared" si="164"/>
        <v>1847.36</v>
      </c>
    </row>
    <row r="1203" spans="1:19" x14ac:dyDescent="0.25">
      <c r="A1203">
        <v>1333</v>
      </c>
      <c r="B1203">
        <v>1356</v>
      </c>
      <c r="C1203" t="s">
        <v>33</v>
      </c>
      <c r="D1203" t="s">
        <v>172</v>
      </c>
      <c r="E1203">
        <v>16</v>
      </c>
      <c r="F1203">
        <v>20.85</v>
      </c>
      <c r="G1203">
        <v>11.84</v>
      </c>
      <c r="H1203">
        <v>31.31</v>
      </c>
      <c r="I1203">
        <v>0.98</v>
      </c>
      <c r="J1203">
        <v>403.72</v>
      </c>
      <c r="K1203">
        <f t="shared" si="165"/>
        <v>6459.52</v>
      </c>
      <c r="L1203">
        <f t="shared" si="171"/>
        <v>0</v>
      </c>
      <c r="M1203">
        <f t="shared" si="163"/>
        <v>0</v>
      </c>
      <c r="N1203">
        <f t="shared" si="166"/>
        <v>0</v>
      </c>
      <c r="O1203">
        <f t="shared" si="167"/>
        <v>3949.8240000000001</v>
      </c>
      <c r="P1203">
        <f t="shared" si="168"/>
        <v>987.45600000000002</v>
      </c>
      <c r="Q1203">
        <f t="shared" si="169"/>
        <v>1007.6001024</v>
      </c>
      <c r="R1203">
        <f t="shared" si="170"/>
        <v>490.94079999999997</v>
      </c>
      <c r="S1203">
        <f t="shared" si="164"/>
        <v>6459.52</v>
      </c>
    </row>
    <row r="1204" spans="1:19" x14ac:dyDescent="0.25">
      <c r="A1204">
        <v>1334</v>
      </c>
      <c r="B1204">
        <v>1356</v>
      </c>
      <c r="C1204" t="s">
        <v>33</v>
      </c>
      <c r="D1204" t="s">
        <v>172</v>
      </c>
      <c r="E1204">
        <v>17</v>
      </c>
      <c r="F1204">
        <v>20.53</v>
      </c>
      <c r="G1204">
        <v>10.28</v>
      </c>
      <c r="H1204">
        <v>33.119999999999997</v>
      </c>
      <c r="I1204">
        <v>0.94</v>
      </c>
      <c r="J1204">
        <v>289.33999999999997</v>
      </c>
      <c r="K1204">
        <f t="shared" si="165"/>
        <v>4918.78</v>
      </c>
      <c r="L1204">
        <f t="shared" si="171"/>
        <v>0</v>
      </c>
      <c r="M1204">
        <f t="shared" si="163"/>
        <v>0</v>
      </c>
      <c r="N1204">
        <f t="shared" si="166"/>
        <v>0</v>
      </c>
      <c r="O1204">
        <f t="shared" si="167"/>
        <v>3587.8227999999999</v>
      </c>
      <c r="P1204">
        <f t="shared" si="168"/>
        <v>896.95569999999998</v>
      </c>
      <c r="Q1204">
        <f t="shared" si="169"/>
        <v>915.25359628000001</v>
      </c>
      <c r="R1204">
        <f t="shared" si="170"/>
        <v>529.25759999999991</v>
      </c>
      <c r="S1204">
        <f t="shared" si="164"/>
        <v>4918.78</v>
      </c>
    </row>
    <row r="1205" spans="1:19" x14ac:dyDescent="0.25">
      <c r="A1205">
        <v>1335</v>
      </c>
      <c r="B1205">
        <v>1356</v>
      </c>
      <c r="C1205" t="s">
        <v>33</v>
      </c>
      <c r="D1205" t="s">
        <v>173</v>
      </c>
      <c r="E1205">
        <v>14</v>
      </c>
      <c r="F1205">
        <v>14.78</v>
      </c>
      <c r="G1205">
        <v>2.44</v>
      </c>
      <c r="H1205">
        <v>28.49</v>
      </c>
      <c r="I1205">
        <v>0.77</v>
      </c>
      <c r="J1205">
        <v>73.72</v>
      </c>
      <c r="K1205">
        <f t="shared" si="165"/>
        <v>1032.08</v>
      </c>
      <c r="L1205">
        <f t="shared" si="171"/>
        <v>1032.08</v>
      </c>
      <c r="M1205">
        <f t="shared" si="163"/>
        <v>504.88479999999993</v>
      </c>
      <c r="N1205">
        <f t="shared" si="166"/>
        <v>126.22119999999998</v>
      </c>
      <c r="O1205">
        <f t="shared" si="167"/>
        <v>504.88479999999993</v>
      </c>
      <c r="P1205">
        <f t="shared" si="168"/>
        <v>126.22119999999998</v>
      </c>
      <c r="Q1205">
        <f t="shared" si="169"/>
        <v>128.79611247999998</v>
      </c>
      <c r="R1205">
        <f t="shared" si="170"/>
        <v>307.12220000000002</v>
      </c>
      <c r="S1205">
        <f t="shared" si="164"/>
        <v>1032.08</v>
      </c>
    </row>
    <row r="1206" spans="1:19" x14ac:dyDescent="0.25">
      <c r="A1206">
        <v>1336</v>
      </c>
      <c r="B1206">
        <v>1356</v>
      </c>
      <c r="C1206" t="s">
        <v>33</v>
      </c>
      <c r="D1206" t="s">
        <v>172</v>
      </c>
      <c r="E1206">
        <v>10</v>
      </c>
      <c r="F1206">
        <v>22.15</v>
      </c>
      <c r="G1206">
        <v>12.05</v>
      </c>
      <c r="H1206">
        <v>28.59</v>
      </c>
      <c r="I1206">
        <v>1</v>
      </c>
      <c r="J1206">
        <v>431.05</v>
      </c>
      <c r="K1206">
        <f t="shared" si="165"/>
        <v>4310.5</v>
      </c>
      <c r="L1206">
        <f t="shared" si="171"/>
        <v>0</v>
      </c>
      <c r="M1206">
        <f t="shared" si="163"/>
        <v>0</v>
      </c>
      <c r="N1206">
        <f t="shared" si="166"/>
        <v>0</v>
      </c>
      <c r="O1206">
        <f t="shared" si="167"/>
        <v>2669.0749999999998</v>
      </c>
      <c r="P1206">
        <f t="shared" si="168"/>
        <v>667.26874999999995</v>
      </c>
      <c r="Q1206">
        <f t="shared" si="169"/>
        <v>680.88103249999995</v>
      </c>
      <c r="R1206">
        <f t="shared" si="170"/>
        <v>285.89999999999998</v>
      </c>
      <c r="S1206">
        <f t="shared" si="164"/>
        <v>4310.5</v>
      </c>
    </row>
    <row r="1207" spans="1:19" x14ac:dyDescent="0.25">
      <c r="A1207">
        <v>1337</v>
      </c>
      <c r="B1207">
        <v>1356</v>
      </c>
      <c r="C1207" t="s">
        <v>33</v>
      </c>
      <c r="D1207" t="s">
        <v>172</v>
      </c>
      <c r="E1207">
        <v>37</v>
      </c>
      <c r="F1207">
        <v>18.38</v>
      </c>
      <c r="G1207">
        <v>11.04</v>
      </c>
      <c r="H1207">
        <v>31.33</v>
      </c>
      <c r="I1207">
        <v>0.96</v>
      </c>
      <c r="J1207">
        <v>337.63</v>
      </c>
      <c r="K1207">
        <f t="shared" si="165"/>
        <v>12492.31</v>
      </c>
      <c r="L1207">
        <f t="shared" si="171"/>
        <v>0</v>
      </c>
      <c r="M1207">
        <f t="shared" si="163"/>
        <v>0</v>
      </c>
      <c r="N1207">
        <f t="shared" si="166"/>
        <v>0</v>
      </c>
      <c r="O1207">
        <f t="shared" si="167"/>
        <v>7507.8623999999991</v>
      </c>
      <c r="P1207">
        <f t="shared" si="168"/>
        <v>1876.9655999999998</v>
      </c>
      <c r="Q1207">
        <f t="shared" si="169"/>
        <v>1915.2556982399997</v>
      </c>
      <c r="R1207">
        <f t="shared" si="170"/>
        <v>1112.8415999999997</v>
      </c>
      <c r="S1207">
        <f t="shared" si="164"/>
        <v>12492.31</v>
      </c>
    </row>
    <row r="1208" spans="1:19" x14ac:dyDescent="0.25">
      <c r="A1208">
        <v>1338</v>
      </c>
      <c r="B1208">
        <v>1356</v>
      </c>
      <c r="C1208" t="s">
        <v>33</v>
      </c>
      <c r="D1208" t="s">
        <v>173</v>
      </c>
      <c r="E1208">
        <v>16</v>
      </c>
      <c r="F1208">
        <v>13.99</v>
      </c>
      <c r="G1208">
        <v>3.14</v>
      </c>
      <c r="H1208">
        <v>33.369999999999997</v>
      </c>
      <c r="I1208">
        <v>0.76</v>
      </c>
      <c r="J1208">
        <v>88.3</v>
      </c>
      <c r="K1208">
        <f t="shared" si="165"/>
        <v>1412.8</v>
      </c>
      <c r="L1208">
        <f t="shared" si="171"/>
        <v>1412.8</v>
      </c>
      <c r="M1208">
        <f t="shared" si="163"/>
        <v>702.85760000000005</v>
      </c>
      <c r="N1208">
        <f t="shared" si="166"/>
        <v>175.71440000000001</v>
      </c>
      <c r="O1208">
        <f t="shared" si="167"/>
        <v>702.85760000000005</v>
      </c>
      <c r="P1208">
        <f t="shared" si="168"/>
        <v>175.71440000000001</v>
      </c>
      <c r="Q1208">
        <f t="shared" si="169"/>
        <v>179.29897376</v>
      </c>
      <c r="R1208">
        <f t="shared" si="170"/>
        <v>405.77919999999995</v>
      </c>
      <c r="S1208">
        <f t="shared" si="164"/>
        <v>1412.8</v>
      </c>
    </row>
    <row r="1209" spans="1:19" x14ac:dyDescent="0.25">
      <c r="A1209">
        <v>1339</v>
      </c>
      <c r="B1209">
        <v>1356</v>
      </c>
      <c r="C1209" t="s">
        <v>33</v>
      </c>
      <c r="D1209" t="s">
        <v>173</v>
      </c>
      <c r="E1209">
        <v>13</v>
      </c>
      <c r="F1209">
        <v>14.19</v>
      </c>
      <c r="G1209">
        <v>3.11</v>
      </c>
      <c r="H1209">
        <v>33.64</v>
      </c>
      <c r="I1209">
        <v>0.78</v>
      </c>
      <c r="J1209">
        <v>89.54</v>
      </c>
      <c r="K1209">
        <f t="shared" si="165"/>
        <v>1164.02</v>
      </c>
      <c r="L1209">
        <f t="shared" si="171"/>
        <v>1164.02</v>
      </c>
      <c r="M1209">
        <f t="shared" si="163"/>
        <v>573.70169999999996</v>
      </c>
      <c r="N1209">
        <f t="shared" si="166"/>
        <v>143.42542499999999</v>
      </c>
      <c r="O1209">
        <f t="shared" si="167"/>
        <v>573.70169999999996</v>
      </c>
      <c r="P1209">
        <f t="shared" si="168"/>
        <v>143.42542499999999</v>
      </c>
      <c r="Q1209">
        <f t="shared" si="169"/>
        <v>146.35130366999999</v>
      </c>
      <c r="R1209">
        <f t="shared" si="170"/>
        <v>341.1096</v>
      </c>
      <c r="S1209">
        <f t="shared" si="164"/>
        <v>1164.02</v>
      </c>
    </row>
    <row r="1210" spans="1:19" x14ac:dyDescent="0.25">
      <c r="A1210">
        <v>1340</v>
      </c>
      <c r="B1210">
        <v>1356</v>
      </c>
      <c r="C1210" t="s">
        <v>33</v>
      </c>
      <c r="D1210" t="s">
        <v>172</v>
      </c>
      <c r="E1210">
        <v>19</v>
      </c>
      <c r="F1210">
        <v>20.190000000000001</v>
      </c>
      <c r="G1210">
        <v>10.69</v>
      </c>
      <c r="H1210">
        <v>34.07</v>
      </c>
      <c r="I1210">
        <v>1.0900000000000001</v>
      </c>
      <c r="J1210">
        <v>365.24</v>
      </c>
      <c r="K1210">
        <f t="shared" si="165"/>
        <v>6939.56</v>
      </c>
      <c r="L1210">
        <f t="shared" si="171"/>
        <v>0</v>
      </c>
      <c r="M1210">
        <f t="shared" si="163"/>
        <v>0</v>
      </c>
      <c r="N1210">
        <f t="shared" si="166"/>
        <v>0</v>
      </c>
      <c r="O1210">
        <f t="shared" si="167"/>
        <v>4100.7909</v>
      </c>
      <c r="P1210">
        <f t="shared" si="168"/>
        <v>1025.197725</v>
      </c>
      <c r="Q1210">
        <f t="shared" si="169"/>
        <v>1046.1117585899999</v>
      </c>
      <c r="R1210">
        <f t="shared" si="170"/>
        <v>705.58969999999999</v>
      </c>
      <c r="S1210">
        <f t="shared" si="164"/>
        <v>6939.56</v>
      </c>
    </row>
    <row r="1211" spans="1:19" x14ac:dyDescent="0.25">
      <c r="A1211">
        <v>1341</v>
      </c>
      <c r="B1211">
        <v>1356</v>
      </c>
      <c r="C1211" t="s">
        <v>33</v>
      </c>
      <c r="D1211" t="s">
        <v>173</v>
      </c>
      <c r="E1211">
        <v>16</v>
      </c>
      <c r="F1211">
        <v>15.67</v>
      </c>
      <c r="G1211">
        <v>3.29</v>
      </c>
      <c r="H1211">
        <v>29.01</v>
      </c>
      <c r="I1211">
        <v>0.78</v>
      </c>
      <c r="J1211">
        <v>95.78</v>
      </c>
      <c r="K1211">
        <f t="shared" si="165"/>
        <v>1532.48</v>
      </c>
      <c r="L1211">
        <f t="shared" si="171"/>
        <v>1532.48</v>
      </c>
      <c r="M1211">
        <f t="shared" si="163"/>
        <v>824.86879999999996</v>
      </c>
      <c r="N1211">
        <f t="shared" si="166"/>
        <v>206.21719999999999</v>
      </c>
      <c r="O1211">
        <f t="shared" si="167"/>
        <v>824.86879999999996</v>
      </c>
      <c r="P1211">
        <f t="shared" si="168"/>
        <v>206.21719999999999</v>
      </c>
      <c r="Q1211">
        <f t="shared" si="169"/>
        <v>210.42403087999998</v>
      </c>
      <c r="R1211">
        <f t="shared" si="170"/>
        <v>362.04480000000001</v>
      </c>
      <c r="S1211">
        <f t="shared" si="164"/>
        <v>1532.48</v>
      </c>
    </row>
    <row r="1212" spans="1:19" x14ac:dyDescent="0.25">
      <c r="A1212">
        <v>1342</v>
      </c>
      <c r="B1212">
        <v>1356</v>
      </c>
      <c r="C1212" t="s">
        <v>33</v>
      </c>
      <c r="D1212" t="s">
        <v>172</v>
      </c>
      <c r="E1212">
        <v>19</v>
      </c>
      <c r="F1212">
        <v>19.14</v>
      </c>
      <c r="G1212">
        <v>10.63</v>
      </c>
      <c r="H1212">
        <v>33.65</v>
      </c>
      <c r="I1212">
        <v>0.94</v>
      </c>
      <c r="J1212">
        <v>340.29</v>
      </c>
      <c r="K1212">
        <f t="shared" si="165"/>
        <v>6465.51</v>
      </c>
      <c r="L1212">
        <f t="shared" si="171"/>
        <v>0</v>
      </c>
      <c r="M1212">
        <f t="shared" si="163"/>
        <v>0</v>
      </c>
      <c r="N1212">
        <f t="shared" si="166"/>
        <v>0</v>
      </c>
      <c r="O1212">
        <f t="shared" si="167"/>
        <v>3865.7058000000006</v>
      </c>
      <c r="P1212">
        <f t="shared" si="168"/>
        <v>966.42645000000016</v>
      </c>
      <c r="Q1212">
        <f t="shared" si="169"/>
        <v>986.14154958000017</v>
      </c>
      <c r="R1212">
        <f t="shared" si="170"/>
        <v>600.98899999999992</v>
      </c>
      <c r="S1212">
        <f t="shared" si="164"/>
        <v>6465.51</v>
      </c>
    </row>
    <row r="1213" spans="1:19" x14ac:dyDescent="0.25">
      <c r="A1213">
        <v>1343</v>
      </c>
      <c r="B1213">
        <v>1356</v>
      </c>
      <c r="C1213" t="s">
        <v>33</v>
      </c>
      <c r="D1213" t="s">
        <v>173</v>
      </c>
      <c r="E1213">
        <v>32</v>
      </c>
      <c r="F1213">
        <v>12.13</v>
      </c>
      <c r="G1213">
        <v>2.46</v>
      </c>
      <c r="H1213">
        <v>31.6</v>
      </c>
      <c r="I1213">
        <v>0.79</v>
      </c>
      <c r="J1213">
        <v>68.489999999999995</v>
      </c>
      <c r="K1213">
        <f t="shared" si="165"/>
        <v>2191.6799999999998</v>
      </c>
      <c r="L1213">
        <f t="shared" si="171"/>
        <v>2191.6799999999998</v>
      </c>
      <c r="M1213">
        <f t="shared" si="163"/>
        <v>954.87360000000001</v>
      </c>
      <c r="N1213">
        <f t="shared" si="166"/>
        <v>238.7184</v>
      </c>
      <c r="O1213">
        <f t="shared" si="167"/>
        <v>954.87360000000001</v>
      </c>
      <c r="P1213">
        <f t="shared" si="168"/>
        <v>238.7184</v>
      </c>
      <c r="Q1213">
        <f t="shared" si="169"/>
        <v>243.58825536000001</v>
      </c>
      <c r="R1213">
        <f t="shared" si="170"/>
        <v>798.84800000000007</v>
      </c>
      <c r="S1213">
        <f t="shared" si="164"/>
        <v>2191.6799999999998</v>
      </c>
    </row>
    <row r="1214" spans="1:19" x14ac:dyDescent="0.25">
      <c r="A1214">
        <v>1344</v>
      </c>
      <c r="B1214">
        <v>1356</v>
      </c>
      <c r="C1214" t="s">
        <v>33</v>
      </c>
      <c r="D1214" t="s">
        <v>173</v>
      </c>
      <c r="E1214">
        <v>14</v>
      </c>
      <c r="F1214">
        <v>14.64</v>
      </c>
      <c r="G1214">
        <v>2.72</v>
      </c>
      <c r="H1214">
        <v>31.04</v>
      </c>
      <c r="I1214">
        <v>0.8</v>
      </c>
      <c r="J1214">
        <v>82.07</v>
      </c>
      <c r="K1214">
        <f t="shared" si="165"/>
        <v>1148.98</v>
      </c>
      <c r="L1214">
        <f t="shared" si="171"/>
        <v>1148.98</v>
      </c>
      <c r="M1214">
        <f t="shared" si="163"/>
        <v>557.49120000000005</v>
      </c>
      <c r="N1214">
        <f t="shared" si="166"/>
        <v>139.37280000000001</v>
      </c>
      <c r="O1214">
        <f t="shared" si="167"/>
        <v>557.49120000000005</v>
      </c>
      <c r="P1214">
        <f t="shared" si="168"/>
        <v>139.37280000000001</v>
      </c>
      <c r="Q1214">
        <f t="shared" si="169"/>
        <v>142.21600512000001</v>
      </c>
      <c r="R1214">
        <f t="shared" si="170"/>
        <v>347.64800000000002</v>
      </c>
      <c r="S1214">
        <f t="shared" si="164"/>
        <v>1148.98</v>
      </c>
    </row>
    <row r="1215" spans="1:19" x14ac:dyDescent="0.25">
      <c r="A1215">
        <v>1345</v>
      </c>
      <c r="B1215">
        <v>1356</v>
      </c>
      <c r="C1215" t="s">
        <v>33</v>
      </c>
      <c r="D1215" t="s">
        <v>172</v>
      </c>
      <c r="E1215">
        <v>12</v>
      </c>
      <c r="F1215">
        <v>19.739999999999998</v>
      </c>
      <c r="G1215">
        <v>11.23</v>
      </c>
      <c r="H1215">
        <v>33.79</v>
      </c>
      <c r="I1215">
        <v>0.96</v>
      </c>
      <c r="J1215">
        <v>368.35</v>
      </c>
      <c r="K1215">
        <f t="shared" si="165"/>
        <v>4420.2000000000007</v>
      </c>
      <c r="L1215">
        <f t="shared" si="171"/>
        <v>0</v>
      </c>
      <c r="M1215">
        <f t="shared" si="163"/>
        <v>0</v>
      </c>
      <c r="N1215">
        <f t="shared" si="166"/>
        <v>0</v>
      </c>
      <c r="O1215">
        <f t="shared" si="167"/>
        <v>2660.1623999999997</v>
      </c>
      <c r="P1215">
        <f t="shared" si="168"/>
        <v>665.04059999999993</v>
      </c>
      <c r="Q1215">
        <f t="shared" si="169"/>
        <v>678.60742823999988</v>
      </c>
      <c r="R1215">
        <f t="shared" si="170"/>
        <v>389.26079999999996</v>
      </c>
      <c r="S1215">
        <f t="shared" si="164"/>
        <v>4420.2000000000007</v>
      </c>
    </row>
    <row r="1216" spans="1:19" x14ac:dyDescent="0.25">
      <c r="A1216">
        <v>1346</v>
      </c>
      <c r="B1216">
        <v>1356</v>
      </c>
      <c r="C1216" t="s">
        <v>33</v>
      </c>
      <c r="D1216" t="s">
        <v>172</v>
      </c>
      <c r="E1216">
        <v>20</v>
      </c>
      <c r="F1216">
        <v>20.100000000000001</v>
      </c>
      <c r="G1216">
        <v>12.27</v>
      </c>
      <c r="H1216">
        <v>29.04</v>
      </c>
      <c r="I1216">
        <v>1.17</v>
      </c>
      <c r="J1216">
        <v>407.29</v>
      </c>
      <c r="K1216">
        <f t="shared" si="165"/>
        <v>8145.8</v>
      </c>
      <c r="L1216">
        <f t="shared" si="171"/>
        <v>0</v>
      </c>
      <c r="M1216">
        <f t="shared" si="163"/>
        <v>0</v>
      </c>
      <c r="N1216">
        <f t="shared" si="166"/>
        <v>0</v>
      </c>
      <c r="O1216">
        <f t="shared" si="167"/>
        <v>4932.54</v>
      </c>
      <c r="P1216">
        <f t="shared" si="168"/>
        <v>1233.135</v>
      </c>
      <c r="Q1216">
        <f t="shared" si="169"/>
        <v>1258.2909540000001</v>
      </c>
      <c r="R1216">
        <f t="shared" si="170"/>
        <v>679.53599999999994</v>
      </c>
      <c r="S1216">
        <f t="shared" si="164"/>
        <v>8145.8</v>
      </c>
    </row>
    <row r="1217" spans="1:19" x14ac:dyDescent="0.25">
      <c r="A1217">
        <v>1347</v>
      </c>
      <c r="B1217">
        <v>1356</v>
      </c>
      <c r="C1217" t="s">
        <v>33</v>
      </c>
      <c r="D1217" t="s">
        <v>173</v>
      </c>
      <c r="E1217">
        <v>12</v>
      </c>
      <c r="F1217">
        <v>15.73</v>
      </c>
      <c r="G1217">
        <v>2.92</v>
      </c>
      <c r="H1217">
        <v>29.69</v>
      </c>
      <c r="I1217">
        <v>0.75</v>
      </c>
      <c r="J1217">
        <v>87.65</v>
      </c>
      <c r="K1217">
        <f t="shared" si="165"/>
        <v>1051.8000000000002</v>
      </c>
      <c r="L1217">
        <f t="shared" si="171"/>
        <v>1051.8000000000002</v>
      </c>
      <c r="M1217">
        <f t="shared" si="163"/>
        <v>551.17920000000004</v>
      </c>
      <c r="N1217">
        <f t="shared" si="166"/>
        <v>137.79480000000001</v>
      </c>
      <c r="O1217">
        <f t="shared" si="167"/>
        <v>551.17920000000004</v>
      </c>
      <c r="P1217">
        <f t="shared" si="168"/>
        <v>137.79480000000001</v>
      </c>
      <c r="Q1217">
        <f t="shared" si="169"/>
        <v>140.60581392</v>
      </c>
      <c r="R1217">
        <f t="shared" si="170"/>
        <v>267.21000000000004</v>
      </c>
      <c r="S1217">
        <f t="shared" si="164"/>
        <v>1051.8000000000002</v>
      </c>
    </row>
    <row r="1218" spans="1:19" x14ac:dyDescent="0.25">
      <c r="A1218">
        <v>1348</v>
      </c>
      <c r="B1218">
        <v>1356</v>
      </c>
      <c r="C1218" t="s">
        <v>33</v>
      </c>
      <c r="D1218" t="s">
        <v>173</v>
      </c>
      <c r="E1218">
        <v>45</v>
      </c>
      <c r="F1218">
        <v>14.87</v>
      </c>
      <c r="G1218">
        <v>3.13</v>
      </c>
      <c r="H1218">
        <v>30.47</v>
      </c>
      <c r="I1218">
        <v>0.79</v>
      </c>
      <c r="J1218">
        <v>90.48</v>
      </c>
      <c r="K1218">
        <f t="shared" si="165"/>
        <v>4071.6000000000004</v>
      </c>
      <c r="L1218">
        <f t="shared" si="171"/>
        <v>4071.6000000000004</v>
      </c>
      <c r="M1218">
        <f t="shared" ref="M1218:M1281" si="172">IF(D1218="SHOES",O1218,0)</f>
        <v>2094.4395</v>
      </c>
      <c r="N1218">
        <f t="shared" si="166"/>
        <v>523.60987499999999</v>
      </c>
      <c r="O1218">
        <f t="shared" si="167"/>
        <v>2094.4395</v>
      </c>
      <c r="P1218">
        <f t="shared" si="168"/>
        <v>523.60987499999999</v>
      </c>
      <c r="Q1218">
        <f t="shared" si="169"/>
        <v>534.29151645000002</v>
      </c>
      <c r="R1218">
        <f t="shared" si="170"/>
        <v>1083.2085000000002</v>
      </c>
      <c r="S1218">
        <f t="shared" ref="S1218:S1281" si="173">PRODUCT(J1218,E1218)</f>
        <v>4071.6000000000004</v>
      </c>
    </row>
    <row r="1219" spans="1:19" x14ac:dyDescent="0.25">
      <c r="A1219">
        <v>1349</v>
      </c>
      <c r="B1219">
        <v>1356</v>
      </c>
      <c r="C1219" t="s">
        <v>33</v>
      </c>
      <c r="D1219" t="s">
        <v>173</v>
      </c>
      <c r="E1219">
        <v>14</v>
      </c>
      <c r="F1219">
        <v>14.75</v>
      </c>
      <c r="G1219">
        <v>2.82</v>
      </c>
      <c r="H1219">
        <v>31.2</v>
      </c>
      <c r="I1219">
        <v>0.8</v>
      </c>
      <c r="J1219">
        <v>84.65</v>
      </c>
      <c r="K1219">
        <f t="shared" ref="K1219:K1282" si="174">E1219*J1219</f>
        <v>1185.1000000000001</v>
      </c>
      <c r="L1219">
        <f t="shared" si="171"/>
        <v>1185.1000000000001</v>
      </c>
      <c r="M1219">
        <f t="shared" si="172"/>
        <v>582.32999999999993</v>
      </c>
      <c r="N1219">
        <f t="shared" ref="N1219:N1282" si="175">IF(D1219="SHOES",P1219,0)</f>
        <v>145.58249999999998</v>
      </c>
      <c r="O1219">
        <f t="shared" ref="O1219:O1282" si="176">PRODUCT(E1219,G1219,F1219)</f>
        <v>582.32999999999993</v>
      </c>
      <c r="P1219">
        <f t="shared" ref="P1219:P1282" si="177">PRODUCT(O1219,0.25)</f>
        <v>145.58249999999998</v>
      </c>
      <c r="Q1219">
        <f t="shared" ref="Q1219:Q1282" si="178">PRODUCT(O1219,0.2551)</f>
        <v>148.55238299999996</v>
      </c>
      <c r="R1219">
        <f t="shared" si="170"/>
        <v>349.44</v>
      </c>
      <c r="S1219">
        <f t="shared" si="173"/>
        <v>1185.1000000000001</v>
      </c>
    </row>
    <row r="1220" spans="1:19" x14ac:dyDescent="0.25">
      <c r="A1220">
        <v>1350</v>
      </c>
      <c r="B1220">
        <v>1356</v>
      </c>
      <c r="C1220" t="s">
        <v>33</v>
      </c>
      <c r="D1220" t="s">
        <v>173</v>
      </c>
      <c r="E1220">
        <v>16</v>
      </c>
      <c r="F1220">
        <v>14.55</v>
      </c>
      <c r="G1220">
        <v>2.78</v>
      </c>
      <c r="H1220">
        <v>33.82</v>
      </c>
      <c r="I1220">
        <v>0.8</v>
      </c>
      <c r="J1220">
        <v>85.38</v>
      </c>
      <c r="K1220">
        <f t="shared" si="174"/>
        <v>1366.08</v>
      </c>
      <c r="L1220">
        <f t="shared" si="171"/>
        <v>1366.08</v>
      </c>
      <c r="M1220">
        <f t="shared" si="172"/>
        <v>647.18399999999997</v>
      </c>
      <c r="N1220">
        <f t="shared" si="175"/>
        <v>161.79599999999999</v>
      </c>
      <c r="O1220">
        <f t="shared" si="176"/>
        <v>647.18399999999997</v>
      </c>
      <c r="P1220">
        <f t="shared" si="177"/>
        <v>161.79599999999999</v>
      </c>
      <c r="Q1220">
        <f t="shared" si="178"/>
        <v>165.09663839999999</v>
      </c>
      <c r="R1220">
        <f t="shared" ref="R1220:R1283" si="179">PRODUCT(E1220,I1220,H1220)</f>
        <v>432.89600000000002</v>
      </c>
      <c r="S1220">
        <f t="shared" si="173"/>
        <v>1366.08</v>
      </c>
    </row>
    <row r="1221" spans="1:19" x14ac:dyDescent="0.25">
      <c r="A1221">
        <v>1351</v>
      </c>
      <c r="B1221">
        <v>1356</v>
      </c>
      <c r="C1221" t="s">
        <v>33</v>
      </c>
      <c r="D1221" t="s">
        <v>173</v>
      </c>
      <c r="E1221">
        <v>36</v>
      </c>
      <c r="F1221">
        <v>13.84</v>
      </c>
      <c r="G1221">
        <v>3</v>
      </c>
      <c r="H1221">
        <v>34.78</v>
      </c>
      <c r="I1221">
        <v>0.73</v>
      </c>
      <c r="J1221">
        <v>85.02</v>
      </c>
      <c r="K1221">
        <f t="shared" si="174"/>
        <v>3060.72</v>
      </c>
      <c r="L1221">
        <f t="shared" si="171"/>
        <v>3060.72</v>
      </c>
      <c r="M1221">
        <f t="shared" si="172"/>
        <v>1494.72</v>
      </c>
      <c r="N1221">
        <f t="shared" si="175"/>
        <v>373.68</v>
      </c>
      <c r="O1221">
        <f t="shared" si="176"/>
        <v>1494.72</v>
      </c>
      <c r="P1221">
        <f t="shared" si="177"/>
        <v>373.68</v>
      </c>
      <c r="Q1221">
        <f t="shared" si="178"/>
        <v>381.30307199999999</v>
      </c>
      <c r="R1221">
        <f t="shared" si="179"/>
        <v>914.01840000000004</v>
      </c>
      <c r="S1221">
        <f t="shared" si="173"/>
        <v>3060.72</v>
      </c>
    </row>
    <row r="1222" spans="1:19" x14ac:dyDescent="0.25">
      <c r="A1222">
        <v>1352</v>
      </c>
      <c r="B1222">
        <v>1356</v>
      </c>
      <c r="C1222" t="s">
        <v>33</v>
      </c>
      <c r="D1222" t="s">
        <v>172</v>
      </c>
      <c r="E1222">
        <v>12</v>
      </c>
      <c r="F1222">
        <v>20.94</v>
      </c>
      <c r="G1222">
        <v>11.87</v>
      </c>
      <c r="H1222">
        <v>33.15</v>
      </c>
      <c r="I1222">
        <v>0.99</v>
      </c>
      <c r="J1222">
        <v>408.78</v>
      </c>
      <c r="K1222">
        <f t="shared" si="174"/>
        <v>4905.3599999999997</v>
      </c>
      <c r="L1222">
        <f t="shared" si="171"/>
        <v>0</v>
      </c>
      <c r="M1222">
        <f t="shared" si="172"/>
        <v>0</v>
      </c>
      <c r="N1222">
        <f t="shared" si="175"/>
        <v>0</v>
      </c>
      <c r="O1222">
        <f t="shared" si="176"/>
        <v>2982.6936000000001</v>
      </c>
      <c r="P1222">
        <f t="shared" si="177"/>
        <v>745.67340000000002</v>
      </c>
      <c r="Q1222">
        <f t="shared" si="178"/>
        <v>760.88513736000004</v>
      </c>
      <c r="R1222">
        <f t="shared" si="179"/>
        <v>393.82199999999995</v>
      </c>
      <c r="S1222">
        <f t="shared" si="173"/>
        <v>4905.3599999999997</v>
      </c>
    </row>
    <row r="1223" spans="1:19" x14ac:dyDescent="0.25">
      <c r="A1223">
        <v>1353</v>
      </c>
      <c r="B1223">
        <v>1356</v>
      </c>
      <c r="C1223" t="s">
        <v>33</v>
      </c>
      <c r="D1223" t="s">
        <v>173</v>
      </c>
      <c r="E1223">
        <v>24</v>
      </c>
      <c r="F1223">
        <v>15.94</v>
      </c>
      <c r="G1223">
        <v>3.08</v>
      </c>
      <c r="H1223">
        <v>31.87</v>
      </c>
      <c r="I1223">
        <v>0.81</v>
      </c>
      <c r="J1223">
        <v>95.9</v>
      </c>
      <c r="K1223">
        <f t="shared" si="174"/>
        <v>2301.6000000000004</v>
      </c>
      <c r="L1223">
        <f t="shared" ref="L1223:L1286" si="180">IF(D1223="SHOES",E1223*J1223,0)</f>
        <v>2301.6000000000004</v>
      </c>
      <c r="M1223">
        <f t="shared" si="172"/>
        <v>1178.2847999999999</v>
      </c>
      <c r="N1223">
        <f t="shared" si="175"/>
        <v>294.57119999999998</v>
      </c>
      <c r="O1223">
        <f t="shared" si="176"/>
        <v>1178.2847999999999</v>
      </c>
      <c r="P1223">
        <f t="shared" si="177"/>
        <v>294.57119999999998</v>
      </c>
      <c r="Q1223">
        <f t="shared" si="178"/>
        <v>300.58045247999996</v>
      </c>
      <c r="R1223">
        <f t="shared" si="179"/>
        <v>619.55280000000005</v>
      </c>
      <c r="S1223">
        <f t="shared" si="173"/>
        <v>2301.6000000000004</v>
      </c>
    </row>
    <row r="1224" spans="1:19" x14ac:dyDescent="0.25">
      <c r="A1224">
        <v>1354</v>
      </c>
      <c r="B1224">
        <v>1356</v>
      </c>
      <c r="C1224" t="s">
        <v>33</v>
      </c>
      <c r="D1224" t="s">
        <v>173</v>
      </c>
      <c r="E1224">
        <v>15</v>
      </c>
      <c r="F1224">
        <v>15.43</v>
      </c>
      <c r="G1224">
        <v>2.5099999999999998</v>
      </c>
      <c r="H1224">
        <v>30.69</v>
      </c>
      <c r="I1224">
        <v>0.81</v>
      </c>
      <c r="J1224">
        <v>80.599999999999994</v>
      </c>
      <c r="K1224">
        <f t="shared" si="174"/>
        <v>1209</v>
      </c>
      <c r="L1224">
        <f t="shared" si="180"/>
        <v>1209</v>
      </c>
      <c r="M1224">
        <f t="shared" si="172"/>
        <v>580.93949999999995</v>
      </c>
      <c r="N1224">
        <f t="shared" si="175"/>
        <v>145.23487499999999</v>
      </c>
      <c r="O1224">
        <f t="shared" si="176"/>
        <v>580.93949999999995</v>
      </c>
      <c r="P1224">
        <f t="shared" si="177"/>
        <v>145.23487499999999</v>
      </c>
      <c r="Q1224">
        <f t="shared" si="178"/>
        <v>148.19766644999999</v>
      </c>
      <c r="R1224">
        <f t="shared" si="179"/>
        <v>372.88350000000003</v>
      </c>
      <c r="S1224">
        <f t="shared" si="173"/>
        <v>1209</v>
      </c>
    </row>
    <row r="1225" spans="1:19" x14ac:dyDescent="0.25">
      <c r="A1225">
        <v>1355</v>
      </c>
      <c r="B1225">
        <v>1356</v>
      </c>
      <c r="C1225" t="s">
        <v>33</v>
      </c>
      <c r="D1225" t="s">
        <v>172</v>
      </c>
      <c r="E1225">
        <v>13</v>
      </c>
      <c r="F1225">
        <v>19.72</v>
      </c>
      <c r="G1225">
        <v>10.89</v>
      </c>
      <c r="H1225">
        <v>29.05</v>
      </c>
      <c r="I1225">
        <v>0.93</v>
      </c>
      <c r="J1225">
        <v>351.59</v>
      </c>
      <c r="K1225">
        <f t="shared" si="174"/>
        <v>4570.67</v>
      </c>
      <c r="L1225">
        <f t="shared" si="180"/>
        <v>0</v>
      </c>
      <c r="M1225">
        <f t="shared" si="172"/>
        <v>0</v>
      </c>
      <c r="N1225">
        <f t="shared" si="175"/>
        <v>0</v>
      </c>
      <c r="O1225">
        <f t="shared" si="176"/>
        <v>2791.7603999999997</v>
      </c>
      <c r="P1225">
        <f t="shared" si="177"/>
        <v>697.94009999999992</v>
      </c>
      <c r="Q1225">
        <f t="shared" si="178"/>
        <v>712.17807803999995</v>
      </c>
      <c r="R1225">
        <f t="shared" si="179"/>
        <v>351.21449999999999</v>
      </c>
      <c r="S1225">
        <f t="shared" si="173"/>
        <v>4570.67</v>
      </c>
    </row>
    <row r="1226" spans="1:19" x14ac:dyDescent="0.25">
      <c r="A1226">
        <v>1356</v>
      </c>
      <c r="B1226">
        <v>1356</v>
      </c>
      <c r="C1226" t="s">
        <v>33</v>
      </c>
      <c r="D1226" t="s">
        <v>172</v>
      </c>
      <c r="E1226">
        <v>9</v>
      </c>
      <c r="F1226">
        <v>19.829999999999998</v>
      </c>
      <c r="G1226">
        <v>12.12</v>
      </c>
      <c r="H1226">
        <v>30.62</v>
      </c>
      <c r="I1226">
        <v>1.05</v>
      </c>
      <c r="J1226">
        <v>395.76</v>
      </c>
      <c r="K1226">
        <f t="shared" si="174"/>
        <v>3561.84</v>
      </c>
      <c r="L1226">
        <f t="shared" si="180"/>
        <v>0</v>
      </c>
      <c r="M1226">
        <f t="shared" si="172"/>
        <v>0</v>
      </c>
      <c r="N1226">
        <f t="shared" si="175"/>
        <v>0</v>
      </c>
      <c r="O1226">
        <f t="shared" si="176"/>
        <v>2163.0563999999999</v>
      </c>
      <c r="P1226">
        <f t="shared" si="177"/>
        <v>540.76409999999998</v>
      </c>
      <c r="Q1226">
        <f t="shared" si="178"/>
        <v>551.79568763999998</v>
      </c>
      <c r="R1226">
        <f t="shared" si="179"/>
        <v>289.35900000000004</v>
      </c>
      <c r="S1226">
        <f t="shared" si="173"/>
        <v>3561.84</v>
      </c>
    </row>
    <row r="1227" spans="1:19" x14ac:dyDescent="0.25">
      <c r="A1227">
        <v>1357</v>
      </c>
      <c r="B1227">
        <v>1356</v>
      </c>
      <c r="C1227" t="s">
        <v>33</v>
      </c>
      <c r="D1227" t="s">
        <v>173</v>
      </c>
      <c r="E1227">
        <v>48</v>
      </c>
      <c r="F1227">
        <v>14.43</v>
      </c>
      <c r="G1227">
        <v>2.75</v>
      </c>
      <c r="H1227">
        <v>32.15</v>
      </c>
      <c r="I1227">
        <v>0.76</v>
      </c>
      <c r="J1227">
        <v>81.44</v>
      </c>
      <c r="K1227">
        <f t="shared" si="174"/>
        <v>3909.12</v>
      </c>
      <c r="L1227">
        <f t="shared" si="180"/>
        <v>3909.12</v>
      </c>
      <c r="M1227">
        <f t="shared" si="172"/>
        <v>1904.76</v>
      </c>
      <c r="N1227">
        <f t="shared" si="175"/>
        <v>476.19</v>
      </c>
      <c r="O1227">
        <f t="shared" si="176"/>
        <v>1904.76</v>
      </c>
      <c r="P1227">
        <f t="shared" si="177"/>
        <v>476.19</v>
      </c>
      <c r="Q1227">
        <f t="shared" si="178"/>
        <v>485.90427599999998</v>
      </c>
      <c r="R1227">
        <f t="shared" si="179"/>
        <v>1172.8320000000001</v>
      </c>
      <c r="S1227">
        <f t="shared" si="173"/>
        <v>3909.12</v>
      </c>
    </row>
    <row r="1228" spans="1:19" x14ac:dyDescent="0.25">
      <c r="A1228">
        <v>1358</v>
      </c>
      <c r="B1228">
        <v>1356</v>
      </c>
      <c r="C1228" t="s">
        <v>33</v>
      </c>
      <c r="D1228" t="s">
        <v>173</v>
      </c>
      <c r="E1228">
        <v>13</v>
      </c>
      <c r="F1228">
        <v>15.12</v>
      </c>
      <c r="G1228">
        <v>3</v>
      </c>
      <c r="H1228">
        <v>34.409999999999997</v>
      </c>
      <c r="I1228">
        <v>0.8</v>
      </c>
      <c r="J1228">
        <v>83.39</v>
      </c>
      <c r="K1228">
        <f t="shared" si="174"/>
        <v>1084.07</v>
      </c>
      <c r="L1228">
        <f t="shared" si="180"/>
        <v>1084.07</v>
      </c>
      <c r="M1228">
        <f t="shared" si="172"/>
        <v>589.67999999999995</v>
      </c>
      <c r="N1228">
        <f t="shared" si="175"/>
        <v>147.41999999999999</v>
      </c>
      <c r="O1228">
        <f t="shared" si="176"/>
        <v>589.67999999999995</v>
      </c>
      <c r="P1228">
        <f t="shared" si="177"/>
        <v>147.41999999999999</v>
      </c>
      <c r="Q1228">
        <f t="shared" si="178"/>
        <v>150.42736799999997</v>
      </c>
      <c r="R1228">
        <f t="shared" si="179"/>
        <v>357.86399999999998</v>
      </c>
      <c r="S1228">
        <f t="shared" si="173"/>
        <v>1084.07</v>
      </c>
    </row>
    <row r="1229" spans="1:19" x14ac:dyDescent="0.25">
      <c r="A1229">
        <v>1359</v>
      </c>
      <c r="B1229">
        <v>1356</v>
      </c>
      <c r="C1229" t="s">
        <v>33</v>
      </c>
      <c r="D1229" t="s">
        <v>172</v>
      </c>
      <c r="E1229">
        <v>16</v>
      </c>
      <c r="F1229">
        <v>20.239999999999998</v>
      </c>
      <c r="G1229">
        <v>11.11</v>
      </c>
      <c r="H1229">
        <v>36.26</v>
      </c>
      <c r="I1229">
        <v>1.03</v>
      </c>
      <c r="J1229">
        <v>378.93</v>
      </c>
      <c r="K1229">
        <f t="shared" si="174"/>
        <v>6062.88</v>
      </c>
      <c r="L1229">
        <f t="shared" si="180"/>
        <v>0</v>
      </c>
      <c r="M1229">
        <f t="shared" si="172"/>
        <v>0</v>
      </c>
      <c r="N1229">
        <f t="shared" si="175"/>
        <v>0</v>
      </c>
      <c r="O1229">
        <f t="shared" si="176"/>
        <v>3597.8623999999995</v>
      </c>
      <c r="P1229">
        <f t="shared" si="177"/>
        <v>899.46559999999988</v>
      </c>
      <c r="Q1229">
        <f t="shared" si="178"/>
        <v>917.81469823999987</v>
      </c>
      <c r="R1229">
        <f t="shared" si="179"/>
        <v>597.56479999999999</v>
      </c>
      <c r="S1229">
        <f t="shared" si="173"/>
        <v>6062.88</v>
      </c>
    </row>
    <row r="1230" spans="1:19" x14ac:dyDescent="0.25">
      <c r="A1230">
        <v>1360</v>
      </c>
      <c r="B1230">
        <v>1356</v>
      </c>
      <c r="C1230" t="s">
        <v>33</v>
      </c>
      <c r="D1230" t="s">
        <v>173</v>
      </c>
      <c r="E1230">
        <v>17</v>
      </c>
      <c r="F1230">
        <v>14.96</v>
      </c>
      <c r="G1230">
        <v>2.71</v>
      </c>
      <c r="H1230">
        <v>30.95</v>
      </c>
      <c r="I1230">
        <v>0.79</v>
      </c>
      <c r="J1230">
        <v>82.64</v>
      </c>
      <c r="K1230">
        <f t="shared" si="174"/>
        <v>1404.88</v>
      </c>
      <c r="L1230">
        <f t="shared" si="180"/>
        <v>1404.88</v>
      </c>
      <c r="M1230">
        <f t="shared" si="172"/>
        <v>689.20720000000006</v>
      </c>
      <c r="N1230">
        <f t="shared" si="175"/>
        <v>172.30180000000001</v>
      </c>
      <c r="O1230">
        <f t="shared" si="176"/>
        <v>689.20720000000006</v>
      </c>
      <c r="P1230">
        <f t="shared" si="177"/>
        <v>172.30180000000001</v>
      </c>
      <c r="Q1230">
        <f t="shared" si="178"/>
        <v>175.81675672</v>
      </c>
      <c r="R1230">
        <f t="shared" si="179"/>
        <v>415.6585</v>
      </c>
      <c r="S1230">
        <f t="shared" si="173"/>
        <v>1404.88</v>
      </c>
    </row>
    <row r="1231" spans="1:19" x14ac:dyDescent="0.25">
      <c r="A1231">
        <v>1361</v>
      </c>
      <c r="B1231">
        <v>1356</v>
      </c>
      <c r="C1231" t="s">
        <v>33</v>
      </c>
      <c r="D1231" t="s">
        <v>173</v>
      </c>
      <c r="E1231">
        <v>12</v>
      </c>
      <c r="F1231">
        <v>15.45</v>
      </c>
      <c r="G1231">
        <v>2.6</v>
      </c>
      <c r="H1231">
        <v>30.09</v>
      </c>
      <c r="I1231">
        <v>0.8</v>
      </c>
      <c r="J1231">
        <v>81.709999999999994</v>
      </c>
      <c r="K1231">
        <f t="shared" si="174"/>
        <v>980.52</v>
      </c>
      <c r="L1231">
        <f t="shared" si="180"/>
        <v>980.52</v>
      </c>
      <c r="M1231">
        <f t="shared" si="172"/>
        <v>482.04</v>
      </c>
      <c r="N1231">
        <f t="shared" si="175"/>
        <v>120.51</v>
      </c>
      <c r="O1231">
        <f t="shared" si="176"/>
        <v>482.04</v>
      </c>
      <c r="P1231">
        <f t="shared" si="177"/>
        <v>120.51</v>
      </c>
      <c r="Q1231">
        <f t="shared" si="178"/>
        <v>122.96840400000001</v>
      </c>
      <c r="R1231">
        <f t="shared" si="179"/>
        <v>288.86400000000003</v>
      </c>
      <c r="S1231">
        <f t="shared" si="173"/>
        <v>980.52</v>
      </c>
    </row>
    <row r="1232" spans="1:19" x14ac:dyDescent="0.25">
      <c r="A1232">
        <v>1362</v>
      </c>
      <c r="B1232">
        <v>1356</v>
      </c>
      <c r="C1232" t="s">
        <v>33</v>
      </c>
      <c r="D1232" t="s">
        <v>172</v>
      </c>
      <c r="E1232">
        <v>12</v>
      </c>
      <c r="F1232">
        <v>19.89</v>
      </c>
      <c r="G1232">
        <v>10.88</v>
      </c>
      <c r="H1232">
        <v>30.25</v>
      </c>
      <c r="I1232">
        <v>0.97</v>
      </c>
      <c r="J1232">
        <v>356.82</v>
      </c>
      <c r="K1232">
        <f t="shared" si="174"/>
        <v>4281.84</v>
      </c>
      <c r="L1232">
        <f t="shared" si="180"/>
        <v>0</v>
      </c>
      <c r="M1232">
        <f t="shared" si="172"/>
        <v>0</v>
      </c>
      <c r="N1232">
        <f t="shared" si="175"/>
        <v>0</v>
      </c>
      <c r="O1232">
        <f t="shared" si="176"/>
        <v>2596.8384000000001</v>
      </c>
      <c r="P1232">
        <f t="shared" si="177"/>
        <v>649.20960000000002</v>
      </c>
      <c r="Q1232">
        <f t="shared" si="178"/>
        <v>662.45347584000001</v>
      </c>
      <c r="R1232">
        <f t="shared" si="179"/>
        <v>352.11</v>
      </c>
      <c r="S1232">
        <f t="shared" si="173"/>
        <v>4281.84</v>
      </c>
    </row>
    <row r="1233" spans="1:19" x14ac:dyDescent="0.25">
      <c r="A1233">
        <v>1363</v>
      </c>
      <c r="B1233">
        <v>1356</v>
      </c>
      <c r="C1233" t="s">
        <v>33</v>
      </c>
      <c r="D1233" t="s">
        <v>172</v>
      </c>
      <c r="E1233">
        <v>22</v>
      </c>
      <c r="F1233">
        <v>18.940000000000001</v>
      </c>
      <c r="G1233">
        <v>10.039999999999999</v>
      </c>
      <c r="H1233">
        <v>31.49</v>
      </c>
      <c r="I1233">
        <v>0.99</v>
      </c>
      <c r="J1233">
        <v>319.95999999999998</v>
      </c>
      <c r="K1233">
        <f t="shared" si="174"/>
        <v>7039.12</v>
      </c>
      <c r="L1233">
        <f t="shared" si="180"/>
        <v>0</v>
      </c>
      <c r="M1233">
        <f t="shared" si="172"/>
        <v>0</v>
      </c>
      <c r="N1233">
        <f t="shared" si="175"/>
        <v>0</v>
      </c>
      <c r="O1233">
        <f t="shared" si="176"/>
        <v>4183.4672</v>
      </c>
      <c r="P1233">
        <f t="shared" si="177"/>
        <v>1045.8668</v>
      </c>
      <c r="Q1233">
        <f t="shared" si="178"/>
        <v>1067.20248272</v>
      </c>
      <c r="R1233">
        <f t="shared" si="179"/>
        <v>685.85220000000004</v>
      </c>
      <c r="S1233">
        <f t="shared" si="173"/>
        <v>7039.12</v>
      </c>
    </row>
    <row r="1234" spans="1:19" x14ac:dyDescent="0.25">
      <c r="A1234">
        <v>1364</v>
      </c>
      <c r="B1234">
        <v>1356</v>
      </c>
      <c r="C1234" t="s">
        <v>33</v>
      </c>
      <c r="D1234" t="s">
        <v>173</v>
      </c>
      <c r="E1234">
        <v>12</v>
      </c>
      <c r="F1234">
        <v>15.71</v>
      </c>
      <c r="G1234">
        <v>2.85</v>
      </c>
      <c r="H1234">
        <v>27.11</v>
      </c>
      <c r="I1234">
        <v>0.79</v>
      </c>
      <c r="J1234">
        <v>85.12</v>
      </c>
      <c r="K1234">
        <f t="shared" si="174"/>
        <v>1021.44</v>
      </c>
      <c r="L1234">
        <f t="shared" si="180"/>
        <v>1021.44</v>
      </c>
      <c r="M1234">
        <f t="shared" si="172"/>
        <v>537.28200000000004</v>
      </c>
      <c r="N1234">
        <f t="shared" si="175"/>
        <v>134.32050000000001</v>
      </c>
      <c r="O1234">
        <f t="shared" si="176"/>
        <v>537.28200000000004</v>
      </c>
      <c r="P1234">
        <f t="shared" si="177"/>
        <v>134.32050000000001</v>
      </c>
      <c r="Q1234">
        <f t="shared" si="178"/>
        <v>137.0606382</v>
      </c>
      <c r="R1234">
        <f t="shared" si="179"/>
        <v>257.00279999999998</v>
      </c>
      <c r="S1234">
        <f t="shared" si="173"/>
        <v>1021.44</v>
      </c>
    </row>
    <row r="1235" spans="1:19" x14ac:dyDescent="0.25">
      <c r="A1235">
        <v>1365</v>
      </c>
      <c r="B1235">
        <v>1356</v>
      </c>
      <c r="C1235" t="s">
        <v>33</v>
      </c>
      <c r="D1235" t="s">
        <v>173</v>
      </c>
      <c r="E1235">
        <v>15</v>
      </c>
      <c r="F1235">
        <v>17.59</v>
      </c>
      <c r="G1235">
        <v>2.77</v>
      </c>
      <c r="H1235">
        <v>37.200000000000003</v>
      </c>
      <c r="I1235">
        <v>0.79</v>
      </c>
      <c r="J1235">
        <v>99.32</v>
      </c>
      <c r="K1235">
        <f t="shared" si="174"/>
        <v>1489.8</v>
      </c>
      <c r="L1235">
        <f t="shared" si="180"/>
        <v>1489.8</v>
      </c>
      <c r="M1235">
        <f t="shared" si="172"/>
        <v>730.86449999999991</v>
      </c>
      <c r="N1235">
        <f t="shared" si="175"/>
        <v>182.71612499999998</v>
      </c>
      <c r="O1235">
        <f t="shared" si="176"/>
        <v>730.86449999999991</v>
      </c>
      <c r="P1235">
        <f t="shared" si="177"/>
        <v>182.71612499999998</v>
      </c>
      <c r="Q1235">
        <f t="shared" si="178"/>
        <v>186.44353394999996</v>
      </c>
      <c r="R1235">
        <f t="shared" si="179"/>
        <v>440.82000000000011</v>
      </c>
      <c r="S1235">
        <f t="shared" si="173"/>
        <v>1489.8</v>
      </c>
    </row>
    <row r="1236" spans="1:19" x14ac:dyDescent="0.25">
      <c r="A1236">
        <v>1366</v>
      </c>
      <c r="B1236">
        <v>1356</v>
      </c>
      <c r="C1236" t="s">
        <v>33</v>
      </c>
      <c r="D1236" t="s">
        <v>172</v>
      </c>
      <c r="E1236">
        <v>15</v>
      </c>
      <c r="F1236">
        <v>18.059999999999999</v>
      </c>
      <c r="G1236">
        <v>11.43</v>
      </c>
      <c r="H1236">
        <v>28.73</v>
      </c>
      <c r="I1236">
        <v>0.96</v>
      </c>
      <c r="J1236">
        <v>339.88</v>
      </c>
      <c r="K1236">
        <f t="shared" si="174"/>
        <v>5098.2</v>
      </c>
      <c r="L1236">
        <f t="shared" si="180"/>
        <v>0</v>
      </c>
      <c r="M1236">
        <f t="shared" si="172"/>
        <v>0</v>
      </c>
      <c r="N1236">
        <f t="shared" si="175"/>
        <v>0</v>
      </c>
      <c r="O1236">
        <f t="shared" si="176"/>
        <v>3096.3869999999997</v>
      </c>
      <c r="P1236">
        <f t="shared" si="177"/>
        <v>774.09674999999993</v>
      </c>
      <c r="Q1236">
        <f t="shared" si="178"/>
        <v>789.88832369999989</v>
      </c>
      <c r="R1236">
        <f t="shared" si="179"/>
        <v>413.71199999999999</v>
      </c>
      <c r="S1236">
        <f t="shared" si="173"/>
        <v>5098.2</v>
      </c>
    </row>
    <row r="1237" spans="1:19" x14ac:dyDescent="0.25">
      <c r="A1237">
        <v>1367</v>
      </c>
      <c r="B1237">
        <v>1356</v>
      </c>
      <c r="C1237" t="s">
        <v>33</v>
      </c>
      <c r="D1237" t="s">
        <v>173</v>
      </c>
      <c r="E1237">
        <v>17</v>
      </c>
      <c r="F1237">
        <v>14.88</v>
      </c>
      <c r="G1237">
        <v>3.06</v>
      </c>
      <c r="H1237">
        <v>31.5</v>
      </c>
      <c r="I1237">
        <v>0.78</v>
      </c>
      <c r="J1237">
        <v>89.63</v>
      </c>
      <c r="K1237">
        <f t="shared" si="174"/>
        <v>1523.71</v>
      </c>
      <c r="L1237">
        <f t="shared" si="180"/>
        <v>1523.71</v>
      </c>
      <c r="M1237">
        <f t="shared" si="172"/>
        <v>774.05760000000009</v>
      </c>
      <c r="N1237">
        <f t="shared" si="175"/>
        <v>193.51440000000002</v>
      </c>
      <c r="O1237">
        <f t="shared" si="176"/>
        <v>774.05760000000009</v>
      </c>
      <c r="P1237">
        <f t="shared" si="177"/>
        <v>193.51440000000002</v>
      </c>
      <c r="Q1237">
        <f t="shared" si="178"/>
        <v>197.46209376000002</v>
      </c>
      <c r="R1237">
        <f t="shared" si="179"/>
        <v>417.69</v>
      </c>
      <c r="S1237">
        <f t="shared" si="173"/>
        <v>1523.71</v>
      </c>
    </row>
    <row r="1238" spans="1:19" x14ac:dyDescent="0.25">
      <c r="A1238">
        <v>1368</v>
      </c>
      <c r="B1238">
        <v>1356</v>
      </c>
      <c r="C1238" t="s">
        <v>33</v>
      </c>
      <c r="D1238" t="s">
        <v>172</v>
      </c>
      <c r="E1238">
        <v>16</v>
      </c>
      <c r="F1238">
        <v>19.239999999999998</v>
      </c>
      <c r="G1238">
        <v>11.11</v>
      </c>
      <c r="H1238">
        <v>30.18</v>
      </c>
      <c r="I1238">
        <v>0.97</v>
      </c>
      <c r="J1238">
        <v>352.8</v>
      </c>
      <c r="K1238">
        <f t="shared" si="174"/>
        <v>5644.8</v>
      </c>
      <c r="L1238">
        <f t="shared" si="180"/>
        <v>0</v>
      </c>
      <c r="M1238">
        <f t="shared" si="172"/>
        <v>0</v>
      </c>
      <c r="N1238">
        <f t="shared" si="175"/>
        <v>0</v>
      </c>
      <c r="O1238">
        <f t="shared" si="176"/>
        <v>3420.1023999999998</v>
      </c>
      <c r="P1238">
        <f t="shared" si="177"/>
        <v>855.02559999999994</v>
      </c>
      <c r="Q1238">
        <f t="shared" si="178"/>
        <v>872.46812223999996</v>
      </c>
      <c r="R1238">
        <f t="shared" si="179"/>
        <v>468.39359999999999</v>
      </c>
      <c r="S1238">
        <f t="shared" si="173"/>
        <v>5644.8</v>
      </c>
    </row>
    <row r="1239" spans="1:19" x14ac:dyDescent="0.25">
      <c r="A1239">
        <v>1369</v>
      </c>
      <c r="B1239">
        <v>1356</v>
      </c>
      <c r="C1239" t="s">
        <v>33</v>
      </c>
      <c r="D1239" t="s">
        <v>172</v>
      </c>
      <c r="E1239">
        <v>19</v>
      </c>
      <c r="F1239">
        <v>16.98</v>
      </c>
      <c r="G1239">
        <v>10.67</v>
      </c>
      <c r="H1239">
        <v>30.84</v>
      </c>
      <c r="I1239">
        <v>0.92</v>
      </c>
      <c r="J1239">
        <v>303.26</v>
      </c>
      <c r="K1239">
        <f t="shared" si="174"/>
        <v>5761.94</v>
      </c>
      <c r="L1239">
        <f t="shared" si="180"/>
        <v>0</v>
      </c>
      <c r="M1239">
        <f t="shared" si="172"/>
        <v>0</v>
      </c>
      <c r="N1239">
        <f t="shared" si="175"/>
        <v>0</v>
      </c>
      <c r="O1239">
        <f t="shared" si="176"/>
        <v>3442.3553999999999</v>
      </c>
      <c r="P1239">
        <f t="shared" si="177"/>
        <v>860.58884999999998</v>
      </c>
      <c r="Q1239">
        <f t="shared" si="178"/>
        <v>878.14486253999996</v>
      </c>
      <c r="R1239">
        <f t="shared" si="179"/>
        <v>539.08320000000003</v>
      </c>
      <c r="S1239">
        <f t="shared" si="173"/>
        <v>5761.94</v>
      </c>
    </row>
    <row r="1240" spans="1:19" x14ac:dyDescent="0.25">
      <c r="A1240">
        <v>1370</v>
      </c>
      <c r="B1240">
        <v>1356</v>
      </c>
      <c r="C1240" t="s">
        <v>33</v>
      </c>
      <c r="D1240" t="s">
        <v>173</v>
      </c>
      <c r="E1240">
        <v>11</v>
      </c>
      <c r="F1240">
        <v>16.25</v>
      </c>
      <c r="G1240">
        <v>2.79</v>
      </c>
      <c r="H1240">
        <v>30.99</v>
      </c>
      <c r="I1240">
        <v>0.8</v>
      </c>
      <c r="J1240">
        <v>89.61</v>
      </c>
      <c r="K1240">
        <f t="shared" si="174"/>
        <v>985.71</v>
      </c>
      <c r="L1240">
        <f t="shared" si="180"/>
        <v>985.71</v>
      </c>
      <c r="M1240">
        <f t="shared" si="172"/>
        <v>498.71250000000003</v>
      </c>
      <c r="N1240">
        <f t="shared" si="175"/>
        <v>124.67812500000001</v>
      </c>
      <c r="O1240">
        <f t="shared" si="176"/>
        <v>498.71250000000003</v>
      </c>
      <c r="P1240">
        <f t="shared" si="177"/>
        <v>124.67812500000001</v>
      </c>
      <c r="Q1240">
        <f t="shared" si="178"/>
        <v>127.22155875</v>
      </c>
      <c r="R1240">
        <f t="shared" si="179"/>
        <v>272.71199999999999</v>
      </c>
      <c r="S1240">
        <f t="shared" si="173"/>
        <v>985.71</v>
      </c>
    </row>
    <row r="1241" spans="1:19" x14ac:dyDescent="0.25">
      <c r="A1241">
        <v>1371</v>
      </c>
      <c r="B1241">
        <v>1356</v>
      </c>
      <c r="C1241" t="s">
        <v>33</v>
      </c>
      <c r="D1241" t="s">
        <v>173</v>
      </c>
      <c r="E1241">
        <v>16</v>
      </c>
      <c r="F1241">
        <v>16.29</v>
      </c>
      <c r="G1241">
        <v>3.07</v>
      </c>
      <c r="H1241">
        <v>31.7</v>
      </c>
      <c r="I1241">
        <v>0.8</v>
      </c>
      <c r="J1241">
        <v>86.99</v>
      </c>
      <c r="K1241">
        <f t="shared" si="174"/>
        <v>1391.84</v>
      </c>
      <c r="L1241">
        <f t="shared" si="180"/>
        <v>1391.84</v>
      </c>
      <c r="M1241">
        <f t="shared" si="172"/>
        <v>800.1647999999999</v>
      </c>
      <c r="N1241">
        <f t="shared" si="175"/>
        <v>200.04119999999998</v>
      </c>
      <c r="O1241">
        <f t="shared" si="176"/>
        <v>800.1647999999999</v>
      </c>
      <c r="P1241">
        <f t="shared" si="177"/>
        <v>200.04119999999998</v>
      </c>
      <c r="Q1241">
        <f t="shared" si="178"/>
        <v>204.12204047999998</v>
      </c>
      <c r="R1241">
        <f t="shared" si="179"/>
        <v>405.76</v>
      </c>
      <c r="S1241">
        <f t="shared" si="173"/>
        <v>1391.84</v>
      </c>
    </row>
    <row r="1242" spans="1:19" x14ac:dyDescent="0.25">
      <c r="A1242">
        <v>1372</v>
      </c>
      <c r="B1242">
        <v>1356</v>
      </c>
      <c r="C1242" t="s">
        <v>33</v>
      </c>
      <c r="D1242" t="s">
        <v>172</v>
      </c>
      <c r="E1242">
        <v>12</v>
      </c>
      <c r="F1242">
        <v>19.71</v>
      </c>
      <c r="G1242">
        <v>12.48</v>
      </c>
      <c r="H1242">
        <v>29.37</v>
      </c>
      <c r="I1242">
        <v>1.01</v>
      </c>
      <c r="J1242">
        <v>401.2</v>
      </c>
      <c r="K1242">
        <f t="shared" si="174"/>
        <v>4814.3999999999996</v>
      </c>
      <c r="L1242">
        <f t="shared" si="180"/>
        <v>0</v>
      </c>
      <c r="M1242">
        <f t="shared" si="172"/>
        <v>0</v>
      </c>
      <c r="N1242">
        <f t="shared" si="175"/>
        <v>0</v>
      </c>
      <c r="O1242">
        <f t="shared" si="176"/>
        <v>2951.7696000000001</v>
      </c>
      <c r="P1242">
        <f t="shared" si="177"/>
        <v>737.94240000000002</v>
      </c>
      <c r="Q1242">
        <f t="shared" si="178"/>
        <v>752.99642496000001</v>
      </c>
      <c r="R1242">
        <f t="shared" si="179"/>
        <v>355.96440000000007</v>
      </c>
      <c r="S1242">
        <f t="shared" si="173"/>
        <v>4814.3999999999996</v>
      </c>
    </row>
    <row r="1243" spans="1:19" x14ac:dyDescent="0.25">
      <c r="A1243">
        <v>1373</v>
      </c>
      <c r="B1243">
        <v>1356</v>
      </c>
      <c r="C1243" t="s">
        <v>33</v>
      </c>
      <c r="D1243" t="s">
        <v>173</v>
      </c>
      <c r="E1243">
        <v>12</v>
      </c>
      <c r="F1243">
        <v>14.75</v>
      </c>
      <c r="G1243">
        <v>2.95</v>
      </c>
      <c r="H1243">
        <v>33.69</v>
      </c>
      <c r="I1243">
        <v>0.78</v>
      </c>
      <c r="J1243">
        <v>88.74</v>
      </c>
      <c r="K1243">
        <f t="shared" si="174"/>
        <v>1064.8799999999999</v>
      </c>
      <c r="L1243">
        <f t="shared" si="180"/>
        <v>1064.8799999999999</v>
      </c>
      <c r="M1243">
        <f t="shared" si="172"/>
        <v>522.15000000000009</v>
      </c>
      <c r="N1243">
        <f t="shared" si="175"/>
        <v>130.53750000000002</v>
      </c>
      <c r="O1243">
        <f t="shared" si="176"/>
        <v>522.15000000000009</v>
      </c>
      <c r="P1243">
        <f t="shared" si="177"/>
        <v>130.53750000000002</v>
      </c>
      <c r="Q1243">
        <f t="shared" si="178"/>
        <v>133.20046500000001</v>
      </c>
      <c r="R1243">
        <f t="shared" si="179"/>
        <v>315.33839999999998</v>
      </c>
      <c r="S1243">
        <f t="shared" si="173"/>
        <v>1064.8799999999999</v>
      </c>
    </row>
    <row r="1244" spans="1:19" x14ac:dyDescent="0.25">
      <c r="A1244">
        <v>1374</v>
      </c>
      <c r="B1244">
        <v>1356</v>
      </c>
      <c r="C1244" t="s">
        <v>33</v>
      </c>
      <c r="D1244" t="s">
        <v>173</v>
      </c>
      <c r="E1244">
        <v>12</v>
      </c>
      <c r="F1244">
        <v>14.73</v>
      </c>
      <c r="G1244">
        <v>2.9</v>
      </c>
      <c r="H1244">
        <v>31.08</v>
      </c>
      <c r="I1244">
        <v>0.79</v>
      </c>
      <c r="J1244">
        <v>85.74</v>
      </c>
      <c r="K1244">
        <f t="shared" si="174"/>
        <v>1028.8799999999999</v>
      </c>
      <c r="L1244">
        <f t="shared" si="180"/>
        <v>1028.8799999999999</v>
      </c>
      <c r="M1244">
        <f t="shared" si="172"/>
        <v>512.60399999999993</v>
      </c>
      <c r="N1244">
        <f t="shared" si="175"/>
        <v>128.15099999999998</v>
      </c>
      <c r="O1244">
        <f t="shared" si="176"/>
        <v>512.60399999999993</v>
      </c>
      <c r="P1244">
        <f t="shared" si="177"/>
        <v>128.15099999999998</v>
      </c>
      <c r="Q1244">
        <f t="shared" si="178"/>
        <v>130.76528039999997</v>
      </c>
      <c r="R1244">
        <f t="shared" si="179"/>
        <v>294.63839999999999</v>
      </c>
      <c r="S1244">
        <f t="shared" si="173"/>
        <v>1028.8799999999999</v>
      </c>
    </row>
    <row r="1245" spans="1:19" x14ac:dyDescent="0.25">
      <c r="A1245">
        <v>1375</v>
      </c>
      <c r="B1245">
        <v>1356</v>
      </c>
      <c r="C1245" t="s">
        <v>33</v>
      </c>
      <c r="D1245" t="s">
        <v>173</v>
      </c>
      <c r="E1245">
        <v>9</v>
      </c>
      <c r="F1245">
        <v>13.41</v>
      </c>
      <c r="G1245">
        <v>2.92</v>
      </c>
      <c r="H1245">
        <v>32</v>
      </c>
      <c r="I1245">
        <v>0.78</v>
      </c>
      <c r="J1245">
        <v>81.3</v>
      </c>
      <c r="K1245">
        <f t="shared" si="174"/>
        <v>731.69999999999993</v>
      </c>
      <c r="L1245">
        <f t="shared" si="180"/>
        <v>731.69999999999993</v>
      </c>
      <c r="M1245">
        <f t="shared" si="172"/>
        <v>352.41480000000001</v>
      </c>
      <c r="N1245">
        <f t="shared" si="175"/>
        <v>88.103700000000003</v>
      </c>
      <c r="O1245">
        <f t="shared" si="176"/>
        <v>352.41480000000001</v>
      </c>
      <c r="P1245">
        <f t="shared" si="177"/>
        <v>88.103700000000003</v>
      </c>
      <c r="Q1245">
        <f t="shared" si="178"/>
        <v>89.901015479999998</v>
      </c>
      <c r="R1245">
        <f t="shared" si="179"/>
        <v>224.64000000000001</v>
      </c>
      <c r="S1245">
        <f t="shared" si="173"/>
        <v>731.69999999999993</v>
      </c>
    </row>
    <row r="1246" spans="1:19" x14ac:dyDescent="0.25">
      <c r="A1246">
        <v>1376</v>
      </c>
      <c r="B1246">
        <v>1356</v>
      </c>
      <c r="C1246" t="s">
        <v>33</v>
      </c>
      <c r="D1246" t="s">
        <v>173</v>
      </c>
      <c r="E1246">
        <v>15</v>
      </c>
      <c r="F1246">
        <v>15.28</v>
      </c>
      <c r="G1246">
        <v>2.98</v>
      </c>
      <c r="H1246">
        <v>29</v>
      </c>
      <c r="I1246">
        <v>0.83</v>
      </c>
      <c r="J1246">
        <v>89.09</v>
      </c>
      <c r="K1246">
        <f t="shared" si="174"/>
        <v>1336.3500000000001</v>
      </c>
      <c r="L1246">
        <f t="shared" si="180"/>
        <v>1336.3500000000001</v>
      </c>
      <c r="M1246">
        <f t="shared" si="172"/>
        <v>683.01599999999996</v>
      </c>
      <c r="N1246">
        <f t="shared" si="175"/>
        <v>170.75399999999999</v>
      </c>
      <c r="O1246">
        <f t="shared" si="176"/>
        <v>683.01599999999996</v>
      </c>
      <c r="P1246">
        <f t="shared" si="177"/>
        <v>170.75399999999999</v>
      </c>
      <c r="Q1246">
        <f t="shared" si="178"/>
        <v>174.23738159999999</v>
      </c>
      <c r="R1246">
        <f t="shared" si="179"/>
        <v>361.04999999999995</v>
      </c>
      <c r="S1246">
        <f t="shared" si="173"/>
        <v>1336.3500000000001</v>
      </c>
    </row>
    <row r="1247" spans="1:19" x14ac:dyDescent="0.25">
      <c r="A1247">
        <v>1377</v>
      </c>
      <c r="B1247">
        <v>1356</v>
      </c>
      <c r="C1247" t="s">
        <v>33</v>
      </c>
      <c r="D1247" t="s">
        <v>173</v>
      </c>
      <c r="E1247">
        <v>10</v>
      </c>
      <c r="F1247">
        <v>13.85</v>
      </c>
      <c r="G1247">
        <v>2.9</v>
      </c>
      <c r="H1247">
        <v>32.81</v>
      </c>
      <c r="I1247">
        <v>0.77</v>
      </c>
      <c r="J1247">
        <v>83.02</v>
      </c>
      <c r="K1247">
        <f t="shared" si="174"/>
        <v>830.19999999999993</v>
      </c>
      <c r="L1247">
        <f t="shared" si="180"/>
        <v>830.19999999999993</v>
      </c>
      <c r="M1247">
        <f t="shared" si="172"/>
        <v>401.65</v>
      </c>
      <c r="N1247">
        <f t="shared" si="175"/>
        <v>100.41249999999999</v>
      </c>
      <c r="O1247">
        <f t="shared" si="176"/>
        <v>401.65</v>
      </c>
      <c r="P1247">
        <f t="shared" si="177"/>
        <v>100.41249999999999</v>
      </c>
      <c r="Q1247">
        <f t="shared" si="178"/>
        <v>102.46091499999999</v>
      </c>
      <c r="R1247">
        <f t="shared" si="179"/>
        <v>252.63700000000003</v>
      </c>
      <c r="S1247">
        <f t="shared" si="173"/>
        <v>830.19999999999993</v>
      </c>
    </row>
    <row r="1248" spans="1:19" x14ac:dyDescent="0.25">
      <c r="A1248">
        <v>1378</v>
      </c>
      <c r="B1248">
        <v>1356</v>
      </c>
      <c r="C1248" t="s">
        <v>33</v>
      </c>
      <c r="D1248" t="s">
        <v>173</v>
      </c>
      <c r="E1248">
        <v>54</v>
      </c>
      <c r="F1248">
        <v>15.51</v>
      </c>
      <c r="G1248">
        <v>2.95</v>
      </c>
      <c r="H1248">
        <v>32.950000000000003</v>
      </c>
      <c r="I1248">
        <v>0.79</v>
      </c>
      <c r="J1248">
        <v>91.55</v>
      </c>
      <c r="K1248">
        <f t="shared" si="174"/>
        <v>4943.7</v>
      </c>
      <c r="L1248">
        <f t="shared" si="180"/>
        <v>4943.7</v>
      </c>
      <c r="M1248">
        <f t="shared" si="172"/>
        <v>2470.7429999999999</v>
      </c>
      <c r="N1248">
        <f t="shared" si="175"/>
        <v>617.68574999999998</v>
      </c>
      <c r="O1248">
        <f t="shared" si="176"/>
        <v>2470.7429999999999</v>
      </c>
      <c r="P1248">
        <f t="shared" si="177"/>
        <v>617.68574999999998</v>
      </c>
      <c r="Q1248">
        <f t="shared" si="178"/>
        <v>630.28653929999996</v>
      </c>
      <c r="R1248">
        <f t="shared" si="179"/>
        <v>1405.6470000000002</v>
      </c>
      <c r="S1248">
        <f t="shared" si="173"/>
        <v>4943.7</v>
      </c>
    </row>
    <row r="1249" spans="1:19" x14ac:dyDescent="0.25">
      <c r="A1249">
        <v>1379</v>
      </c>
      <c r="B1249">
        <v>1356</v>
      </c>
      <c r="C1249" t="s">
        <v>33</v>
      </c>
      <c r="D1249" t="s">
        <v>172</v>
      </c>
      <c r="E1249">
        <v>65</v>
      </c>
      <c r="F1249">
        <v>19.95</v>
      </c>
      <c r="G1249">
        <v>10.51</v>
      </c>
      <c r="H1249">
        <v>28.8</v>
      </c>
      <c r="I1249">
        <v>0.98</v>
      </c>
      <c r="J1249">
        <v>345.48</v>
      </c>
      <c r="K1249">
        <f t="shared" si="174"/>
        <v>22456.2</v>
      </c>
      <c r="L1249">
        <f t="shared" si="180"/>
        <v>0</v>
      </c>
      <c r="M1249">
        <f t="shared" si="172"/>
        <v>0</v>
      </c>
      <c r="N1249">
        <f t="shared" si="175"/>
        <v>0</v>
      </c>
      <c r="O1249">
        <f t="shared" si="176"/>
        <v>13628.842499999999</v>
      </c>
      <c r="P1249">
        <f t="shared" si="177"/>
        <v>3407.2106249999997</v>
      </c>
      <c r="Q1249">
        <f t="shared" si="178"/>
        <v>3476.7177217499998</v>
      </c>
      <c r="R1249">
        <f t="shared" si="179"/>
        <v>1834.56</v>
      </c>
      <c r="S1249">
        <f t="shared" si="173"/>
        <v>22456.2</v>
      </c>
    </row>
    <row r="1250" spans="1:19" x14ac:dyDescent="0.25">
      <c r="A1250">
        <v>1380</v>
      </c>
      <c r="B1250">
        <v>1356</v>
      </c>
      <c r="C1250" t="s">
        <v>33</v>
      </c>
      <c r="D1250" t="s">
        <v>173</v>
      </c>
      <c r="E1250">
        <v>12</v>
      </c>
      <c r="F1250">
        <v>14.29</v>
      </c>
      <c r="G1250">
        <v>2.84</v>
      </c>
      <c r="H1250">
        <v>31.39</v>
      </c>
      <c r="I1250">
        <v>0.78</v>
      </c>
      <c r="J1250">
        <v>82.74</v>
      </c>
      <c r="K1250">
        <f t="shared" si="174"/>
        <v>992.87999999999988</v>
      </c>
      <c r="L1250">
        <f t="shared" si="180"/>
        <v>992.87999999999988</v>
      </c>
      <c r="M1250">
        <f t="shared" si="172"/>
        <v>487.00319999999994</v>
      </c>
      <c r="N1250">
        <f t="shared" si="175"/>
        <v>121.75079999999998</v>
      </c>
      <c r="O1250">
        <f t="shared" si="176"/>
        <v>487.00319999999994</v>
      </c>
      <c r="P1250">
        <f t="shared" si="177"/>
        <v>121.75079999999998</v>
      </c>
      <c r="Q1250">
        <f t="shared" si="178"/>
        <v>124.23451631999998</v>
      </c>
      <c r="R1250">
        <f t="shared" si="179"/>
        <v>293.81040000000002</v>
      </c>
      <c r="S1250">
        <f t="shared" si="173"/>
        <v>992.87999999999988</v>
      </c>
    </row>
    <row r="1251" spans="1:19" x14ac:dyDescent="0.25">
      <c r="A1251">
        <v>1381</v>
      </c>
      <c r="B1251">
        <v>1356</v>
      </c>
      <c r="C1251" t="s">
        <v>33</v>
      </c>
      <c r="D1251" t="s">
        <v>173</v>
      </c>
      <c r="E1251">
        <v>43</v>
      </c>
      <c r="F1251">
        <v>14.45</v>
      </c>
      <c r="G1251">
        <v>2.98</v>
      </c>
      <c r="H1251">
        <v>28.97</v>
      </c>
      <c r="I1251">
        <v>0.8</v>
      </c>
      <c r="J1251">
        <v>84.7</v>
      </c>
      <c r="K1251">
        <f t="shared" si="174"/>
        <v>3642.1</v>
      </c>
      <c r="L1251">
        <f t="shared" si="180"/>
        <v>3642.1</v>
      </c>
      <c r="M1251">
        <f t="shared" si="172"/>
        <v>1851.6229999999998</v>
      </c>
      <c r="N1251">
        <f t="shared" si="175"/>
        <v>462.90574999999995</v>
      </c>
      <c r="O1251">
        <f t="shared" si="176"/>
        <v>1851.6229999999998</v>
      </c>
      <c r="P1251">
        <f t="shared" si="177"/>
        <v>462.90574999999995</v>
      </c>
      <c r="Q1251">
        <f t="shared" si="178"/>
        <v>472.34902729999993</v>
      </c>
      <c r="R1251">
        <f t="shared" si="179"/>
        <v>996.56799999999987</v>
      </c>
      <c r="S1251">
        <f t="shared" si="173"/>
        <v>3642.1</v>
      </c>
    </row>
    <row r="1252" spans="1:19" x14ac:dyDescent="0.25">
      <c r="A1252">
        <v>1382</v>
      </c>
      <c r="B1252">
        <v>1356</v>
      </c>
      <c r="C1252" t="s">
        <v>33</v>
      </c>
      <c r="D1252" t="s">
        <v>172</v>
      </c>
      <c r="E1252">
        <v>9</v>
      </c>
      <c r="F1252">
        <v>19.850000000000001</v>
      </c>
      <c r="G1252">
        <v>11.11</v>
      </c>
      <c r="H1252">
        <v>27.54</v>
      </c>
      <c r="I1252">
        <v>0.92</v>
      </c>
      <c r="J1252">
        <v>358.19</v>
      </c>
      <c r="K1252">
        <f t="shared" si="174"/>
        <v>3223.71</v>
      </c>
      <c r="L1252">
        <f t="shared" si="180"/>
        <v>0</v>
      </c>
      <c r="M1252">
        <f t="shared" si="172"/>
        <v>0</v>
      </c>
      <c r="N1252">
        <f t="shared" si="175"/>
        <v>0</v>
      </c>
      <c r="O1252">
        <f t="shared" si="176"/>
        <v>1984.8015</v>
      </c>
      <c r="P1252">
        <f t="shared" si="177"/>
        <v>496.20037500000001</v>
      </c>
      <c r="Q1252">
        <f t="shared" si="178"/>
        <v>506.32286264999999</v>
      </c>
      <c r="R1252">
        <f t="shared" si="179"/>
        <v>228.03120000000001</v>
      </c>
      <c r="S1252">
        <f t="shared" si="173"/>
        <v>3223.71</v>
      </c>
    </row>
    <row r="1253" spans="1:19" x14ac:dyDescent="0.25">
      <c r="A1253">
        <v>1383</v>
      </c>
      <c r="B1253">
        <v>1356</v>
      </c>
      <c r="C1253" t="s">
        <v>33</v>
      </c>
      <c r="D1253" t="s">
        <v>172</v>
      </c>
      <c r="E1253">
        <v>11</v>
      </c>
      <c r="F1253">
        <v>19.57</v>
      </c>
      <c r="G1253">
        <v>11.21</v>
      </c>
      <c r="H1253">
        <v>29.8</v>
      </c>
      <c r="I1253">
        <v>0.98</v>
      </c>
      <c r="J1253">
        <v>361.08</v>
      </c>
      <c r="K1253">
        <f t="shared" si="174"/>
        <v>3971.8799999999997</v>
      </c>
      <c r="L1253">
        <f t="shared" si="180"/>
        <v>0</v>
      </c>
      <c r="M1253">
        <f t="shared" si="172"/>
        <v>0</v>
      </c>
      <c r="N1253">
        <f t="shared" si="175"/>
        <v>0</v>
      </c>
      <c r="O1253">
        <f t="shared" si="176"/>
        <v>2413.1767</v>
      </c>
      <c r="P1253">
        <f t="shared" si="177"/>
        <v>603.294175</v>
      </c>
      <c r="Q1253">
        <f t="shared" si="178"/>
        <v>615.60137616999998</v>
      </c>
      <c r="R1253">
        <f t="shared" si="179"/>
        <v>321.24399999999997</v>
      </c>
      <c r="S1253">
        <f t="shared" si="173"/>
        <v>3971.8799999999997</v>
      </c>
    </row>
    <row r="1254" spans="1:19" x14ac:dyDescent="0.25">
      <c r="A1254">
        <v>1384</v>
      </c>
      <c r="B1254">
        <v>1356</v>
      </c>
      <c r="C1254" t="s">
        <v>33</v>
      </c>
      <c r="D1254" t="s">
        <v>172</v>
      </c>
      <c r="E1254">
        <v>15</v>
      </c>
      <c r="F1254">
        <v>21.49</v>
      </c>
      <c r="G1254">
        <v>10.64</v>
      </c>
      <c r="H1254">
        <v>28.55</v>
      </c>
      <c r="I1254">
        <v>0.98</v>
      </c>
      <c r="J1254">
        <v>373.42</v>
      </c>
      <c r="K1254">
        <f t="shared" si="174"/>
        <v>5601.3</v>
      </c>
      <c r="L1254">
        <f t="shared" si="180"/>
        <v>0</v>
      </c>
      <c r="M1254">
        <f t="shared" si="172"/>
        <v>0</v>
      </c>
      <c r="N1254">
        <f t="shared" si="175"/>
        <v>0</v>
      </c>
      <c r="O1254">
        <f t="shared" si="176"/>
        <v>3429.8040000000001</v>
      </c>
      <c r="P1254">
        <f t="shared" si="177"/>
        <v>857.45100000000002</v>
      </c>
      <c r="Q1254">
        <f t="shared" si="178"/>
        <v>874.94300039999996</v>
      </c>
      <c r="R1254">
        <f t="shared" si="179"/>
        <v>419.685</v>
      </c>
      <c r="S1254">
        <f t="shared" si="173"/>
        <v>5601.3</v>
      </c>
    </row>
    <row r="1255" spans="1:19" x14ac:dyDescent="0.25">
      <c r="A1255">
        <v>1385</v>
      </c>
      <c r="B1255">
        <v>1356</v>
      </c>
      <c r="C1255" t="s">
        <v>33</v>
      </c>
      <c r="D1255" t="s">
        <v>173</v>
      </c>
      <c r="E1255">
        <v>9</v>
      </c>
      <c r="F1255">
        <v>16.36</v>
      </c>
      <c r="G1255">
        <v>2.94</v>
      </c>
      <c r="H1255">
        <v>28.33</v>
      </c>
      <c r="I1255">
        <v>0.83</v>
      </c>
      <c r="J1255">
        <v>92</v>
      </c>
      <c r="K1255">
        <f t="shared" si="174"/>
        <v>828</v>
      </c>
      <c r="L1255">
        <f t="shared" si="180"/>
        <v>828</v>
      </c>
      <c r="M1255">
        <f t="shared" si="172"/>
        <v>432.88560000000001</v>
      </c>
      <c r="N1255">
        <f t="shared" si="175"/>
        <v>108.2214</v>
      </c>
      <c r="O1255">
        <f t="shared" si="176"/>
        <v>432.88560000000001</v>
      </c>
      <c r="P1255">
        <f t="shared" si="177"/>
        <v>108.2214</v>
      </c>
      <c r="Q1255">
        <f t="shared" si="178"/>
        <v>110.42911656</v>
      </c>
      <c r="R1255">
        <f t="shared" si="179"/>
        <v>211.62509999999997</v>
      </c>
      <c r="S1255">
        <f t="shared" si="173"/>
        <v>828</v>
      </c>
    </row>
    <row r="1256" spans="1:19" x14ac:dyDescent="0.25">
      <c r="A1256">
        <v>1386</v>
      </c>
      <c r="B1256">
        <v>1356</v>
      </c>
      <c r="C1256" t="s">
        <v>33</v>
      </c>
      <c r="D1256" t="s">
        <v>172</v>
      </c>
      <c r="E1256">
        <v>11</v>
      </c>
      <c r="F1256">
        <v>19.600000000000001</v>
      </c>
      <c r="G1256">
        <v>11.07</v>
      </c>
      <c r="H1256">
        <v>28.84</v>
      </c>
      <c r="I1256">
        <v>1.03</v>
      </c>
      <c r="J1256">
        <v>358.09</v>
      </c>
      <c r="K1256">
        <f t="shared" si="174"/>
        <v>3938.99</v>
      </c>
      <c r="L1256">
        <f t="shared" si="180"/>
        <v>0</v>
      </c>
      <c r="M1256">
        <f t="shared" si="172"/>
        <v>0</v>
      </c>
      <c r="N1256">
        <f t="shared" si="175"/>
        <v>0</v>
      </c>
      <c r="O1256">
        <f t="shared" si="176"/>
        <v>2386.6920000000005</v>
      </c>
      <c r="P1256">
        <f t="shared" si="177"/>
        <v>596.67300000000012</v>
      </c>
      <c r="Q1256">
        <f t="shared" si="178"/>
        <v>608.84512920000009</v>
      </c>
      <c r="R1256">
        <f t="shared" si="179"/>
        <v>326.75720000000001</v>
      </c>
      <c r="S1256">
        <f t="shared" si="173"/>
        <v>3938.99</v>
      </c>
    </row>
    <row r="1257" spans="1:19" x14ac:dyDescent="0.25">
      <c r="A1257">
        <v>1387</v>
      </c>
      <c r="B1257">
        <v>1356</v>
      </c>
      <c r="C1257" t="s">
        <v>33</v>
      </c>
      <c r="D1257" t="s">
        <v>173</v>
      </c>
      <c r="E1257">
        <v>27</v>
      </c>
      <c r="F1257">
        <v>14.73</v>
      </c>
      <c r="G1257">
        <v>2.95</v>
      </c>
      <c r="H1257">
        <v>27.94</v>
      </c>
      <c r="I1257">
        <v>0.79</v>
      </c>
      <c r="J1257">
        <v>84.03</v>
      </c>
      <c r="K1257">
        <f t="shared" si="174"/>
        <v>2268.81</v>
      </c>
      <c r="L1257">
        <f t="shared" si="180"/>
        <v>2268.81</v>
      </c>
      <c r="M1257">
        <f t="shared" si="172"/>
        <v>1173.2445</v>
      </c>
      <c r="N1257">
        <f t="shared" si="175"/>
        <v>293.311125</v>
      </c>
      <c r="O1257">
        <f t="shared" si="176"/>
        <v>1173.2445</v>
      </c>
      <c r="P1257">
        <f t="shared" si="177"/>
        <v>293.311125</v>
      </c>
      <c r="Q1257">
        <f t="shared" si="178"/>
        <v>299.29467195000001</v>
      </c>
      <c r="R1257">
        <f t="shared" si="179"/>
        <v>595.9602000000001</v>
      </c>
      <c r="S1257">
        <f t="shared" si="173"/>
        <v>2268.81</v>
      </c>
    </row>
    <row r="1258" spans="1:19" x14ac:dyDescent="0.25">
      <c r="A1258">
        <v>1388</v>
      </c>
      <c r="B1258">
        <v>1356</v>
      </c>
      <c r="C1258" t="s">
        <v>33</v>
      </c>
      <c r="D1258" t="s">
        <v>172</v>
      </c>
      <c r="E1258">
        <v>16</v>
      </c>
      <c r="F1258">
        <v>19.309999999999999</v>
      </c>
      <c r="G1258">
        <v>10.31</v>
      </c>
      <c r="H1258">
        <v>31.38</v>
      </c>
      <c r="I1258">
        <v>0.97</v>
      </c>
      <c r="J1258">
        <v>332.36</v>
      </c>
      <c r="K1258">
        <f t="shared" si="174"/>
        <v>5317.76</v>
      </c>
      <c r="L1258">
        <f t="shared" si="180"/>
        <v>0</v>
      </c>
      <c r="M1258">
        <f t="shared" si="172"/>
        <v>0</v>
      </c>
      <c r="N1258">
        <f t="shared" si="175"/>
        <v>0</v>
      </c>
      <c r="O1258">
        <f t="shared" si="176"/>
        <v>3185.3775999999998</v>
      </c>
      <c r="P1258">
        <f t="shared" si="177"/>
        <v>796.34439999999995</v>
      </c>
      <c r="Q1258">
        <f t="shared" si="178"/>
        <v>812.58982575999994</v>
      </c>
      <c r="R1258">
        <f t="shared" si="179"/>
        <v>487.01759999999996</v>
      </c>
      <c r="S1258">
        <f t="shared" si="173"/>
        <v>5317.76</v>
      </c>
    </row>
    <row r="1259" spans="1:19" x14ac:dyDescent="0.25">
      <c r="A1259">
        <v>1389</v>
      </c>
      <c r="B1259">
        <v>1356</v>
      </c>
      <c r="C1259" t="s">
        <v>33</v>
      </c>
      <c r="D1259" t="s">
        <v>173</v>
      </c>
      <c r="E1259">
        <v>11</v>
      </c>
      <c r="F1259">
        <v>15.22</v>
      </c>
      <c r="G1259">
        <v>3.08</v>
      </c>
      <c r="H1259">
        <v>31.25</v>
      </c>
      <c r="I1259">
        <v>0.8</v>
      </c>
      <c r="J1259">
        <v>91.96</v>
      </c>
      <c r="K1259">
        <f t="shared" si="174"/>
        <v>1011.56</v>
      </c>
      <c r="L1259">
        <f t="shared" si="180"/>
        <v>1011.56</v>
      </c>
      <c r="M1259">
        <f t="shared" si="172"/>
        <v>515.6536000000001</v>
      </c>
      <c r="N1259">
        <f t="shared" si="175"/>
        <v>128.91340000000002</v>
      </c>
      <c r="O1259">
        <f t="shared" si="176"/>
        <v>515.6536000000001</v>
      </c>
      <c r="P1259">
        <f t="shared" si="177"/>
        <v>128.91340000000002</v>
      </c>
      <c r="Q1259">
        <f t="shared" si="178"/>
        <v>131.54323336000002</v>
      </c>
      <c r="R1259">
        <f t="shared" si="179"/>
        <v>275</v>
      </c>
      <c r="S1259">
        <f t="shared" si="173"/>
        <v>1011.56</v>
      </c>
    </row>
    <row r="1260" spans="1:19" x14ac:dyDescent="0.25">
      <c r="A1260">
        <v>1390</v>
      </c>
      <c r="B1260">
        <v>1356</v>
      </c>
      <c r="C1260" t="s">
        <v>33</v>
      </c>
      <c r="D1260" t="s">
        <v>172</v>
      </c>
      <c r="E1260">
        <v>11</v>
      </c>
      <c r="F1260">
        <v>19.75</v>
      </c>
      <c r="G1260">
        <v>10.3</v>
      </c>
      <c r="H1260">
        <v>37.67</v>
      </c>
      <c r="I1260">
        <v>1</v>
      </c>
      <c r="J1260">
        <v>347.42</v>
      </c>
      <c r="K1260">
        <f t="shared" si="174"/>
        <v>3821.6200000000003</v>
      </c>
      <c r="L1260">
        <f t="shared" si="180"/>
        <v>0</v>
      </c>
      <c r="M1260">
        <f t="shared" si="172"/>
        <v>0</v>
      </c>
      <c r="N1260">
        <f t="shared" si="175"/>
        <v>0</v>
      </c>
      <c r="O1260">
        <f t="shared" si="176"/>
        <v>2237.6750000000002</v>
      </c>
      <c r="P1260">
        <f t="shared" si="177"/>
        <v>559.41875000000005</v>
      </c>
      <c r="Q1260">
        <f t="shared" si="178"/>
        <v>570.8308925</v>
      </c>
      <c r="R1260">
        <f t="shared" si="179"/>
        <v>414.37</v>
      </c>
      <c r="S1260">
        <f t="shared" si="173"/>
        <v>3821.6200000000003</v>
      </c>
    </row>
    <row r="1261" spans="1:19" x14ac:dyDescent="0.25">
      <c r="A1261">
        <v>1391</v>
      </c>
      <c r="B1261">
        <v>1356</v>
      </c>
      <c r="C1261" t="s">
        <v>33</v>
      </c>
      <c r="D1261" t="s">
        <v>173</v>
      </c>
      <c r="E1261">
        <v>20</v>
      </c>
      <c r="F1261">
        <v>14.66</v>
      </c>
      <c r="G1261">
        <v>2.92</v>
      </c>
      <c r="H1261">
        <v>28.2</v>
      </c>
      <c r="I1261">
        <v>0.79</v>
      </c>
      <c r="J1261">
        <v>83.37</v>
      </c>
      <c r="K1261">
        <f t="shared" si="174"/>
        <v>1667.4</v>
      </c>
      <c r="L1261">
        <f t="shared" si="180"/>
        <v>1667.4</v>
      </c>
      <c r="M1261">
        <f t="shared" si="172"/>
        <v>856.14400000000001</v>
      </c>
      <c r="N1261">
        <f t="shared" si="175"/>
        <v>214.036</v>
      </c>
      <c r="O1261">
        <f t="shared" si="176"/>
        <v>856.14400000000001</v>
      </c>
      <c r="P1261">
        <f t="shared" si="177"/>
        <v>214.036</v>
      </c>
      <c r="Q1261">
        <f t="shared" si="178"/>
        <v>218.4023344</v>
      </c>
      <c r="R1261">
        <f t="shared" si="179"/>
        <v>445.56</v>
      </c>
      <c r="S1261">
        <f t="shared" si="173"/>
        <v>1667.4</v>
      </c>
    </row>
    <row r="1262" spans="1:19" x14ac:dyDescent="0.25">
      <c r="A1262">
        <v>1392</v>
      </c>
      <c r="B1262">
        <v>1356</v>
      </c>
      <c r="C1262" t="s">
        <v>33</v>
      </c>
      <c r="D1262" t="s">
        <v>172</v>
      </c>
      <c r="E1262">
        <v>16</v>
      </c>
      <c r="F1262">
        <v>18.57</v>
      </c>
      <c r="G1262">
        <v>11.61</v>
      </c>
      <c r="H1262">
        <v>26.93</v>
      </c>
      <c r="I1262">
        <v>0.87</v>
      </c>
      <c r="J1262">
        <v>348.58</v>
      </c>
      <c r="K1262">
        <f t="shared" si="174"/>
        <v>5577.28</v>
      </c>
      <c r="L1262">
        <f t="shared" si="180"/>
        <v>0</v>
      </c>
      <c r="M1262">
        <f t="shared" si="172"/>
        <v>0</v>
      </c>
      <c r="N1262">
        <f t="shared" si="175"/>
        <v>0</v>
      </c>
      <c r="O1262">
        <f t="shared" si="176"/>
        <v>3449.5632000000001</v>
      </c>
      <c r="P1262">
        <f t="shared" si="177"/>
        <v>862.39080000000001</v>
      </c>
      <c r="Q1262">
        <f t="shared" si="178"/>
        <v>879.98357232000001</v>
      </c>
      <c r="R1262">
        <f t="shared" si="179"/>
        <v>374.86559999999997</v>
      </c>
      <c r="S1262">
        <f t="shared" si="173"/>
        <v>5577.28</v>
      </c>
    </row>
    <row r="1263" spans="1:19" x14ac:dyDescent="0.25">
      <c r="A1263">
        <v>1393</v>
      </c>
      <c r="B1263">
        <v>1356</v>
      </c>
      <c r="C1263" t="s">
        <v>33</v>
      </c>
      <c r="D1263" t="s">
        <v>173</v>
      </c>
      <c r="E1263">
        <v>15</v>
      </c>
      <c r="F1263">
        <v>15.86</v>
      </c>
      <c r="G1263">
        <v>2.93</v>
      </c>
      <c r="H1263">
        <v>30.56</v>
      </c>
      <c r="I1263">
        <v>0.78</v>
      </c>
      <c r="J1263">
        <v>90.12</v>
      </c>
      <c r="K1263">
        <f t="shared" si="174"/>
        <v>1351.8000000000002</v>
      </c>
      <c r="L1263">
        <f t="shared" si="180"/>
        <v>1351.8000000000002</v>
      </c>
      <c r="M1263">
        <f t="shared" si="172"/>
        <v>697.04700000000003</v>
      </c>
      <c r="N1263">
        <f t="shared" si="175"/>
        <v>174.26175000000001</v>
      </c>
      <c r="O1263">
        <f t="shared" si="176"/>
        <v>697.04700000000003</v>
      </c>
      <c r="P1263">
        <f t="shared" si="177"/>
        <v>174.26175000000001</v>
      </c>
      <c r="Q1263">
        <f t="shared" si="178"/>
        <v>177.81668970000001</v>
      </c>
      <c r="R1263">
        <f t="shared" si="179"/>
        <v>357.55200000000002</v>
      </c>
      <c r="S1263">
        <f t="shared" si="173"/>
        <v>1351.8000000000002</v>
      </c>
    </row>
    <row r="1264" spans="1:19" x14ac:dyDescent="0.25">
      <c r="A1264">
        <v>1394</v>
      </c>
      <c r="B1264">
        <v>1356</v>
      </c>
      <c r="C1264" t="s">
        <v>33</v>
      </c>
      <c r="D1264" t="s">
        <v>173</v>
      </c>
      <c r="E1264">
        <v>8</v>
      </c>
      <c r="F1264">
        <v>14.38</v>
      </c>
      <c r="G1264">
        <v>3.01</v>
      </c>
      <c r="H1264">
        <v>25.83</v>
      </c>
      <c r="I1264">
        <v>0.82</v>
      </c>
      <c r="J1264">
        <v>74.53</v>
      </c>
      <c r="K1264">
        <f t="shared" si="174"/>
        <v>596.24</v>
      </c>
      <c r="L1264">
        <f t="shared" si="180"/>
        <v>596.24</v>
      </c>
      <c r="M1264">
        <f t="shared" si="172"/>
        <v>346.2704</v>
      </c>
      <c r="N1264">
        <f t="shared" si="175"/>
        <v>86.567599999999999</v>
      </c>
      <c r="O1264">
        <f t="shared" si="176"/>
        <v>346.2704</v>
      </c>
      <c r="P1264">
        <f t="shared" si="177"/>
        <v>86.567599999999999</v>
      </c>
      <c r="Q1264">
        <f t="shared" si="178"/>
        <v>88.333579039999989</v>
      </c>
      <c r="R1264">
        <f t="shared" si="179"/>
        <v>169.44479999999999</v>
      </c>
      <c r="S1264">
        <f t="shared" si="173"/>
        <v>596.24</v>
      </c>
    </row>
    <row r="1265" spans="1:19" x14ac:dyDescent="0.25">
      <c r="A1265">
        <v>1395</v>
      </c>
      <c r="B1265">
        <v>1356</v>
      </c>
      <c r="C1265" t="s">
        <v>33</v>
      </c>
      <c r="D1265" t="s">
        <v>173</v>
      </c>
      <c r="E1265">
        <v>17</v>
      </c>
      <c r="F1265">
        <v>16.57</v>
      </c>
      <c r="G1265">
        <v>2.88</v>
      </c>
      <c r="H1265">
        <v>29.04</v>
      </c>
      <c r="I1265">
        <v>0.83</v>
      </c>
      <c r="J1265">
        <v>92.13</v>
      </c>
      <c r="K1265">
        <f t="shared" si="174"/>
        <v>1566.21</v>
      </c>
      <c r="L1265">
        <f t="shared" si="180"/>
        <v>1566.21</v>
      </c>
      <c r="M1265">
        <f t="shared" si="172"/>
        <v>811.2672</v>
      </c>
      <c r="N1265">
        <f t="shared" si="175"/>
        <v>202.8168</v>
      </c>
      <c r="O1265">
        <f t="shared" si="176"/>
        <v>811.2672</v>
      </c>
      <c r="P1265">
        <f t="shared" si="177"/>
        <v>202.8168</v>
      </c>
      <c r="Q1265">
        <f t="shared" si="178"/>
        <v>206.95426272</v>
      </c>
      <c r="R1265">
        <f t="shared" si="179"/>
        <v>409.75439999999998</v>
      </c>
      <c r="S1265">
        <f t="shared" si="173"/>
        <v>1566.21</v>
      </c>
    </row>
    <row r="1266" spans="1:19" x14ac:dyDescent="0.25">
      <c r="A1266">
        <v>1396</v>
      </c>
      <c r="B1266">
        <v>1356</v>
      </c>
      <c r="C1266" t="s">
        <v>33</v>
      </c>
      <c r="D1266" t="s">
        <v>173</v>
      </c>
      <c r="E1266">
        <v>17</v>
      </c>
      <c r="F1266">
        <v>12.79</v>
      </c>
      <c r="G1266">
        <v>3.13</v>
      </c>
      <c r="H1266">
        <v>33.130000000000003</v>
      </c>
      <c r="I1266">
        <v>0.79</v>
      </c>
      <c r="J1266">
        <v>74.69</v>
      </c>
      <c r="K1266">
        <f t="shared" si="174"/>
        <v>1269.73</v>
      </c>
      <c r="L1266">
        <f t="shared" si="180"/>
        <v>1269.73</v>
      </c>
      <c r="M1266">
        <f t="shared" si="172"/>
        <v>680.55589999999995</v>
      </c>
      <c r="N1266">
        <f t="shared" si="175"/>
        <v>170.13897499999999</v>
      </c>
      <c r="O1266">
        <f t="shared" si="176"/>
        <v>680.55589999999995</v>
      </c>
      <c r="P1266">
        <f t="shared" si="177"/>
        <v>170.13897499999999</v>
      </c>
      <c r="Q1266">
        <f t="shared" si="178"/>
        <v>173.60981009</v>
      </c>
      <c r="R1266">
        <f t="shared" si="179"/>
        <v>444.9359</v>
      </c>
      <c r="S1266">
        <f t="shared" si="173"/>
        <v>1269.73</v>
      </c>
    </row>
    <row r="1267" spans="1:19" x14ac:dyDescent="0.25">
      <c r="A1267">
        <v>1397</v>
      </c>
      <c r="B1267">
        <v>1356</v>
      </c>
      <c r="C1267" t="s">
        <v>33</v>
      </c>
      <c r="D1267" t="s">
        <v>172</v>
      </c>
      <c r="E1267">
        <v>8</v>
      </c>
      <c r="F1267">
        <v>18.97</v>
      </c>
      <c r="G1267">
        <v>11.36</v>
      </c>
      <c r="H1267">
        <v>28.83</v>
      </c>
      <c r="I1267">
        <v>1.01</v>
      </c>
      <c r="J1267">
        <v>355.21</v>
      </c>
      <c r="K1267">
        <f t="shared" si="174"/>
        <v>2841.68</v>
      </c>
      <c r="L1267">
        <f t="shared" si="180"/>
        <v>0</v>
      </c>
      <c r="M1267">
        <f t="shared" si="172"/>
        <v>0</v>
      </c>
      <c r="N1267">
        <f t="shared" si="175"/>
        <v>0</v>
      </c>
      <c r="O1267">
        <f t="shared" si="176"/>
        <v>1723.9935999999998</v>
      </c>
      <c r="P1267">
        <f t="shared" si="177"/>
        <v>430.99839999999995</v>
      </c>
      <c r="Q1267">
        <f t="shared" si="178"/>
        <v>439.79076735999996</v>
      </c>
      <c r="R1267">
        <f t="shared" si="179"/>
        <v>232.94639999999998</v>
      </c>
      <c r="S1267">
        <f t="shared" si="173"/>
        <v>2841.68</v>
      </c>
    </row>
    <row r="1268" spans="1:19" x14ac:dyDescent="0.25">
      <c r="A1268">
        <v>1398</v>
      </c>
      <c r="B1268">
        <v>1356</v>
      </c>
      <c r="C1268" t="s">
        <v>33</v>
      </c>
      <c r="D1268" t="s">
        <v>172</v>
      </c>
      <c r="E1268">
        <v>14</v>
      </c>
      <c r="F1268">
        <v>19.14</v>
      </c>
      <c r="G1268">
        <v>11.11</v>
      </c>
      <c r="H1268">
        <v>36.64</v>
      </c>
      <c r="I1268">
        <v>1.04</v>
      </c>
      <c r="J1268">
        <v>361.66</v>
      </c>
      <c r="K1268">
        <f t="shared" si="174"/>
        <v>5063.2400000000007</v>
      </c>
      <c r="L1268">
        <f t="shared" si="180"/>
        <v>0</v>
      </c>
      <c r="M1268">
        <f t="shared" si="172"/>
        <v>0</v>
      </c>
      <c r="N1268">
        <f t="shared" si="175"/>
        <v>0</v>
      </c>
      <c r="O1268">
        <f t="shared" si="176"/>
        <v>2977.0356000000002</v>
      </c>
      <c r="P1268">
        <f t="shared" si="177"/>
        <v>744.25890000000004</v>
      </c>
      <c r="Q1268">
        <f t="shared" si="178"/>
        <v>759.44178155999998</v>
      </c>
      <c r="R1268">
        <f t="shared" si="179"/>
        <v>533.47840000000008</v>
      </c>
      <c r="S1268">
        <f t="shared" si="173"/>
        <v>5063.2400000000007</v>
      </c>
    </row>
    <row r="1269" spans="1:19" x14ac:dyDescent="0.25">
      <c r="A1269">
        <v>1399</v>
      </c>
      <c r="B1269">
        <v>1356</v>
      </c>
      <c r="C1269" t="s">
        <v>33</v>
      </c>
      <c r="D1269" t="s">
        <v>172</v>
      </c>
      <c r="E1269">
        <v>15</v>
      </c>
      <c r="F1269">
        <v>21.12</v>
      </c>
      <c r="G1269">
        <v>11.39</v>
      </c>
      <c r="H1269">
        <v>31.9</v>
      </c>
      <c r="I1269">
        <v>1.02</v>
      </c>
      <c r="J1269">
        <v>396.55</v>
      </c>
      <c r="K1269">
        <f t="shared" si="174"/>
        <v>5948.25</v>
      </c>
      <c r="L1269">
        <f t="shared" si="180"/>
        <v>0</v>
      </c>
      <c r="M1269">
        <f t="shared" si="172"/>
        <v>0</v>
      </c>
      <c r="N1269">
        <f t="shared" si="175"/>
        <v>0</v>
      </c>
      <c r="O1269">
        <f t="shared" si="176"/>
        <v>3608.3520000000008</v>
      </c>
      <c r="P1269">
        <f t="shared" si="177"/>
        <v>902.08800000000019</v>
      </c>
      <c r="Q1269">
        <f t="shared" si="178"/>
        <v>920.49059520000014</v>
      </c>
      <c r="R1269">
        <f t="shared" si="179"/>
        <v>488.07</v>
      </c>
      <c r="S1269">
        <f t="shared" si="173"/>
        <v>5948.25</v>
      </c>
    </row>
    <row r="1270" spans="1:19" x14ac:dyDescent="0.25">
      <c r="A1270">
        <v>1400</v>
      </c>
      <c r="B1270">
        <v>1356</v>
      </c>
      <c r="C1270" t="s">
        <v>33</v>
      </c>
      <c r="D1270" t="s">
        <v>172</v>
      </c>
      <c r="E1270">
        <v>13</v>
      </c>
      <c r="F1270">
        <v>18.89</v>
      </c>
      <c r="G1270">
        <v>10.93</v>
      </c>
      <c r="H1270">
        <v>32.74</v>
      </c>
      <c r="I1270">
        <v>0.96</v>
      </c>
      <c r="J1270">
        <v>344.52</v>
      </c>
      <c r="K1270">
        <f t="shared" si="174"/>
        <v>4478.76</v>
      </c>
      <c r="L1270">
        <f t="shared" si="180"/>
        <v>0</v>
      </c>
      <c r="M1270">
        <f t="shared" si="172"/>
        <v>0</v>
      </c>
      <c r="N1270">
        <f t="shared" si="175"/>
        <v>0</v>
      </c>
      <c r="O1270">
        <f t="shared" si="176"/>
        <v>2684.0801000000001</v>
      </c>
      <c r="P1270">
        <f t="shared" si="177"/>
        <v>671.02002500000003</v>
      </c>
      <c r="Q1270">
        <f t="shared" si="178"/>
        <v>684.70883350999998</v>
      </c>
      <c r="R1270">
        <f t="shared" si="179"/>
        <v>408.59520000000003</v>
      </c>
      <c r="S1270">
        <f t="shared" si="173"/>
        <v>4478.76</v>
      </c>
    </row>
    <row r="1271" spans="1:19" x14ac:dyDescent="0.25">
      <c r="A1271">
        <v>1401</v>
      </c>
      <c r="B1271">
        <v>1356</v>
      </c>
      <c r="C1271" t="s">
        <v>33</v>
      </c>
      <c r="D1271" t="s">
        <v>173</v>
      </c>
      <c r="E1271">
        <v>14</v>
      </c>
      <c r="F1271">
        <v>16.850000000000001</v>
      </c>
      <c r="G1271">
        <v>3.15</v>
      </c>
      <c r="H1271">
        <v>30.4</v>
      </c>
      <c r="I1271">
        <v>0.8</v>
      </c>
      <c r="J1271">
        <v>99.73</v>
      </c>
      <c r="K1271">
        <f t="shared" si="174"/>
        <v>1396.22</v>
      </c>
      <c r="L1271">
        <f t="shared" si="180"/>
        <v>1396.22</v>
      </c>
      <c r="M1271">
        <f t="shared" si="172"/>
        <v>743.08500000000004</v>
      </c>
      <c r="N1271">
        <f t="shared" si="175"/>
        <v>185.77125000000001</v>
      </c>
      <c r="O1271">
        <f t="shared" si="176"/>
        <v>743.08500000000004</v>
      </c>
      <c r="P1271">
        <f t="shared" si="177"/>
        <v>185.77125000000001</v>
      </c>
      <c r="Q1271">
        <f t="shared" si="178"/>
        <v>189.56098349999999</v>
      </c>
      <c r="R1271">
        <f t="shared" si="179"/>
        <v>340.48</v>
      </c>
      <c r="S1271">
        <f t="shared" si="173"/>
        <v>1396.22</v>
      </c>
    </row>
    <row r="1272" spans="1:19" x14ac:dyDescent="0.25">
      <c r="A1272">
        <v>1402</v>
      </c>
      <c r="B1272">
        <v>1356</v>
      </c>
      <c r="C1272" t="s">
        <v>33</v>
      </c>
      <c r="D1272" t="s">
        <v>173</v>
      </c>
      <c r="E1272">
        <v>18</v>
      </c>
      <c r="F1272">
        <v>14.58</v>
      </c>
      <c r="G1272">
        <v>3.03</v>
      </c>
      <c r="H1272">
        <v>25.79</v>
      </c>
      <c r="I1272">
        <v>0.81</v>
      </c>
      <c r="J1272">
        <v>83.72</v>
      </c>
      <c r="K1272">
        <f t="shared" si="174"/>
        <v>1506.96</v>
      </c>
      <c r="L1272">
        <f t="shared" si="180"/>
        <v>1506.96</v>
      </c>
      <c r="M1272">
        <f t="shared" si="172"/>
        <v>795.19320000000005</v>
      </c>
      <c r="N1272">
        <f t="shared" si="175"/>
        <v>198.79830000000001</v>
      </c>
      <c r="O1272">
        <f t="shared" si="176"/>
        <v>795.19320000000005</v>
      </c>
      <c r="P1272">
        <f t="shared" si="177"/>
        <v>198.79830000000001</v>
      </c>
      <c r="Q1272">
        <f t="shared" si="178"/>
        <v>202.85378532000001</v>
      </c>
      <c r="R1272">
        <f t="shared" si="179"/>
        <v>376.01820000000004</v>
      </c>
      <c r="S1272">
        <f t="shared" si="173"/>
        <v>1506.96</v>
      </c>
    </row>
    <row r="1273" spans="1:19" x14ac:dyDescent="0.25">
      <c r="A1273">
        <v>1403</v>
      </c>
      <c r="B1273">
        <v>1356</v>
      </c>
      <c r="C1273" t="s">
        <v>33</v>
      </c>
      <c r="D1273" t="s">
        <v>173</v>
      </c>
      <c r="E1273">
        <v>27</v>
      </c>
      <c r="F1273">
        <v>14.55</v>
      </c>
      <c r="G1273">
        <v>2.71</v>
      </c>
      <c r="H1273">
        <v>31.63</v>
      </c>
      <c r="I1273">
        <v>0.78</v>
      </c>
      <c r="J1273">
        <v>81.36</v>
      </c>
      <c r="K1273">
        <f t="shared" si="174"/>
        <v>2196.7199999999998</v>
      </c>
      <c r="L1273">
        <f t="shared" si="180"/>
        <v>2196.7199999999998</v>
      </c>
      <c r="M1273">
        <f t="shared" si="172"/>
        <v>1064.6235000000001</v>
      </c>
      <c r="N1273">
        <f t="shared" si="175"/>
        <v>266.15587500000004</v>
      </c>
      <c r="O1273">
        <f t="shared" si="176"/>
        <v>1064.6235000000001</v>
      </c>
      <c r="P1273">
        <f t="shared" si="177"/>
        <v>266.15587500000004</v>
      </c>
      <c r="Q1273">
        <f t="shared" si="178"/>
        <v>271.58545485000002</v>
      </c>
      <c r="R1273">
        <f t="shared" si="179"/>
        <v>666.12780000000009</v>
      </c>
      <c r="S1273">
        <f t="shared" si="173"/>
        <v>2196.7199999999998</v>
      </c>
    </row>
    <row r="1274" spans="1:19" x14ac:dyDescent="0.25">
      <c r="A1274">
        <v>1404</v>
      </c>
      <c r="B1274">
        <v>1356</v>
      </c>
      <c r="C1274" t="s">
        <v>33</v>
      </c>
      <c r="D1274" t="s">
        <v>172</v>
      </c>
      <c r="E1274">
        <v>11</v>
      </c>
      <c r="F1274">
        <v>19.8</v>
      </c>
      <c r="G1274">
        <v>12.05</v>
      </c>
      <c r="H1274">
        <v>31.22</v>
      </c>
      <c r="I1274">
        <v>1.1200000000000001</v>
      </c>
      <c r="J1274">
        <v>396.51</v>
      </c>
      <c r="K1274">
        <f t="shared" si="174"/>
        <v>4361.6099999999997</v>
      </c>
      <c r="L1274">
        <f t="shared" si="180"/>
        <v>0</v>
      </c>
      <c r="M1274">
        <f t="shared" si="172"/>
        <v>0</v>
      </c>
      <c r="N1274">
        <f t="shared" si="175"/>
        <v>0</v>
      </c>
      <c r="O1274">
        <f t="shared" si="176"/>
        <v>2624.4900000000002</v>
      </c>
      <c r="P1274">
        <f t="shared" si="177"/>
        <v>656.12250000000006</v>
      </c>
      <c r="Q1274">
        <f t="shared" si="178"/>
        <v>669.50739900000008</v>
      </c>
      <c r="R1274">
        <f t="shared" si="179"/>
        <v>384.63040000000001</v>
      </c>
      <c r="S1274">
        <f t="shared" si="173"/>
        <v>4361.6099999999997</v>
      </c>
    </row>
    <row r="1275" spans="1:19" x14ac:dyDescent="0.25">
      <c r="A1275">
        <v>1405</v>
      </c>
      <c r="B1275">
        <v>1356</v>
      </c>
      <c r="C1275" t="s">
        <v>33</v>
      </c>
      <c r="D1275" t="s">
        <v>173</v>
      </c>
      <c r="E1275">
        <v>12</v>
      </c>
      <c r="F1275">
        <v>14.58</v>
      </c>
      <c r="G1275">
        <v>2.97</v>
      </c>
      <c r="H1275">
        <v>35.4</v>
      </c>
      <c r="I1275">
        <v>0.77</v>
      </c>
      <c r="J1275">
        <v>89.52</v>
      </c>
      <c r="K1275">
        <f t="shared" si="174"/>
        <v>1074.24</v>
      </c>
      <c r="L1275">
        <f t="shared" si="180"/>
        <v>1074.24</v>
      </c>
      <c r="M1275">
        <f t="shared" si="172"/>
        <v>519.63120000000004</v>
      </c>
      <c r="N1275">
        <f t="shared" si="175"/>
        <v>129.90780000000001</v>
      </c>
      <c r="O1275">
        <f t="shared" si="176"/>
        <v>519.63120000000004</v>
      </c>
      <c r="P1275">
        <f t="shared" si="177"/>
        <v>129.90780000000001</v>
      </c>
      <c r="Q1275">
        <f t="shared" si="178"/>
        <v>132.55791912000001</v>
      </c>
      <c r="R1275">
        <f t="shared" si="179"/>
        <v>327.096</v>
      </c>
      <c r="S1275">
        <f t="shared" si="173"/>
        <v>1074.24</v>
      </c>
    </row>
    <row r="1276" spans="1:19" x14ac:dyDescent="0.25">
      <c r="A1276">
        <v>1406</v>
      </c>
      <c r="B1276">
        <v>1356</v>
      </c>
      <c r="C1276" t="s">
        <v>33</v>
      </c>
      <c r="D1276" t="s">
        <v>173</v>
      </c>
      <c r="E1276">
        <v>14</v>
      </c>
      <c r="F1276">
        <v>14.69</v>
      </c>
      <c r="G1276">
        <v>2.66</v>
      </c>
      <c r="H1276">
        <v>28.01</v>
      </c>
      <c r="I1276">
        <v>0.81</v>
      </c>
      <c r="J1276">
        <v>78.69</v>
      </c>
      <c r="K1276">
        <f t="shared" si="174"/>
        <v>1101.6599999999999</v>
      </c>
      <c r="L1276">
        <f t="shared" si="180"/>
        <v>1101.6599999999999</v>
      </c>
      <c r="M1276">
        <f t="shared" si="172"/>
        <v>547.05560000000003</v>
      </c>
      <c r="N1276">
        <f t="shared" si="175"/>
        <v>136.76390000000001</v>
      </c>
      <c r="O1276">
        <f t="shared" si="176"/>
        <v>547.05560000000003</v>
      </c>
      <c r="P1276">
        <f t="shared" si="177"/>
        <v>136.76390000000001</v>
      </c>
      <c r="Q1276">
        <f t="shared" si="178"/>
        <v>139.55388356</v>
      </c>
      <c r="R1276">
        <f t="shared" si="179"/>
        <v>317.63339999999999</v>
      </c>
      <c r="S1276">
        <f t="shared" si="173"/>
        <v>1101.6599999999999</v>
      </c>
    </row>
    <row r="1277" spans="1:19" x14ac:dyDescent="0.25">
      <c r="A1277">
        <v>1407</v>
      </c>
      <c r="B1277">
        <v>1356</v>
      </c>
      <c r="C1277" t="s">
        <v>33</v>
      </c>
      <c r="D1277" t="s">
        <v>173</v>
      </c>
      <c r="E1277">
        <v>16</v>
      </c>
      <c r="F1277">
        <v>15.4</v>
      </c>
      <c r="G1277">
        <v>2.84</v>
      </c>
      <c r="H1277">
        <v>35.86</v>
      </c>
      <c r="I1277">
        <v>0.82</v>
      </c>
      <c r="J1277">
        <v>82.39</v>
      </c>
      <c r="K1277">
        <f t="shared" si="174"/>
        <v>1318.24</v>
      </c>
      <c r="L1277">
        <f t="shared" si="180"/>
        <v>1318.24</v>
      </c>
      <c r="M1277">
        <f t="shared" si="172"/>
        <v>699.77599999999995</v>
      </c>
      <c r="N1277">
        <f t="shared" si="175"/>
        <v>174.94399999999999</v>
      </c>
      <c r="O1277">
        <f t="shared" si="176"/>
        <v>699.77599999999995</v>
      </c>
      <c r="P1277">
        <f t="shared" si="177"/>
        <v>174.94399999999999</v>
      </c>
      <c r="Q1277">
        <f t="shared" si="178"/>
        <v>178.51285759999999</v>
      </c>
      <c r="R1277">
        <f t="shared" si="179"/>
        <v>470.48319999999995</v>
      </c>
      <c r="S1277">
        <f t="shared" si="173"/>
        <v>1318.24</v>
      </c>
    </row>
    <row r="1278" spans="1:19" x14ac:dyDescent="0.25">
      <c r="A1278">
        <v>1408</v>
      </c>
      <c r="B1278">
        <v>1356</v>
      </c>
      <c r="C1278" t="s">
        <v>33</v>
      </c>
      <c r="D1278" t="s">
        <v>172</v>
      </c>
      <c r="E1278">
        <v>11</v>
      </c>
      <c r="F1278">
        <v>19.510000000000002</v>
      </c>
      <c r="G1278">
        <v>10.75</v>
      </c>
      <c r="H1278">
        <v>25.67</v>
      </c>
      <c r="I1278">
        <v>0.99</v>
      </c>
      <c r="J1278">
        <v>342.22</v>
      </c>
      <c r="K1278">
        <f t="shared" si="174"/>
        <v>3764.42</v>
      </c>
      <c r="L1278">
        <f t="shared" si="180"/>
        <v>0</v>
      </c>
      <c r="M1278">
        <f t="shared" si="172"/>
        <v>0</v>
      </c>
      <c r="N1278">
        <f t="shared" si="175"/>
        <v>0</v>
      </c>
      <c r="O1278">
        <f t="shared" si="176"/>
        <v>2307.0575000000003</v>
      </c>
      <c r="P1278">
        <f t="shared" si="177"/>
        <v>576.76437500000009</v>
      </c>
      <c r="Q1278">
        <f t="shared" si="178"/>
        <v>588.53036825000004</v>
      </c>
      <c r="R1278">
        <f t="shared" si="179"/>
        <v>279.54630000000003</v>
      </c>
      <c r="S1278">
        <f t="shared" si="173"/>
        <v>3764.42</v>
      </c>
    </row>
    <row r="1279" spans="1:19" x14ac:dyDescent="0.25">
      <c r="A1279">
        <v>1409</v>
      </c>
      <c r="B1279">
        <v>1356</v>
      </c>
      <c r="C1279" t="s">
        <v>33</v>
      </c>
      <c r="D1279" t="s">
        <v>172</v>
      </c>
      <c r="E1279">
        <v>100</v>
      </c>
      <c r="F1279">
        <v>18.37</v>
      </c>
      <c r="G1279">
        <v>11.53</v>
      </c>
      <c r="H1279">
        <v>26.04</v>
      </c>
      <c r="I1279">
        <v>0.99</v>
      </c>
      <c r="J1279">
        <v>285.02</v>
      </c>
      <c r="K1279">
        <f t="shared" si="174"/>
        <v>28502</v>
      </c>
      <c r="L1279">
        <f t="shared" si="180"/>
        <v>0</v>
      </c>
      <c r="M1279">
        <f t="shared" si="172"/>
        <v>0</v>
      </c>
      <c r="N1279">
        <f t="shared" si="175"/>
        <v>0</v>
      </c>
      <c r="O1279">
        <f t="shared" si="176"/>
        <v>21180.61</v>
      </c>
      <c r="P1279">
        <f t="shared" si="177"/>
        <v>5295.1525000000001</v>
      </c>
      <c r="Q1279">
        <f t="shared" si="178"/>
        <v>5403.1736110000002</v>
      </c>
      <c r="R1279">
        <f t="shared" si="179"/>
        <v>2577.96</v>
      </c>
      <c r="S1279">
        <f t="shared" si="173"/>
        <v>28502</v>
      </c>
    </row>
    <row r="1280" spans="1:19" x14ac:dyDescent="0.25">
      <c r="A1280">
        <v>1410</v>
      </c>
      <c r="B1280">
        <v>1356</v>
      </c>
      <c r="C1280" t="s">
        <v>33</v>
      </c>
      <c r="D1280" t="s">
        <v>173</v>
      </c>
      <c r="E1280">
        <v>18</v>
      </c>
      <c r="F1280">
        <v>15.37</v>
      </c>
      <c r="G1280">
        <v>2.76</v>
      </c>
      <c r="H1280">
        <v>31.66</v>
      </c>
      <c r="I1280">
        <v>0.79</v>
      </c>
      <c r="J1280">
        <v>85.84</v>
      </c>
      <c r="K1280">
        <f t="shared" si="174"/>
        <v>1545.1200000000001</v>
      </c>
      <c r="L1280">
        <f t="shared" si="180"/>
        <v>1545.1200000000001</v>
      </c>
      <c r="M1280">
        <f t="shared" si="172"/>
        <v>763.58159999999987</v>
      </c>
      <c r="N1280">
        <f t="shared" si="175"/>
        <v>190.89539999999997</v>
      </c>
      <c r="O1280">
        <f t="shared" si="176"/>
        <v>763.58159999999987</v>
      </c>
      <c r="P1280">
        <f t="shared" si="177"/>
        <v>190.89539999999997</v>
      </c>
      <c r="Q1280">
        <f t="shared" si="178"/>
        <v>194.78966615999997</v>
      </c>
      <c r="R1280">
        <f t="shared" si="179"/>
        <v>450.20520000000005</v>
      </c>
      <c r="S1280">
        <f t="shared" si="173"/>
        <v>1545.1200000000001</v>
      </c>
    </row>
    <row r="1281" spans="1:19" x14ac:dyDescent="0.25">
      <c r="A1281">
        <v>1411</v>
      </c>
      <c r="B1281">
        <v>1356</v>
      </c>
      <c r="C1281" t="s">
        <v>33</v>
      </c>
      <c r="D1281" t="s">
        <v>172</v>
      </c>
      <c r="E1281">
        <v>169</v>
      </c>
      <c r="F1281">
        <v>18.11</v>
      </c>
      <c r="G1281">
        <v>10.46</v>
      </c>
      <c r="H1281">
        <v>33.71</v>
      </c>
      <c r="I1281">
        <v>0.99</v>
      </c>
      <c r="J1281">
        <v>321.49</v>
      </c>
      <c r="K1281">
        <f t="shared" si="174"/>
        <v>54331.810000000005</v>
      </c>
      <c r="L1281">
        <f t="shared" si="180"/>
        <v>0</v>
      </c>
      <c r="M1281">
        <f t="shared" si="172"/>
        <v>0</v>
      </c>
      <c r="N1281">
        <f t="shared" si="175"/>
        <v>0</v>
      </c>
      <c r="O1281">
        <f t="shared" si="176"/>
        <v>32013.771400000005</v>
      </c>
      <c r="P1281">
        <f t="shared" si="177"/>
        <v>8003.4428500000013</v>
      </c>
      <c r="Q1281">
        <f t="shared" si="178"/>
        <v>8166.7130841400012</v>
      </c>
      <c r="R1281">
        <f t="shared" si="179"/>
        <v>5640.0201000000006</v>
      </c>
      <c r="S1281">
        <f t="shared" si="173"/>
        <v>54331.810000000005</v>
      </c>
    </row>
    <row r="1282" spans="1:19" x14ac:dyDescent="0.25">
      <c r="A1282">
        <v>1412</v>
      </c>
      <c r="B1282">
        <v>1356</v>
      </c>
      <c r="C1282" t="s">
        <v>33</v>
      </c>
      <c r="D1282" t="s">
        <v>173</v>
      </c>
      <c r="E1282">
        <v>11</v>
      </c>
      <c r="F1282">
        <v>14.4</v>
      </c>
      <c r="G1282">
        <v>3.07</v>
      </c>
      <c r="H1282">
        <v>35.5</v>
      </c>
      <c r="I1282">
        <v>0.8</v>
      </c>
      <c r="J1282">
        <v>92.03</v>
      </c>
      <c r="K1282">
        <f t="shared" si="174"/>
        <v>1012.33</v>
      </c>
      <c r="L1282">
        <f t="shared" si="180"/>
        <v>1012.33</v>
      </c>
      <c r="M1282">
        <f t="shared" ref="M1282:M1345" si="181">IF(D1282="SHOES",O1282,0)</f>
        <v>486.28799999999995</v>
      </c>
      <c r="N1282">
        <f t="shared" si="175"/>
        <v>121.57199999999999</v>
      </c>
      <c r="O1282">
        <f t="shared" si="176"/>
        <v>486.28799999999995</v>
      </c>
      <c r="P1282">
        <f t="shared" si="177"/>
        <v>121.57199999999999</v>
      </c>
      <c r="Q1282">
        <f t="shared" si="178"/>
        <v>124.05206879999999</v>
      </c>
      <c r="R1282">
        <f t="shared" si="179"/>
        <v>312.40000000000003</v>
      </c>
      <c r="S1282">
        <f t="shared" ref="S1282:S1345" si="182">PRODUCT(J1282,E1282)</f>
        <v>1012.33</v>
      </c>
    </row>
    <row r="1283" spans="1:19" x14ac:dyDescent="0.25">
      <c r="A1283">
        <v>1413</v>
      </c>
      <c r="B1283">
        <v>1356</v>
      </c>
      <c r="C1283" t="s">
        <v>33</v>
      </c>
      <c r="D1283" t="s">
        <v>173</v>
      </c>
      <c r="E1283">
        <v>16</v>
      </c>
      <c r="F1283">
        <v>15.48</v>
      </c>
      <c r="G1283">
        <v>3.07</v>
      </c>
      <c r="H1283">
        <v>28.91</v>
      </c>
      <c r="I1283">
        <v>0.82</v>
      </c>
      <c r="J1283">
        <v>91.42</v>
      </c>
      <c r="K1283">
        <f t="shared" ref="K1283:K1346" si="183">E1283*J1283</f>
        <v>1462.72</v>
      </c>
      <c r="L1283">
        <f t="shared" si="180"/>
        <v>1462.72</v>
      </c>
      <c r="M1283">
        <f t="shared" si="181"/>
        <v>760.37760000000003</v>
      </c>
      <c r="N1283">
        <f t="shared" ref="N1283:N1346" si="184">IF(D1283="SHOES",P1283,0)</f>
        <v>190.09440000000001</v>
      </c>
      <c r="O1283">
        <f t="shared" ref="O1283:O1346" si="185">PRODUCT(E1283,G1283,F1283)</f>
        <v>760.37760000000003</v>
      </c>
      <c r="P1283">
        <f t="shared" ref="P1283:P1346" si="186">PRODUCT(O1283,0.25)</f>
        <v>190.09440000000001</v>
      </c>
      <c r="Q1283">
        <f t="shared" ref="Q1283:Q1346" si="187">PRODUCT(O1283,0.2551)</f>
        <v>193.97232575999999</v>
      </c>
      <c r="R1283">
        <f t="shared" si="179"/>
        <v>379.29919999999998</v>
      </c>
      <c r="S1283">
        <f t="shared" si="182"/>
        <v>1462.72</v>
      </c>
    </row>
    <row r="1284" spans="1:19" x14ac:dyDescent="0.25">
      <c r="A1284">
        <v>1414</v>
      </c>
      <c r="B1284">
        <v>1356</v>
      </c>
      <c r="C1284" t="s">
        <v>33</v>
      </c>
      <c r="D1284" t="s">
        <v>172</v>
      </c>
      <c r="E1284">
        <v>14</v>
      </c>
      <c r="F1284">
        <v>20.47</v>
      </c>
      <c r="G1284">
        <v>10.82</v>
      </c>
      <c r="H1284">
        <v>24.53</v>
      </c>
      <c r="I1284">
        <v>0.99</v>
      </c>
      <c r="J1284">
        <v>358.36</v>
      </c>
      <c r="K1284">
        <f t="shared" si="183"/>
        <v>5017.04</v>
      </c>
      <c r="L1284">
        <f t="shared" si="180"/>
        <v>0</v>
      </c>
      <c r="M1284">
        <f t="shared" si="181"/>
        <v>0</v>
      </c>
      <c r="N1284">
        <f t="shared" si="184"/>
        <v>0</v>
      </c>
      <c r="O1284">
        <f t="shared" si="185"/>
        <v>3100.7956000000004</v>
      </c>
      <c r="P1284">
        <f t="shared" si="186"/>
        <v>775.19890000000009</v>
      </c>
      <c r="Q1284">
        <f t="shared" si="187"/>
        <v>791.01295756000013</v>
      </c>
      <c r="R1284">
        <f t="shared" ref="R1284:R1347" si="188">PRODUCT(E1284,I1284,H1284)</f>
        <v>339.98579999999998</v>
      </c>
      <c r="S1284">
        <f t="shared" si="182"/>
        <v>5017.04</v>
      </c>
    </row>
    <row r="1285" spans="1:19" x14ac:dyDescent="0.25">
      <c r="A1285">
        <v>1415</v>
      </c>
      <c r="B1285">
        <v>1356</v>
      </c>
      <c r="C1285" t="s">
        <v>33</v>
      </c>
      <c r="D1285" t="s">
        <v>173</v>
      </c>
      <c r="E1285">
        <v>29</v>
      </c>
      <c r="F1285">
        <v>16.75</v>
      </c>
      <c r="G1285">
        <v>3.17</v>
      </c>
      <c r="H1285">
        <v>27.38</v>
      </c>
      <c r="I1285">
        <v>0.78</v>
      </c>
      <c r="J1285">
        <v>96.5</v>
      </c>
      <c r="K1285">
        <f t="shared" si="183"/>
        <v>2798.5</v>
      </c>
      <c r="L1285">
        <f t="shared" si="180"/>
        <v>2798.5</v>
      </c>
      <c r="M1285">
        <f t="shared" si="181"/>
        <v>1539.8274999999999</v>
      </c>
      <c r="N1285">
        <f t="shared" si="184"/>
        <v>384.95687499999997</v>
      </c>
      <c r="O1285">
        <f t="shared" si="185"/>
        <v>1539.8274999999999</v>
      </c>
      <c r="P1285">
        <f t="shared" si="186"/>
        <v>384.95687499999997</v>
      </c>
      <c r="Q1285">
        <f t="shared" si="187"/>
        <v>392.80999524999993</v>
      </c>
      <c r="R1285">
        <f t="shared" si="188"/>
        <v>619.3356</v>
      </c>
      <c r="S1285">
        <f t="shared" si="182"/>
        <v>2798.5</v>
      </c>
    </row>
    <row r="1286" spans="1:19" x14ac:dyDescent="0.25">
      <c r="A1286">
        <v>1416</v>
      </c>
      <c r="B1286">
        <v>1356</v>
      </c>
      <c r="C1286" t="s">
        <v>33</v>
      </c>
      <c r="D1286" t="s">
        <v>172</v>
      </c>
      <c r="E1286">
        <v>8</v>
      </c>
      <c r="F1286">
        <v>19.28</v>
      </c>
      <c r="G1286">
        <v>10.41</v>
      </c>
      <c r="H1286">
        <v>30.12</v>
      </c>
      <c r="I1286">
        <v>1.03</v>
      </c>
      <c r="J1286">
        <v>335.47</v>
      </c>
      <c r="K1286">
        <f t="shared" si="183"/>
        <v>2683.76</v>
      </c>
      <c r="L1286">
        <f t="shared" si="180"/>
        <v>0</v>
      </c>
      <c r="M1286">
        <f t="shared" si="181"/>
        <v>0</v>
      </c>
      <c r="N1286">
        <f t="shared" si="184"/>
        <v>0</v>
      </c>
      <c r="O1286">
        <f t="shared" si="185"/>
        <v>1605.6384</v>
      </c>
      <c r="P1286">
        <f t="shared" si="186"/>
        <v>401.40960000000001</v>
      </c>
      <c r="Q1286">
        <f t="shared" si="187"/>
        <v>409.59835584000001</v>
      </c>
      <c r="R1286">
        <f t="shared" si="188"/>
        <v>248.18880000000001</v>
      </c>
      <c r="S1286">
        <f t="shared" si="182"/>
        <v>2683.76</v>
      </c>
    </row>
    <row r="1287" spans="1:19" x14ac:dyDescent="0.25">
      <c r="A1287">
        <v>1417</v>
      </c>
      <c r="B1287">
        <v>1356</v>
      </c>
      <c r="C1287" t="s">
        <v>33</v>
      </c>
      <c r="D1287" t="s">
        <v>172</v>
      </c>
      <c r="E1287">
        <v>22</v>
      </c>
      <c r="F1287">
        <v>19.32</v>
      </c>
      <c r="G1287">
        <v>10.7</v>
      </c>
      <c r="H1287">
        <v>28.33</v>
      </c>
      <c r="I1287">
        <v>0.95</v>
      </c>
      <c r="J1287">
        <v>339.53</v>
      </c>
      <c r="K1287">
        <f t="shared" si="183"/>
        <v>7469.66</v>
      </c>
      <c r="L1287">
        <f t="shared" ref="L1287:L1350" si="189">IF(D1287="SHOES",E1287*J1287,0)</f>
        <v>0</v>
      </c>
      <c r="M1287">
        <f t="shared" si="181"/>
        <v>0</v>
      </c>
      <c r="N1287">
        <f t="shared" si="184"/>
        <v>0</v>
      </c>
      <c r="O1287">
        <f t="shared" si="185"/>
        <v>4547.9279999999999</v>
      </c>
      <c r="P1287">
        <f t="shared" si="186"/>
        <v>1136.982</v>
      </c>
      <c r="Q1287">
        <f t="shared" si="187"/>
        <v>1160.1764327999999</v>
      </c>
      <c r="R1287">
        <f t="shared" si="188"/>
        <v>592.09699999999998</v>
      </c>
      <c r="S1287">
        <f t="shared" si="182"/>
        <v>7469.66</v>
      </c>
    </row>
    <row r="1288" spans="1:19" x14ac:dyDescent="0.25">
      <c r="A1288">
        <v>1418</v>
      </c>
      <c r="B1288">
        <v>1356</v>
      </c>
      <c r="C1288" t="s">
        <v>33</v>
      </c>
      <c r="D1288" t="s">
        <v>173</v>
      </c>
      <c r="E1288">
        <v>9</v>
      </c>
      <c r="F1288">
        <v>13.97</v>
      </c>
      <c r="G1288">
        <v>2.65</v>
      </c>
      <c r="H1288">
        <v>34.07</v>
      </c>
      <c r="I1288">
        <v>0.77</v>
      </c>
      <c r="J1288">
        <v>79.760000000000005</v>
      </c>
      <c r="K1288">
        <f t="shared" si="183"/>
        <v>717.84</v>
      </c>
      <c r="L1288">
        <f t="shared" si="189"/>
        <v>717.84</v>
      </c>
      <c r="M1288">
        <f t="shared" si="181"/>
        <v>333.18449999999996</v>
      </c>
      <c r="N1288">
        <f t="shared" si="184"/>
        <v>83.296124999999989</v>
      </c>
      <c r="O1288">
        <f t="shared" si="185"/>
        <v>333.18449999999996</v>
      </c>
      <c r="P1288">
        <f t="shared" si="186"/>
        <v>83.296124999999989</v>
      </c>
      <c r="Q1288">
        <f t="shared" si="187"/>
        <v>84.995365949999993</v>
      </c>
      <c r="R1288">
        <f t="shared" si="188"/>
        <v>236.10509999999999</v>
      </c>
      <c r="S1288">
        <f t="shared" si="182"/>
        <v>717.84</v>
      </c>
    </row>
    <row r="1289" spans="1:19" x14ac:dyDescent="0.25">
      <c r="A1289">
        <v>1419</v>
      </c>
      <c r="B1289">
        <v>1356</v>
      </c>
      <c r="C1289" t="s">
        <v>33</v>
      </c>
      <c r="D1289" t="s">
        <v>173</v>
      </c>
      <c r="E1289">
        <v>37</v>
      </c>
      <c r="F1289">
        <v>16.600000000000001</v>
      </c>
      <c r="G1289">
        <v>2.62</v>
      </c>
      <c r="H1289">
        <v>33.1</v>
      </c>
      <c r="I1289">
        <v>0.81</v>
      </c>
      <c r="J1289">
        <v>89.29</v>
      </c>
      <c r="K1289">
        <f t="shared" si="183"/>
        <v>3303.73</v>
      </c>
      <c r="L1289">
        <f t="shared" si="189"/>
        <v>3303.73</v>
      </c>
      <c r="M1289">
        <f t="shared" si="181"/>
        <v>1609.2040000000002</v>
      </c>
      <c r="N1289">
        <f t="shared" si="184"/>
        <v>402.30100000000004</v>
      </c>
      <c r="O1289">
        <f t="shared" si="185"/>
        <v>1609.2040000000002</v>
      </c>
      <c r="P1289">
        <f t="shared" si="186"/>
        <v>402.30100000000004</v>
      </c>
      <c r="Q1289">
        <f t="shared" si="187"/>
        <v>410.50794040000005</v>
      </c>
      <c r="R1289">
        <f t="shared" si="188"/>
        <v>992.00700000000018</v>
      </c>
      <c r="S1289">
        <f t="shared" si="182"/>
        <v>3303.73</v>
      </c>
    </row>
    <row r="1290" spans="1:19" x14ac:dyDescent="0.25">
      <c r="A1290">
        <v>1420</v>
      </c>
      <c r="B1290">
        <v>1356</v>
      </c>
      <c r="C1290" t="s">
        <v>33</v>
      </c>
      <c r="D1290" t="s">
        <v>172</v>
      </c>
      <c r="E1290">
        <v>12</v>
      </c>
      <c r="F1290">
        <v>18.04</v>
      </c>
      <c r="G1290">
        <v>10.76</v>
      </c>
      <c r="H1290">
        <v>39.049999999999997</v>
      </c>
      <c r="I1290">
        <v>0.97</v>
      </c>
      <c r="J1290">
        <v>333.81</v>
      </c>
      <c r="K1290">
        <f t="shared" si="183"/>
        <v>4005.7200000000003</v>
      </c>
      <c r="L1290">
        <f t="shared" si="189"/>
        <v>0</v>
      </c>
      <c r="M1290">
        <f t="shared" si="181"/>
        <v>0</v>
      </c>
      <c r="N1290">
        <f t="shared" si="184"/>
        <v>0</v>
      </c>
      <c r="O1290">
        <f t="shared" si="185"/>
        <v>2329.3247999999999</v>
      </c>
      <c r="P1290">
        <f t="shared" si="186"/>
        <v>582.33119999999997</v>
      </c>
      <c r="Q1290">
        <f t="shared" si="187"/>
        <v>594.21075647999999</v>
      </c>
      <c r="R1290">
        <f t="shared" si="188"/>
        <v>454.54199999999997</v>
      </c>
      <c r="S1290">
        <f t="shared" si="182"/>
        <v>4005.7200000000003</v>
      </c>
    </row>
    <row r="1291" spans="1:19" x14ac:dyDescent="0.25">
      <c r="A1291">
        <v>1421</v>
      </c>
      <c r="B1291">
        <v>1356</v>
      </c>
      <c r="C1291" t="s">
        <v>33</v>
      </c>
      <c r="D1291" t="s">
        <v>173</v>
      </c>
      <c r="E1291">
        <v>10</v>
      </c>
      <c r="F1291">
        <v>14.65</v>
      </c>
      <c r="G1291">
        <v>2.6</v>
      </c>
      <c r="H1291">
        <v>28.31</v>
      </c>
      <c r="I1291">
        <v>0.8</v>
      </c>
      <c r="J1291">
        <v>77.290000000000006</v>
      </c>
      <c r="K1291">
        <f t="shared" si="183"/>
        <v>772.90000000000009</v>
      </c>
      <c r="L1291">
        <f t="shared" si="189"/>
        <v>772.90000000000009</v>
      </c>
      <c r="M1291">
        <f t="shared" si="181"/>
        <v>380.90000000000003</v>
      </c>
      <c r="N1291">
        <f t="shared" si="184"/>
        <v>95.225000000000009</v>
      </c>
      <c r="O1291">
        <f t="shared" si="185"/>
        <v>380.90000000000003</v>
      </c>
      <c r="P1291">
        <f t="shared" si="186"/>
        <v>95.225000000000009</v>
      </c>
      <c r="Q1291">
        <f t="shared" si="187"/>
        <v>97.167590000000004</v>
      </c>
      <c r="R1291">
        <f t="shared" si="188"/>
        <v>226.48</v>
      </c>
      <c r="S1291">
        <f t="shared" si="182"/>
        <v>772.90000000000009</v>
      </c>
    </row>
    <row r="1292" spans="1:19" x14ac:dyDescent="0.25">
      <c r="A1292">
        <v>1422</v>
      </c>
      <c r="B1292">
        <v>1356</v>
      </c>
      <c r="C1292" t="s">
        <v>33</v>
      </c>
      <c r="D1292" t="s">
        <v>173</v>
      </c>
      <c r="E1292">
        <v>15</v>
      </c>
      <c r="F1292">
        <v>15.88</v>
      </c>
      <c r="G1292">
        <v>2.87</v>
      </c>
      <c r="H1292">
        <v>32.340000000000003</v>
      </c>
      <c r="I1292">
        <v>0.79</v>
      </c>
      <c r="J1292">
        <v>90.77</v>
      </c>
      <c r="K1292">
        <f t="shared" si="183"/>
        <v>1361.55</v>
      </c>
      <c r="L1292">
        <f t="shared" si="189"/>
        <v>1361.55</v>
      </c>
      <c r="M1292">
        <f t="shared" si="181"/>
        <v>683.63400000000013</v>
      </c>
      <c r="N1292">
        <f t="shared" si="184"/>
        <v>170.90850000000003</v>
      </c>
      <c r="O1292">
        <f t="shared" si="185"/>
        <v>683.63400000000013</v>
      </c>
      <c r="P1292">
        <f t="shared" si="186"/>
        <v>170.90850000000003</v>
      </c>
      <c r="Q1292">
        <f t="shared" si="187"/>
        <v>174.39503340000002</v>
      </c>
      <c r="R1292">
        <f t="shared" si="188"/>
        <v>383.2290000000001</v>
      </c>
      <c r="S1292">
        <f t="shared" si="182"/>
        <v>1361.55</v>
      </c>
    </row>
    <row r="1293" spans="1:19" x14ac:dyDescent="0.25">
      <c r="A1293">
        <v>1423</v>
      </c>
      <c r="B1293">
        <v>1356</v>
      </c>
      <c r="C1293" t="s">
        <v>33</v>
      </c>
      <c r="D1293" t="s">
        <v>172</v>
      </c>
      <c r="E1293">
        <v>22</v>
      </c>
      <c r="F1293">
        <v>17.68</v>
      </c>
      <c r="G1293">
        <v>10.050000000000001</v>
      </c>
      <c r="H1293">
        <v>31.24</v>
      </c>
      <c r="I1293">
        <v>0.93</v>
      </c>
      <c r="J1293">
        <v>298.88</v>
      </c>
      <c r="K1293">
        <f t="shared" si="183"/>
        <v>6575.36</v>
      </c>
      <c r="L1293">
        <f t="shared" si="189"/>
        <v>0</v>
      </c>
      <c r="M1293">
        <f t="shared" si="181"/>
        <v>0</v>
      </c>
      <c r="N1293">
        <f t="shared" si="184"/>
        <v>0</v>
      </c>
      <c r="O1293">
        <f t="shared" si="185"/>
        <v>3909.0480000000002</v>
      </c>
      <c r="P1293">
        <f t="shared" si="186"/>
        <v>977.26200000000006</v>
      </c>
      <c r="Q1293">
        <f t="shared" si="187"/>
        <v>997.19814480000002</v>
      </c>
      <c r="R1293">
        <f t="shared" si="188"/>
        <v>639.17039999999997</v>
      </c>
      <c r="S1293">
        <f t="shared" si="182"/>
        <v>6575.36</v>
      </c>
    </row>
    <row r="1294" spans="1:19" x14ac:dyDescent="0.25">
      <c r="A1294">
        <v>1424</v>
      </c>
      <c r="B1294">
        <v>1356</v>
      </c>
      <c r="C1294" t="s">
        <v>33</v>
      </c>
      <c r="D1294" t="s">
        <v>173</v>
      </c>
      <c r="E1294">
        <v>18</v>
      </c>
      <c r="F1294">
        <v>13.2</v>
      </c>
      <c r="G1294">
        <v>2.93</v>
      </c>
      <c r="H1294">
        <v>28.45</v>
      </c>
      <c r="I1294">
        <v>0.83</v>
      </c>
      <c r="J1294">
        <v>79.150000000000006</v>
      </c>
      <c r="K1294">
        <f t="shared" si="183"/>
        <v>1424.7</v>
      </c>
      <c r="L1294">
        <f t="shared" si="189"/>
        <v>1424.7</v>
      </c>
      <c r="M1294">
        <f t="shared" si="181"/>
        <v>696.16800000000001</v>
      </c>
      <c r="N1294">
        <f t="shared" si="184"/>
        <v>174.042</v>
      </c>
      <c r="O1294">
        <f t="shared" si="185"/>
        <v>696.16800000000001</v>
      </c>
      <c r="P1294">
        <f t="shared" si="186"/>
        <v>174.042</v>
      </c>
      <c r="Q1294">
        <f t="shared" si="187"/>
        <v>177.59245680000001</v>
      </c>
      <c r="R1294">
        <f t="shared" si="188"/>
        <v>425.04299999999995</v>
      </c>
      <c r="S1294">
        <f t="shared" si="182"/>
        <v>1424.7</v>
      </c>
    </row>
    <row r="1295" spans="1:19" x14ac:dyDescent="0.25">
      <c r="A1295">
        <v>1425</v>
      </c>
      <c r="B1295">
        <v>1356</v>
      </c>
      <c r="C1295" t="s">
        <v>33</v>
      </c>
      <c r="D1295" t="s">
        <v>172</v>
      </c>
      <c r="E1295">
        <v>15</v>
      </c>
      <c r="F1295">
        <v>19.440000000000001</v>
      </c>
      <c r="G1295">
        <v>11.32</v>
      </c>
      <c r="H1295">
        <v>33</v>
      </c>
      <c r="I1295">
        <v>1</v>
      </c>
      <c r="J1295">
        <v>366.61</v>
      </c>
      <c r="K1295">
        <f t="shared" si="183"/>
        <v>5499.1500000000005</v>
      </c>
      <c r="L1295">
        <f t="shared" si="189"/>
        <v>0</v>
      </c>
      <c r="M1295">
        <f t="shared" si="181"/>
        <v>0</v>
      </c>
      <c r="N1295">
        <f t="shared" si="184"/>
        <v>0</v>
      </c>
      <c r="O1295">
        <f t="shared" si="185"/>
        <v>3300.9120000000003</v>
      </c>
      <c r="P1295">
        <f t="shared" si="186"/>
        <v>825.22800000000007</v>
      </c>
      <c r="Q1295">
        <f t="shared" si="187"/>
        <v>842.0626512</v>
      </c>
      <c r="R1295">
        <f t="shared" si="188"/>
        <v>495</v>
      </c>
      <c r="S1295">
        <f t="shared" si="182"/>
        <v>5499.1500000000005</v>
      </c>
    </row>
    <row r="1296" spans="1:19" x14ac:dyDescent="0.25">
      <c r="A1296">
        <v>1426</v>
      </c>
      <c r="B1296">
        <v>1357</v>
      </c>
      <c r="C1296" t="s">
        <v>32</v>
      </c>
      <c r="D1296" t="s">
        <v>172</v>
      </c>
      <c r="E1296">
        <v>13</v>
      </c>
      <c r="F1296">
        <v>18.64</v>
      </c>
      <c r="G1296">
        <v>11.61</v>
      </c>
      <c r="H1296">
        <v>25.25</v>
      </c>
      <c r="I1296">
        <v>0.94</v>
      </c>
      <c r="J1296">
        <v>350.16</v>
      </c>
      <c r="K1296">
        <f t="shared" si="183"/>
        <v>4552.08</v>
      </c>
      <c r="L1296">
        <f t="shared" si="189"/>
        <v>0</v>
      </c>
      <c r="M1296">
        <f t="shared" si="181"/>
        <v>0</v>
      </c>
      <c r="N1296">
        <f t="shared" si="184"/>
        <v>0</v>
      </c>
      <c r="O1296">
        <f t="shared" si="185"/>
        <v>2813.3352</v>
      </c>
      <c r="P1296">
        <f t="shared" si="186"/>
        <v>703.3338</v>
      </c>
      <c r="Q1296">
        <f t="shared" si="187"/>
        <v>717.68180952</v>
      </c>
      <c r="R1296">
        <f t="shared" si="188"/>
        <v>308.55499999999995</v>
      </c>
      <c r="S1296">
        <f t="shared" si="182"/>
        <v>4552.08</v>
      </c>
    </row>
    <row r="1297" spans="1:19" x14ac:dyDescent="0.25">
      <c r="A1297">
        <v>1427</v>
      </c>
      <c r="B1297">
        <v>1357</v>
      </c>
      <c r="C1297" t="s">
        <v>32</v>
      </c>
      <c r="D1297" t="s">
        <v>173</v>
      </c>
      <c r="E1297">
        <v>14</v>
      </c>
      <c r="F1297">
        <v>13.09</v>
      </c>
      <c r="G1297">
        <v>3.1</v>
      </c>
      <c r="H1297">
        <v>30.97</v>
      </c>
      <c r="I1297">
        <v>0.82</v>
      </c>
      <c r="J1297">
        <v>83.73</v>
      </c>
      <c r="K1297">
        <f t="shared" si="183"/>
        <v>1172.22</v>
      </c>
      <c r="L1297">
        <f t="shared" si="189"/>
        <v>1172.22</v>
      </c>
      <c r="M1297">
        <f t="shared" si="181"/>
        <v>568.10599999999999</v>
      </c>
      <c r="N1297">
        <f t="shared" si="184"/>
        <v>142.0265</v>
      </c>
      <c r="O1297">
        <f t="shared" si="185"/>
        <v>568.10599999999999</v>
      </c>
      <c r="P1297">
        <f t="shared" si="186"/>
        <v>142.0265</v>
      </c>
      <c r="Q1297">
        <f t="shared" si="187"/>
        <v>144.92384060000001</v>
      </c>
      <c r="R1297">
        <f t="shared" si="188"/>
        <v>355.53559999999993</v>
      </c>
      <c r="S1297">
        <f t="shared" si="182"/>
        <v>1172.22</v>
      </c>
    </row>
    <row r="1298" spans="1:19" x14ac:dyDescent="0.25">
      <c r="A1298">
        <v>1428</v>
      </c>
      <c r="B1298">
        <v>1357</v>
      </c>
      <c r="C1298" t="s">
        <v>32</v>
      </c>
      <c r="D1298" t="s">
        <v>172</v>
      </c>
      <c r="E1298">
        <v>56</v>
      </c>
      <c r="F1298">
        <v>19.09</v>
      </c>
      <c r="G1298">
        <v>10.08</v>
      </c>
      <c r="H1298">
        <v>35.57</v>
      </c>
      <c r="I1298">
        <v>0.92</v>
      </c>
      <c r="J1298">
        <v>325.18</v>
      </c>
      <c r="K1298">
        <f t="shared" si="183"/>
        <v>18210.080000000002</v>
      </c>
      <c r="L1298">
        <f t="shared" si="189"/>
        <v>0</v>
      </c>
      <c r="M1298">
        <f t="shared" si="181"/>
        <v>0</v>
      </c>
      <c r="N1298">
        <f t="shared" si="184"/>
        <v>0</v>
      </c>
      <c r="O1298">
        <f t="shared" si="185"/>
        <v>10775.923200000001</v>
      </c>
      <c r="P1298">
        <f t="shared" si="186"/>
        <v>2693.9808000000003</v>
      </c>
      <c r="Q1298">
        <f t="shared" si="187"/>
        <v>2748.9380083200003</v>
      </c>
      <c r="R1298">
        <f t="shared" si="188"/>
        <v>1832.5664000000002</v>
      </c>
      <c r="S1298">
        <f t="shared" si="182"/>
        <v>18210.080000000002</v>
      </c>
    </row>
    <row r="1299" spans="1:19" x14ac:dyDescent="0.25">
      <c r="A1299">
        <v>1429</v>
      </c>
      <c r="B1299">
        <v>1357</v>
      </c>
      <c r="C1299" t="s">
        <v>32</v>
      </c>
      <c r="D1299" t="s">
        <v>173</v>
      </c>
      <c r="E1299">
        <v>11</v>
      </c>
      <c r="F1299">
        <v>16.25</v>
      </c>
      <c r="G1299">
        <v>3.3</v>
      </c>
      <c r="H1299">
        <v>26.38</v>
      </c>
      <c r="I1299">
        <v>0.84</v>
      </c>
      <c r="J1299">
        <v>98.11</v>
      </c>
      <c r="K1299">
        <f t="shared" si="183"/>
        <v>1079.21</v>
      </c>
      <c r="L1299">
        <f t="shared" si="189"/>
        <v>1079.21</v>
      </c>
      <c r="M1299">
        <f t="shared" si="181"/>
        <v>589.875</v>
      </c>
      <c r="N1299">
        <f t="shared" si="184"/>
        <v>147.46875</v>
      </c>
      <c r="O1299">
        <f t="shared" si="185"/>
        <v>589.875</v>
      </c>
      <c r="P1299">
        <f t="shared" si="186"/>
        <v>147.46875</v>
      </c>
      <c r="Q1299">
        <f t="shared" si="187"/>
        <v>150.4771125</v>
      </c>
      <c r="R1299">
        <f t="shared" si="188"/>
        <v>243.75119999999998</v>
      </c>
      <c r="S1299">
        <f t="shared" si="182"/>
        <v>1079.21</v>
      </c>
    </row>
    <row r="1300" spans="1:19" x14ac:dyDescent="0.25">
      <c r="A1300">
        <v>1430</v>
      </c>
      <c r="B1300">
        <v>1357</v>
      </c>
      <c r="C1300" t="s">
        <v>32</v>
      </c>
      <c r="D1300" t="s">
        <v>173</v>
      </c>
      <c r="E1300">
        <v>15</v>
      </c>
      <c r="F1300">
        <v>14.43</v>
      </c>
      <c r="G1300">
        <v>2.7</v>
      </c>
      <c r="H1300">
        <v>29.25</v>
      </c>
      <c r="I1300">
        <v>0.8</v>
      </c>
      <c r="J1300">
        <v>79.31</v>
      </c>
      <c r="K1300">
        <f t="shared" si="183"/>
        <v>1189.6500000000001</v>
      </c>
      <c r="L1300">
        <f t="shared" si="189"/>
        <v>1189.6500000000001</v>
      </c>
      <c r="M1300">
        <f t="shared" si="181"/>
        <v>584.41499999999996</v>
      </c>
      <c r="N1300">
        <f t="shared" si="184"/>
        <v>146.10374999999999</v>
      </c>
      <c r="O1300">
        <f t="shared" si="185"/>
        <v>584.41499999999996</v>
      </c>
      <c r="P1300">
        <f t="shared" si="186"/>
        <v>146.10374999999999</v>
      </c>
      <c r="Q1300">
        <f t="shared" si="187"/>
        <v>149.08426649999998</v>
      </c>
      <c r="R1300">
        <f t="shared" si="188"/>
        <v>351</v>
      </c>
      <c r="S1300">
        <f t="shared" si="182"/>
        <v>1189.6500000000001</v>
      </c>
    </row>
    <row r="1301" spans="1:19" x14ac:dyDescent="0.25">
      <c r="A1301">
        <v>1431</v>
      </c>
      <c r="B1301">
        <v>1357</v>
      </c>
      <c r="C1301" t="s">
        <v>32</v>
      </c>
      <c r="D1301" t="s">
        <v>172</v>
      </c>
      <c r="E1301">
        <v>17</v>
      </c>
      <c r="F1301">
        <v>19.2</v>
      </c>
      <c r="G1301">
        <v>11.45</v>
      </c>
      <c r="H1301">
        <v>32.729999999999997</v>
      </c>
      <c r="I1301">
        <v>1.03</v>
      </c>
      <c r="J1301">
        <v>367.13</v>
      </c>
      <c r="K1301">
        <f t="shared" si="183"/>
        <v>6241.21</v>
      </c>
      <c r="L1301">
        <f t="shared" si="189"/>
        <v>0</v>
      </c>
      <c r="M1301">
        <f t="shared" si="181"/>
        <v>0</v>
      </c>
      <c r="N1301">
        <f t="shared" si="184"/>
        <v>0</v>
      </c>
      <c r="O1301">
        <f t="shared" si="185"/>
        <v>3737.2799999999993</v>
      </c>
      <c r="P1301">
        <f t="shared" si="186"/>
        <v>934.31999999999982</v>
      </c>
      <c r="Q1301">
        <f t="shared" si="187"/>
        <v>953.38012799999979</v>
      </c>
      <c r="R1301">
        <f t="shared" si="188"/>
        <v>573.10230000000001</v>
      </c>
      <c r="S1301">
        <f t="shared" si="182"/>
        <v>6241.21</v>
      </c>
    </row>
    <row r="1302" spans="1:19" x14ac:dyDescent="0.25">
      <c r="A1302">
        <v>1432</v>
      </c>
      <c r="B1302">
        <v>1357</v>
      </c>
      <c r="C1302" t="s">
        <v>32</v>
      </c>
      <c r="D1302" t="s">
        <v>172</v>
      </c>
      <c r="E1302">
        <v>11</v>
      </c>
      <c r="F1302">
        <v>18.62</v>
      </c>
      <c r="G1302">
        <v>10.68</v>
      </c>
      <c r="H1302">
        <v>22.11</v>
      </c>
      <c r="I1302">
        <v>0.99</v>
      </c>
      <c r="J1302">
        <v>321.85000000000002</v>
      </c>
      <c r="K1302">
        <f t="shared" si="183"/>
        <v>3540.3500000000004</v>
      </c>
      <c r="L1302">
        <f t="shared" si="189"/>
        <v>0</v>
      </c>
      <c r="M1302">
        <f t="shared" si="181"/>
        <v>0</v>
      </c>
      <c r="N1302">
        <f t="shared" si="184"/>
        <v>0</v>
      </c>
      <c r="O1302">
        <f t="shared" si="185"/>
        <v>2187.4775999999997</v>
      </c>
      <c r="P1302">
        <f t="shared" si="186"/>
        <v>546.86939999999993</v>
      </c>
      <c r="Q1302">
        <f t="shared" si="187"/>
        <v>558.02553575999991</v>
      </c>
      <c r="R1302">
        <f t="shared" si="188"/>
        <v>240.77790000000002</v>
      </c>
      <c r="S1302">
        <f t="shared" si="182"/>
        <v>3540.3500000000004</v>
      </c>
    </row>
    <row r="1303" spans="1:19" x14ac:dyDescent="0.25">
      <c r="A1303">
        <v>1433</v>
      </c>
      <c r="B1303">
        <v>1358</v>
      </c>
      <c r="C1303" t="s">
        <v>33</v>
      </c>
      <c r="D1303" t="s">
        <v>172</v>
      </c>
      <c r="E1303">
        <v>11</v>
      </c>
      <c r="F1303">
        <v>20.29</v>
      </c>
      <c r="G1303">
        <v>12.32</v>
      </c>
      <c r="H1303">
        <v>35.56</v>
      </c>
      <c r="I1303">
        <v>1.01</v>
      </c>
      <c r="J1303">
        <v>414.57</v>
      </c>
      <c r="K1303">
        <f t="shared" si="183"/>
        <v>4560.2699999999995</v>
      </c>
      <c r="L1303">
        <f t="shared" si="189"/>
        <v>0</v>
      </c>
      <c r="M1303">
        <f t="shared" si="181"/>
        <v>0</v>
      </c>
      <c r="N1303">
        <f t="shared" si="184"/>
        <v>0</v>
      </c>
      <c r="O1303">
        <f t="shared" si="185"/>
        <v>2749.7008000000001</v>
      </c>
      <c r="P1303">
        <f t="shared" si="186"/>
        <v>687.42520000000002</v>
      </c>
      <c r="Q1303">
        <f t="shared" si="187"/>
        <v>701.44867408000005</v>
      </c>
      <c r="R1303">
        <f t="shared" si="188"/>
        <v>395.07159999999999</v>
      </c>
      <c r="S1303">
        <f t="shared" si="182"/>
        <v>4560.2699999999995</v>
      </c>
    </row>
    <row r="1304" spans="1:19" x14ac:dyDescent="0.25">
      <c r="A1304">
        <v>1434</v>
      </c>
      <c r="B1304">
        <v>1358</v>
      </c>
      <c r="C1304" t="s">
        <v>33</v>
      </c>
      <c r="D1304" t="s">
        <v>172</v>
      </c>
      <c r="E1304">
        <v>10</v>
      </c>
      <c r="F1304">
        <v>19.73</v>
      </c>
      <c r="G1304">
        <v>10.55</v>
      </c>
      <c r="H1304">
        <v>30.99</v>
      </c>
      <c r="I1304">
        <v>1</v>
      </c>
      <c r="J1304">
        <v>346.5</v>
      </c>
      <c r="K1304">
        <f t="shared" si="183"/>
        <v>3465</v>
      </c>
      <c r="L1304">
        <f t="shared" si="189"/>
        <v>0</v>
      </c>
      <c r="M1304">
        <f t="shared" si="181"/>
        <v>0</v>
      </c>
      <c r="N1304">
        <f t="shared" si="184"/>
        <v>0</v>
      </c>
      <c r="O1304">
        <f t="shared" si="185"/>
        <v>2081.5149999999999</v>
      </c>
      <c r="P1304">
        <f t="shared" si="186"/>
        <v>520.37874999999997</v>
      </c>
      <c r="Q1304">
        <f t="shared" si="187"/>
        <v>530.99447649999991</v>
      </c>
      <c r="R1304">
        <f t="shared" si="188"/>
        <v>309.89999999999998</v>
      </c>
      <c r="S1304">
        <f t="shared" si="182"/>
        <v>3465</v>
      </c>
    </row>
    <row r="1305" spans="1:19" x14ac:dyDescent="0.25">
      <c r="A1305">
        <v>1435</v>
      </c>
      <c r="B1305">
        <v>1358</v>
      </c>
      <c r="C1305" t="s">
        <v>33</v>
      </c>
      <c r="D1305" t="s">
        <v>172</v>
      </c>
      <c r="E1305">
        <v>15</v>
      </c>
      <c r="F1305">
        <v>18.73</v>
      </c>
      <c r="G1305">
        <v>10.91</v>
      </c>
      <c r="H1305">
        <v>35.67</v>
      </c>
      <c r="I1305">
        <v>1.08</v>
      </c>
      <c r="J1305">
        <v>349.8</v>
      </c>
      <c r="K1305">
        <f t="shared" si="183"/>
        <v>5247</v>
      </c>
      <c r="L1305">
        <f t="shared" si="189"/>
        <v>0</v>
      </c>
      <c r="M1305">
        <f t="shared" si="181"/>
        <v>0</v>
      </c>
      <c r="N1305">
        <f t="shared" si="184"/>
        <v>0</v>
      </c>
      <c r="O1305">
        <f t="shared" si="185"/>
        <v>3065.1645000000003</v>
      </c>
      <c r="P1305">
        <f t="shared" si="186"/>
        <v>766.29112500000008</v>
      </c>
      <c r="Q1305">
        <f t="shared" si="187"/>
        <v>781.92346395000004</v>
      </c>
      <c r="R1305">
        <f t="shared" si="188"/>
        <v>577.85400000000016</v>
      </c>
      <c r="S1305">
        <f t="shared" si="182"/>
        <v>5247</v>
      </c>
    </row>
    <row r="1306" spans="1:19" x14ac:dyDescent="0.25">
      <c r="A1306">
        <v>1436</v>
      </c>
      <c r="B1306">
        <v>1358</v>
      </c>
      <c r="C1306" t="s">
        <v>33</v>
      </c>
      <c r="D1306" t="s">
        <v>173</v>
      </c>
      <c r="E1306">
        <v>16</v>
      </c>
      <c r="F1306">
        <v>16.309999999999999</v>
      </c>
      <c r="G1306">
        <v>3.04</v>
      </c>
      <c r="H1306">
        <v>24.46</v>
      </c>
      <c r="I1306">
        <v>0.79</v>
      </c>
      <c r="J1306">
        <v>89.43</v>
      </c>
      <c r="K1306">
        <f t="shared" si="183"/>
        <v>1430.88</v>
      </c>
      <c r="L1306">
        <f t="shared" si="189"/>
        <v>1430.88</v>
      </c>
      <c r="M1306">
        <f t="shared" si="181"/>
        <v>793.3184</v>
      </c>
      <c r="N1306">
        <f t="shared" si="184"/>
        <v>198.3296</v>
      </c>
      <c r="O1306">
        <f t="shared" si="185"/>
        <v>793.3184</v>
      </c>
      <c r="P1306">
        <f t="shared" si="186"/>
        <v>198.3296</v>
      </c>
      <c r="Q1306">
        <f t="shared" si="187"/>
        <v>202.37552384</v>
      </c>
      <c r="R1306">
        <f t="shared" si="188"/>
        <v>309.17440000000005</v>
      </c>
      <c r="S1306">
        <f t="shared" si="182"/>
        <v>1430.88</v>
      </c>
    </row>
    <row r="1307" spans="1:19" x14ac:dyDescent="0.25">
      <c r="A1307">
        <v>1437</v>
      </c>
      <c r="B1307">
        <v>1358</v>
      </c>
      <c r="C1307" t="s">
        <v>33</v>
      </c>
      <c r="D1307" t="s">
        <v>172</v>
      </c>
      <c r="E1307">
        <v>13</v>
      </c>
      <c r="F1307">
        <v>21.89</v>
      </c>
      <c r="G1307">
        <v>11.15</v>
      </c>
      <c r="H1307">
        <v>29.81</v>
      </c>
      <c r="I1307">
        <v>1.1100000000000001</v>
      </c>
      <c r="J1307">
        <v>402.44</v>
      </c>
      <c r="K1307">
        <f t="shared" si="183"/>
        <v>5231.72</v>
      </c>
      <c r="L1307">
        <f t="shared" si="189"/>
        <v>0</v>
      </c>
      <c r="M1307">
        <f t="shared" si="181"/>
        <v>0</v>
      </c>
      <c r="N1307">
        <f t="shared" si="184"/>
        <v>0</v>
      </c>
      <c r="O1307">
        <f t="shared" si="185"/>
        <v>3172.9555000000005</v>
      </c>
      <c r="P1307">
        <f t="shared" si="186"/>
        <v>793.23887500000012</v>
      </c>
      <c r="Q1307">
        <f t="shared" si="187"/>
        <v>809.42094805000011</v>
      </c>
      <c r="R1307">
        <f t="shared" si="188"/>
        <v>430.15830000000005</v>
      </c>
      <c r="S1307">
        <f t="shared" si="182"/>
        <v>5231.72</v>
      </c>
    </row>
    <row r="1308" spans="1:19" x14ac:dyDescent="0.25">
      <c r="A1308">
        <v>1438</v>
      </c>
      <c r="B1308">
        <v>1358</v>
      </c>
      <c r="C1308" t="s">
        <v>33</v>
      </c>
      <c r="D1308" t="s">
        <v>173</v>
      </c>
      <c r="E1308">
        <v>15</v>
      </c>
      <c r="F1308">
        <v>14.16</v>
      </c>
      <c r="G1308">
        <v>2.83</v>
      </c>
      <c r="H1308">
        <v>33.93</v>
      </c>
      <c r="I1308">
        <v>0.81</v>
      </c>
      <c r="J1308">
        <v>76.8</v>
      </c>
      <c r="K1308">
        <f t="shared" si="183"/>
        <v>1152</v>
      </c>
      <c r="L1308">
        <f t="shared" si="189"/>
        <v>1152</v>
      </c>
      <c r="M1308">
        <f t="shared" si="181"/>
        <v>601.0920000000001</v>
      </c>
      <c r="N1308">
        <f t="shared" si="184"/>
        <v>150.27300000000002</v>
      </c>
      <c r="O1308">
        <f t="shared" si="185"/>
        <v>601.0920000000001</v>
      </c>
      <c r="P1308">
        <f t="shared" si="186"/>
        <v>150.27300000000002</v>
      </c>
      <c r="Q1308">
        <f t="shared" si="187"/>
        <v>153.33856920000002</v>
      </c>
      <c r="R1308">
        <f t="shared" si="188"/>
        <v>412.24950000000001</v>
      </c>
      <c r="S1308">
        <f t="shared" si="182"/>
        <v>1152</v>
      </c>
    </row>
    <row r="1309" spans="1:19" x14ac:dyDescent="0.25">
      <c r="A1309">
        <v>1439</v>
      </c>
      <c r="B1309">
        <v>1358</v>
      </c>
      <c r="C1309" t="s">
        <v>33</v>
      </c>
      <c r="D1309" t="s">
        <v>173</v>
      </c>
      <c r="E1309">
        <v>13</v>
      </c>
      <c r="F1309">
        <v>13.69</v>
      </c>
      <c r="G1309">
        <v>2.6</v>
      </c>
      <c r="H1309">
        <v>30.45</v>
      </c>
      <c r="I1309">
        <v>0.79</v>
      </c>
      <c r="J1309">
        <v>75.400000000000006</v>
      </c>
      <c r="K1309">
        <f t="shared" si="183"/>
        <v>980.2</v>
      </c>
      <c r="L1309">
        <f t="shared" si="189"/>
        <v>980.2</v>
      </c>
      <c r="M1309">
        <f t="shared" si="181"/>
        <v>462.72200000000004</v>
      </c>
      <c r="N1309">
        <f t="shared" si="184"/>
        <v>115.68050000000001</v>
      </c>
      <c r="O1309">
        <f t="shared" si="185"/>
        <v>462.72200000000004</v>
      </c>
      <c r="P1309">
        <f t="shared" si="186"/>
        <v>115.68050000000001</v>
      </c>
      <c r="Q1309">
        <f t="shared" si="187"/>
        <v>118.04038220000001</v>
      </c>
      <c r="R1309">
        <f t="shared" si="188"/>
        <v>312.72149999999999</v>
      </c>
      <c r="S1309">
        <f t="shared" si="182"/>
        <v>980.2</v>
      </c>
    </row>
    <row r="1310" spans="1:19" x14ac:dyDescent="0.25">
      <c r="A1310">
        <v>1440</v>
      </c>
      <c r="B1310">
        <v>1358</v>
      </c>
      <c r="C1310" t="s">
        <v>33</v>
      </c>
      <c r="D1310" t="s">
        <v>173</v>
      </c>
      <c r="E1310">
        <v>18</v>
      </c>
      <c r="F1310">
        <v>15.97</v>
      </c>
      <c r="G1310">
        <v>2.74</v>
      </c>
      <c r="H1310">
        <v>29.77</v>
      </c>
      <c r="I1310">
        <v>0.8</v>
      </c>
      <c r="J1310">
        <v>86.36</v>
      </c>
      <c r="K1310">
        <f t="shared" si="183"/>
        <v>1554.48</v>
      </c>
      <c r="L1310">
        <f t="shared" si="189"/>
        <v>1554.48</v>
      </c>
      <c r="M1310">
        <f t="shared" si="181"/>
        <v>787.64040000000011</v>
      </c>
      <c r="N1310">
        <f t="shared" si="184"/>
        <v>196.91010000000003</v>
      </c>
      <c r="O1310">
        <f t="shared" si="185"/>
        <v>787.64040000000011</v>
      </c>
      <c r="P1310">
        <f t="shared" si="186"/>
        <v>196.91010000000003</v>
      </c>
      <c r="Q1310">
        <f t="shared" si="187"/>
        <v>200.92706604000003</v>
      </c>
      <c r="R1310">
        <f t="shared" si="188"/>
        <v>428.68799999999999</v>
      </c>
      <c r="S1310">
        <f t="shared" si="182"/>
        <v>1554.48</v>
      </c>
    </row>
    <row r="1311" spans="1:19" x14ac:dyDescent="0.25">
      <c r="A1311">
        <v>1441</v>
      </c>
      <c r="B1311">
        <v>1358</v>
      </c>
      <c r="C1311" t="s">
        <v>33</v>
      </c>
      <c r="D1311" t="s">
        <v>173</v>
      </c>
      <c r="E1311">
        <v>14</v>
      </c>
      <c r="F1311">
        <v>15.4</v>
      </c>
      <c r="G1311">
        <v>2.89</v>
      </c>
      <c r="H1311">
        <v>32.18</v>
      </c>
      <c r="I1311">
        <v>0.8</v>
      </c>
      <c r="J1311">
        <v>89.51</v>
      </c>
      <c r="K1311">
        <f t="shared" si="183"/>
        <v>1253.1400000000001</v>
      </c>
      <c r="L1311">
        <f t="shared" si="189"/>
        <v>1253.1400000000001</v>
      </c>
      <c r="M1311">
        <f t="shared" si="181"/>
        <v>623.08400000000006</v>
      </c>
      <c r="N1311">
        <f t="shared" si="184"/>
        <v>155.77100000000002</v>
      </c>
      <c r="O1311">
        <f t="shared" si="185"/>
        <v>623.08400000000006</v>
      </c>
      <c r="P1311">
        <f t="shared" si="186"/>
        <v>155.77100000000002</v>
      </c>
      <c r="Q1311">
        <f t="shared" si="187"/>
        <v>158.94872840000002</v>
      </c>
      <c r="R1311">
        <f t="shared" si="188"/>
        <v>360.41600000000005</v>
      </c>
      <c r="S1311">
        <f t="shared" si="182"/>
        <v>1253.1400000000001</v>
      </c>
    </row>
    <row r="1312" spans="1:19" x14ac:dyDescent="0.25">
      <c r="A1312">
        <v>1442</v>
      </c>
      <c r="B1312">
        <v>1358</v>
      </c>
      <c r="C1312" t="s">
        <v>33</v>
      </c>
      <c r="D1312" t="s">
        <v>173</v>
      </c>
      <c r="E1312">
        <v>19</v>
      </c>
      <c r="F1312">
        <v>15.06</v>
      </c>
      <c r="G1312">
        <v>2.78</v>
      </c>
      <c r="H1312">
        <v>32.75</v>
      </c>
      <c r="I1312">
        <v>0.81</v>
      </c>
      <c r="J1312">
        <v>86.75</v>
      </c>
      <c r="K1312">
        <f t="shared" si="183"/>
        <v>1648.25</v>
      </c>
      <c r="L1312">
        <f t="shared" si="189"/>
        <v>1648.25</v>
      </c>
      <c r="M1312">
        <f t="shared" si="181"/>
        <v>795.46919999999989</v>
      </c>
      <c r="N1312">
        <f t="shared" si="184"/>
        <v>198.86729999999997</v>
      </c>
      <c r="O1312">
        <f t="shared" si="185"/>
        <v>795.46919999999989</v>
      </c>
      <c r="P1312">
        <f t="shared" si="186"/>
        <v>198.86729999999997</v>
      </c>
      <c r="Q1312">
        <f t="shared" si="187"/>
        <v>202.92419291999997</v>
      </c>
      <c r="R1312">
        <f t="shared" si="188"/>
        <v>504.02250000000004</v>
      </c>
      <c r="S1312">
        <f t="shared" si="182"/>
        <v>1648.25</v>
      </c>
    </row>
    <row r="1313" spans="1:19" x14ac:dyDescent="0.25">
      <c r="A1313">
        <v>1443</v>
      </c>
      <c r="B1313">
        <v>1358</v>
      </c>
      <c r="C1313" t="s">
        <v>33</v>
      </c>
      <c r="D1313" t="s">
        <v>173</v>
      </c>
      <c r="E1313">
        <v>17</v>
      </c>
      <c r="F1313">
        <v>14.14</v>
      </c>
      <c r="G1313">
        <v>3</v>
      </c>
      <c r="H1313">
        <v>27.82</v>
      </c>
      <c r="I1313">
        <v>0.76</v>
      </c>
      <c r="J1313">
        <v>81.58</v>
      </c>
      <c r="K1313">
        <f t="shared" si="183"/>
        <v>1386.86</v>
      </c>
      <c r="L1313">
        <f t="shared" si="189"/>
        <v>1386.86</v>
      </c>
      <c r="M1313">
        <f t="shared" si="181"/>
        <v>721.14</v>
      </c>
      <c r="N1313">
        <f t="shared" si="184"/>
        <v>180.285</v>
      </c>
      <c r="O1313">
        <f t="shared" si="185"/>
        <v>721.14</v>
      </c>
      <c r="P1313">
        <f t="shared" si="186"/>
        <v>180.285</v>
      </c>
      <c r="Q1313">
        <f t="shared" si="187"/>
        <v>183.96281399999998</v>
      </c>
      <c r="R1313">
        <f t="shared" si="188"/>
        <v>359.43439999999998</v>
      </c>
      <c r="S1313">
        <f t="shared" si="182"/>
        <v>1386.86</v>
      </c>
    </row>
    <row r="1314" spans="1:19" x14ac:dyDescent="0.25">
      <c r="A1314">
        <v>1444</v>
      </c>
      <c r="B1314">
        <v>1358</v>
      </c>
      <c r="C1314" t="s">
        <v>33</v>
      </c>
      <c r="D1314" t="s">
        <v>173</v>
      </c>
      <c r="E1314">
        <v>13</v>
      </c>
      <c r="F1314">
        <v>14.02</v>
      </c>
      <c r="G1314">
        <v>3.1</v>
      </c>
      <c r="H1314">
        <v>31.59</v>
      </c>
      <c r="I1314">
        <v>0.79</v>
      </c>
      <c r="J1314">
        <v>87.21</v>
      </c>
      <c r="K1314">
        <f t="shared" si="183"/>
        <v>1133.73</v>
      </c>
      <c r="L1314">
        <f t="shared" si="189"/>
        <v>1133.73</v>
      </c>
      <c r="M1314">
        <f t="shared" si="181"/>
        <v>565.00600000000009</v>
      </c>
      <c r="N1314">
        <f t="shared" si="184"/>
        <v>141.25150000000002</v>
      </c>
      <c r="O1314">
        <f t="shared" si="185"/>
        <v>565.00600000000009</v>
      </c>
      <c r="P1314">
        <f t="shared" si="186"/>
        <v>141.25150000000002</v>
      </c>
      <c r="Q1314">
        <f t="shared" si="187"/>
        <v>144.13303060000001</v>
      </c>
      <c r="R1314">
        <f t="shared" si="188"/>
        <v>324.42930000000001</v>
      </c>
      <c r="S1314">
        <f t="shared" si="182"/>
        <v>1133.73</v>
      </c>
    </row>
    <row r="1315" spans="1:19" x14ac:dyDescent="0.25">
      <c r="A1315">
        <v>1445</v>
      </c>
      <c r="B1315">
        <v>1358</v>
      </c>
      <c r="C1315" t="s">
        <v>33</v>
      </c>
      <c r="D1315" t="s">
        <v>173</v>
      </c>
      <c r="E1315">
        <v>10</v>
      </c>
      <c r="F1315">
        <v>14.82</v>
      </c>
      <c r="G1315">
        <v>2.86</v>
      </c>
      <c r="H1315">
        <v>34.799999999999997</v>
      </c>
      <c r="I1315">
        <v>0.84</v>
      </c>
      <c r="J1315">
        <v>80.569999999999993</v>
      </c>
      <c r="K1315">
        <f t="shared" si="183"/>
        <v>805.69999999999993</v>
      </c>
      <c r="L1315">
        <f t="shared" si="189"/>
        <v>805.69999999999993</v>
      </c>
      <c r="M1315">
        <f t="shared" si="181"/>
        <v>423.85199999999998</v>
      </c>
      <c r="N1315">
        <f t="shared" si="184"/>
        <v>105.96299999999999</v>
      </c>
      <c r="O1315">
        <f t="shared" si="185"/>
        <v>423.85199999999998</v>
      </c>
      <c r="P1315">
        <f t="shared" si="186"/>
        <v>105.96299999999999</v>
      </c>
      <c r="Q1315">
        <f t="shared" si="187"/>
        <v>108.12464519999999</v>
      </c>
      <c r="R1315">
        <f t="shared" si="188"/>
        <v>292.32</v>
      </c>
      <c r="S1315">
        <f t="shared" si="182"/>
        <v>805.69999999999993</v>
      </c>
    </row>
    <row r="1316" spans="1:19" x14ac:dyDescent="0.25">
      <c r="A1316">
        <v>1446</v>
      </c>
      <c r="B1316">
        <v>1358</v>
      </c>
      <c r="C1316" t="s">
        <v>33</v>
      </c>
      <c r="D1316" t="s">
        <v>173</v>
      </c>
      <c r="E1316">
        <v>18</v>
      </c>
      <c r="F1316">
        <v>15.04</v>
      </c>
      <c r="G1316">
        <v>2.84</v>
      </c>
      <c r="H1316">
        <v>27.3</v>
      </c>
      <c r="I1316">
        <v>0.82</v>
      </c>
      <c r="J1316">
        <v>74.260000000000005</v>
      </c>
      <c r="K1316">
        <f t="shared" si="183"/>
        <v>1336.68</v>
      </c>
      <c r="L1316">
        <f t="shared" si="189"/>
        <v>1336.68</v>
      </c>
      <c r="M1316">
        <f t="shared" si="181"/>
        <v>768.84479999999996</v>
      </c>
      <c r="N1316">
        <f t="shared" si="184"/>
        <v>192.21119999999999</v>
      </c>
      <c r="O1316">
        <f t="shared" si="185"/>
        <v>768.84479999999996</v>
      </c>
      <c r="P1316">
        <f t="shared" si="186"/>
        <v>192.21119999999999</v>
      </c>
      <c r="Q1316">
        <f t="shared" si="187"/>
        <v>196.13230847999998</v>
      </c>
      <c r="R1316">
        <f t="shared" si="188"/>
        <v>402.94799999999998</v>
      </c>
      <c r="S1316">
        <f t="shared" si="182"/>
        <v>1336.68</v>
      </c>
    </row>
    <row r="1317" spans="1:19" x14ac:dyDescent="0.25">
      <c r="A1317">
        <v>1447</v>
      </c>
      <c r="B1317">
        <v>1359</v>
      </c>
      <c r="C1317" t="s">
        <v>32</v>
      </c>
      <c r="D1317" t="s">
        <v>173</v>
      </c>
      <c r="E1317">
        <v>23</v>
      </c>
      <c r="F1317">
        <v>17.2</v>
      </c>
      <c r="G1317">
        <v>2.91</v>
      </c>
      <c r="H1317">
        <v>33.25</v>
      </c>
      <c r="I1317">
        <v>0.81</v>
      </c>
      <c r="J1317">
        <v>98.45</v>
      </c>
      <c r="K1317">
        <f t="shared" si="183"/>
        <v>2264.35</v>
      </c>
      <c r="L1317">
        <f t="shared" si="189"/>
        <v>2264.35</v>
      </c>
      <c r="M1317">
        <f t="shared" si="181"/>
        <v>1151.1960000000001</v>
      </c>
      <c r="N1317">
        <f t="shared" si="184"/>
        <v>287.79900000000004</v>
      </c>
      <c r="O1317">
        <f t="shared" si="185"/>
        <v>1151.1960000000001</v>
      </c>
      <c r="P1317">
        <f t="shared" si="186"/>
        <v>287.79900000000004</v>
      </c>
      <c r="Q1317">
        <f t="shared" si="187"/>
        <v>293.67009960000001</v>
      </c>
      <c r="R1317">
        <f t="shared" si="188"/>
        <v>619.4475000000001</v>
      </c>
      <c r="S1317">
        <f t="shared" si="182"/>
        <v>2264.35</v>
      </c>
    </row>
    <row r="1318" spans="1:19" x14ac:dyDescent="0.25">
      <c r="A1318">
        <v>1448</v>
      </c>
      <c r="B1318">
        <v>1359</v>
      </c>
      <c r="C1318" t="s">
        <v>32</v>
      </c>
      <c r="D1318" t="s">
        <v>172</v>
      </c>
      <c r="E1318">
        <v>21</v>
      </c>
      <c r="F1318">
        <v>19.059999999999999</v>
      </c>
      <c r="G1318">
        <v>11.41</v>
      </c>
      <c r="H1318">
        <v>28.15</v>
      </c>
      <c r="I1318">
        <v>1.01</v>
      </c>
      <c r="J1318">
        <v>357.33</v>
      </c>
      <c r="K1318">
        <f t="shared" si="183"/>
        <v>7503.9299999999994</v>
      </c>
      <c r="L1318">
        <f t="shared" si="189"/>
        <v>0</v>
      </c>
      <c r="M1318">
        <f t="shared" si="181"/>
        <v>0</v>
      </c>
      <c r="N1318">
        <f t="shared" si="184"/>
        <v>0</v>
      </c>
      <c r="O1318">
        <f t="shared" si="185"/>
        <v>4566.9665999999997</v>
      </c>
      <c r="P1318">
        <f t="shared" si="186"/>
        <v>1141.7416499999999</v>
      </c>
      <c r="Q1318">
        <f t="shared" si="187"/>
        <v>1165.0331796599999</v>
      </c>
      <c r="R1318">
        <f t="shared" si="188"/>
        <v>597.06150000000002</v>
      </c>
      <c r="S1318">
        <f t="shared" si="182"/>
        <v>7503.9299999999994</v>
      </c>
    </row>
    <row r="1319" spans="1:19" x14ac:dyDescent="0.25">
      <c r="A1319">
        <v>1449</v>
      </c>
      <c r="B1319">
        <v>1359</v>
      </c>
      <c r="C1319" t="s">
        <v>32</v>
      </c>
      <c r="D1319" t="s">
        <v>172</v>
      </c>
      <c r="E1319">
        <v>16</v>
      </c>
      <c r="F1319">
        <v>18.71</v>
      </c>
      <c r="G1319">
        <v>10.25</v>
      </c>
      <c r="H1319">
        <v>31.53</v>
      </c>
      <c r="I1319">
        <v>1.01</v>
      </c>
      <c r="J1319">
        <v>323.16000000000003</v>
      </c>
      <c r="K1319">
        <f t="shared" si="183"/>
        <v>5170.5600000000004</v>
      </c>
      <c r="L1319">
        <f t="shared" si="189"/>
        <v>0</v>
      </c>
      <c r="M1319">
        <f t="shared" si="181"/>
        <v>0</v>
      </c>
      <c r="N1319">
        <f t="shared" si="184"/>
        <v>0</v>
      </c>
      <c r="O1319">
        <f t="shared" si="185"/>
        <v>3068.44</v>
      </c>
      <c r="P1319">
        <f t="shared" si="186"/>
        <v>767.11</v>
      </c>
      <c r="Q1319">
        <f t="shared" si="187"/>
        <v>782.75904400000002</v>
      </c>
      <c r="R1319">
        <f t="shared" si="188"/>
        <v>509.52480000000003</v>
      </c>
      <c r="S1319">
        <f t="shared" si="182"/>
        <v>5170.5600000000004</v>
      </c>
    </row>
    <row r="1320" spans="1:19" x14ac:dyDescent="0.25">
      <c r="A1320">
        <v>1450</v>
      </c>
      <c r="B1320">
        <v>1359</v>
      </c>
      <c r="C1320" t="s">
        <v>32</v>
      </c>
      <c r="D1320" t="s">
        <v>172</v>
      </c>
      <c r="E1320">
        <v>22</v>
      </c>
      <c r="F1320">
        <v>19.61</v>
      </c>
      <c r="G1320">
        <v>11.12</v>
      </c>
      <c r="H1320">
        <v>30.1</v>
      </c>
      <c r="I1320">
        <v>0.91</v>
      </c>
      <c r="J1320">
        <v>356.96</v>
      </c>
      <c r="K1320">
        <f t="shared" si="183"/>
        <v>7853.12</v>
      </c>
      <c r="L1320">
        <f t="shared" si="189"/>
        <v>0</v>
      </c>
      <c r="M1320">
        <f t="shared" si="181"/>
        <v>0</v>
      </c>
      <c r="N1320">
        <f t="shared" si="184"/>
        <v>0</v>
      </c>
      <c r="O1320">
        <f t="shared" si="185"/>
        <v>4797.3903999999993</v>
      </c>
      <c r="P1320">
        <f t="shared" si="186"/>
        <v>1199.3475999999998</v>
      </c>
      <c r="Q1320">
        <f t="shared" si="187"/>
        <v>1223.8142910399997</v>
      </c>
      <c r="R1320">
        <f t="shared" si="188"/>
        <v>602.60199999999998</v>
      </c>
      <c r="S1320">
        <f t="shared" si="182"/>
        <v>7853.12</v>
      </c>
    </row>
    <row r="1321" spans="1:19" x14ac:dyDescent="0.25">
      <c r="A1321">
        <v>1451</v>
      </c>
      <c r="B1321">
        <v>1359</v>
      </c>
      <c r="C1321" t="s">
        <v>32</v>
      </c>
      <c r="D1321" t="s">
        <v>173</v>
      </c>
      <c r="E1321">
        <v>16</v>
      </c>
      <c r="F1321">
        <v>14.11</v>
      </c>
      <c r="G1321">
        <v>3.05</v>
      </c>
      <c r="H1321">
        <v>30.12</v>
      </c>
      <c r="I1321">
        <v>0.83</v>
      </c>
      <c r="J1321">
        <v>86.67</v>
      </c>
      <c r="K1321">
        <f t="shared" si="183"/>
        <v>1386.72</v>
      </c>
      <c r="L1321">
        <f t="shared" si="189"/>
        <v>1386.72</v>
      </c>
      <c r="M1321">
        <f t="shared" si="181"/>
        <v>688.56799999999998</v>
      </c>
      <c r="N1321">
        <f t="shared" si="184"/>
        <v>172.142</v>
      </c>
      <c r="O1321">
        <f t="shared" si="185"/>
        <v>688.56799999999998</v>
      </c>
      <c r="P1321">
        <f t="shared" si="186"/>
        <v>172.142</v>
      </c>
      <c r="Q1321">
        <f t="shared" si="187"/>
        <v>175.65369679999998</v>
      </c>
      <c r="R1321">
        <f t="shared" si="188"/>
        <v>399.99360000000001</v>
      </c>
      <c r="S1321">
        <f t="shared" si="182"/>
        <v>1386.72</v>
      </c>
    </row>
    <row r="1322" spans="1:19" x14ac:dyDescent="0.25">
      <c r="A1322">
        <v>1452</v>
      </c>
      <c r="B1322">
        <v>1359</v>
      </c>
      <c r="C1322" t="s">
        <v>32</v>
      </c>
      <c r="D1322" t="s">
        <v>172</v>
      </c>
      <c r="E1322">
        <v>14</v>
      </c>
      <c r="F1322">
        <v>18.940000000000001</v>
      </c>
      <c r="G1322">
        <v>12.64</v>
      </c>
      <c r="H1322">
        <v>28.63</v>
      </c>
      <c r="I1322">
        <v>1.02</v>
      </c>
      <c r="J1322">
        <v>322.20999999999998</v>
      </c>
      <c r="K1322">
        <f t="shared" si="183"/>
        <v>4510.9399999999996</v>
      </c>
      <c r="L1322">
        <f t="shared" si="189"/>
        <v>0</v>
      </c>
      <c r="M1322">
        <f t="shared" si="181"/>
        <v>0</v>
      </c>
      <c r="N1322">
        <f t="shared" si="184"/>
        <v>0</v>
      </c>
      <c r="O1322">
        <f t="shared" si="185"/>
        <v>3351.6224000000002</v>
      </c>
      <c r="P1322">
        <f t="shared" si="186"/>
        <v>837.90560000000005</v>
      </c>
      <c r="Q1322">
        <f t="shared" si="187"/>
        <v>854.99887424000008</v>
      </c>
      <c r="R1322">
        <f t="shared" si="188"/>
        <v>408.83640000000003</v>
      </c>
      <c r="S1322">
        <f t="shared" si="182"/>
        <v>4510.9399999999996</v>
      </c>
    </row>
    <row r="1323" spans="1:19" x14ac:dyDescent="0.25">
      <c r="A1323">
        <v>1453</v>
      </c>
      <c r="B1323">
        <v>1359</v>
      </c>
      <c r="C1323" t="s">
        <v>32</v>
      </c>
      <c r="D1323" t="s">
        <v>173</v>
      </c>
      <c r="E1323">
        <v>18</v>
      </c>
      <c r="F1323">
        <v>13.71</v>
      </c>
      <c r="G1323">
        <v>2.89</v>
      </c>
      <c r="H1323">
        <v>31.65</v>
      </c>
      <c r="I1323">
        <v>0.79</v>
      </c>
      <c r="J1323">
        <v>81.98</v>
      </c>
      <c r="K1323">
        <f t="shared" si="183"/>
        <v>1475.64</v>
      </c>
      <c r="L1323">
        <f t="shared" si="189"/>
        <v>1475.64</v>
      </c>
      <c r="M1323">
        <f t="shared" si="181"/>
        <v>713.19420000000014</v>
      </c>
      <c r="N1323">
        <f t="shared" si="184"/>
        <v>178.29855000000003</v>
      </c>
      <c r="O1323">
        <f t="shared" si="185"/>
        <v>713.19420000000014</v>
      </c>
      <c r="P1323">
        <f t="shared" si="186"/>
        <v>178.29855000000003</v>
      </c>
      <c r="Q1323">
        <f t="shared" si="187"/>
        <v>181.93584042000003</v>
      </c>
      <c r="R1323">
        <f t="shared" si="188"/>
        <v>450.06299999999999</v>
      </c>
      <c r="S1323">
        <f t="shared" si="182"/>
        <v>1475.64</v>
      </c>
    </row>
    <row r="1324" spans="1:19" x14ac:dyDescent="0.25">
      <c r="A1324">
        <v>1454</v>
      </c>
      <c r="B1324">
        <v>1359</v>
      </c>
      <c r="C1324" t="s">
        <v>32</v>
      </c>
      <c r="D1324" t="s">
        <v>173</v>
      </c>
      <c r="E1324">
        <v>12</v>
      </c>
      <c r="F1324">
        <v>14.79</v>
      </c>
      <c r="G1324">
        <v>2.54</v>
      </c>
      <c r="H1324">
        <v>29.23</v>
      </c>
      <c r="I1324">
        <v>0.78</v>
      </c>
      <c r="J1324">
        <v>76.73</v>
      </c>
      <c r="K1324">
        <f t="shared" si="183"/>
        <v>920.76</v>
      </c>
      <c r="L1324">
        <f t="shared" si="189"/>
        <v>920.76</v>
      </c>
      <c r="M1324">
        <f t="shared" si="181"/>
        <v>450.79919999999998</v>
      </c>
      <c r="N1324">
        <f t="shared" si="184"/>
        <v>112.6998</v>
      </c>
      <c r="O1324">
        <f t="shared" si="185"/>
        <v>450.79919999999998</v>
      </c>
      <c r="P1324">
        <f t="shared" si="186"/>
        <v>112.6998</v>
      </c>
      <c r="Q1324">
        <f t="shared" si="187"/>
        <v>114.99887591999999</v>
      </c>
      <c r="R1324">
        <f t="shared" si="188"/>
        <v>273.59280000000001</v>
      </c>
      <c r="S1324">
        <f t="shared" si="182"/>
        <v>920.76</v>
      </c>
    </row>
    <row r="1325" spans="1:19" x14ac:dyDescent="0.25">
      <c r="A1325">
        <v>1455</v>
      </c>
      <c r="B1325">
        <v>1359</v>
      </c>
      <c r="C1325" t="s">
        <v>32</v>
      </c>
      <c r="D1325" t="s">
        <v>172</v>
      </c>
      <c r="E1325">
        <v>11</v>
      </c>
      <c r="F1325">
        <v>20.28</v>
      </c>
      <c r="G1325">
        <v>12.38</v>
      </c>
      <c r="H1325">
        <v>28.59</v>
      </c>
      <c r="I1325">
        <v>1.07</v>
      </c>
      <c r="J1325">
        <v>409.86</v>
      </c>
      <c r="K1325">
        <f t="shared" si="183"/>
        <v>4508.46</v>
      </c>
      <c r="L1325">
        <f t="shared" si="189"/>
        <v>0</v>
      </c>
      <c r="M1325">
        <f t="shared" si="181"/>
        <v>0</v>
      </c>
      <c r="N1325">
        <f t="shared" si="184"/>
        <v>0</v>
      </c>
      <c r="O1325">
        <f t="shared" si="185"/>
        <v>2761.7304000000004</v>
      </c>
      <c r="P1325">
        <f t="shared" si="186"/>
        <v>690.43260000000009</v>
      </c>
      <c r="Q1325">
        <f t="shared" si="187"/>
        <v>704.51742504000003</v>
      </c>
      <c r="R1325">
        <f t="shared" si="188"/>
        <v>336.50430000000006</v>
      </c>
      <c r="S1325">
        <f t="shared" si="182"/>
        <v>4508.46</v>
      </c>
    </row>
    <row r="1326" spans="1:19" x14ac:dyDescent="0.25">
      <c r="A1326">
        <v>1456</v>
      </c>
      <c r="B1326">
        <v>1359</v>
      </c>
      <c r="C1326" t="s">
        <v>32</v>
      </c>
      <c r="D1326" t="s">
        <v>172</v>
      </c>
      <c r="E1326">
        <v>9</v>
      </c>
      <c r="F1326">
        <v>20.14</v>
      </c>
      <c r="G1326">
        <v>11.78</v>
      </c>
      <c r="H1326">
        <v>35.74</v>
      </c>
      <c r="I1326">
        <v>0.94</v>
      </c>
      <c r="J1326">
        <v>392.89</v>
      </c>
      <c r="K1326">
        <f t="shared" si="183"/>
        <v>3536.0099999999998</v>
      </c>
      <c r="L1326">
        <f t="shared" si="189"/>
        <v>0</v>
      </c>
      <c r="M1326">
        <f t="shared" si="181"/>
        <v>0</v>
      </c>
      <c r="N1326">
        <f t="shared" si="184"/>
        <v>0</v>
      </c>
      <c r="O1326">
        <f t="shared" si="185"/>
        <v>2135.2428</v>
      </c>
      <c r="P1326">
        <f t="shared" si="186"/>
        <v>533.8107</v>
      </c>
      <c r="Q1326">
        <f t="shared" si="187"/>
        <v>544.70043827999996</v>
      </c>
      <c r="R1326">
        <f t="shared" si="188"/>
        <v>302.36039999999997</v>
      </c>
      <c r="S1326">
        <f t="shared" si="182"/>
        <v>3536.0099999999998</v>
      </c>
    </row>
    <row r="1327" spans="1:19" x14ac:dyDescent="0.25">
      <c r="A1327">
        <v>1457</v>
      </c>
      <c r="B1327">
        <v>1359</v>
      </c>
      <c r="C1327" t="s">
        <v>32</v>
      </c>
      <c r="D1327" t="s">
        <v>172</v>
      </c>
      <c r="E1327">
        <v>43</v>
      </c>
      <c r="F1327">
        <v>19.53</v>
      </c>
      <c r="G1327">
        <v>11.48</v>
      </c>
      <c r="H1327">
        <v>35.229999999999997</v>
      </c>
      <c r="I1327">
        <v>0.99</v>
      </c>
      <c r="J1327">
        <v>309.14999999999998</v>
      </c>
      <c r="K1327">
        <f t="shared" si="183"/>
        <v>13293.449999999999</v>
      </c>
      <c r="L1327">
        <f t="shared" si="189"/>
        <v>0</v>
      </c>
      <c r="M1327">
        <f t="shared" si="181"/>
        <v>0</v>
      </c>
      <c r="N1327">
        <f t="shared" si="184"/>
        <v>0</v>
      </c>
      <c r="O1327">
        <f t="shared" si="185"/>
        <v>9640.7892000000011</v>
      </c>
      <c r="P1327">
        <f t="shared" si="186"/>
        <v>2410.1973000000003</v>
      </c>
      <c r="Q1327">
        <f t="shared" si="187"/>
        <v>2459.3653249200001</v>
      </c>
      <c r="R1327">
        <f t="shared" si="188"/>
        <v>1499.7411</v>
      </c>
      <c r="S1327">
        <f t="shared" si="182"/>
        <v>13293.449999999999</v>
      </c>
    </row>
    <row r="1328" spans="1:19" x14ac:dyDescent="0.25">
      <c r="A1328">
        <v>1458</v>
      </c>
      <c r="B1328">
        <v>1360</v>
      </c>
      <c r="C1328" t="s">
        <v>34</v>
      </c>
      <c r="D1328" t="s">
        <v>172</v>
      </c>
      <c r="E1328">
        <v>37</v>
      </c>
      <c r="F1328">
        <v>19.350000000000001</v>
      </c>
      <c r="G1328">
        <v>10.32</v>
      </c>
      <c r="H1328">
        <v>37.74</v>
      </c>
      <c r="I1328">
        <v>0.93</v>
      </c>
      <c r="J1328">
        <v>279.3</v>
      </c>
      <c r="K1328">
        <f t="shared" si="183"/>
        <v>10334.1</v>
      </c>
      <c r="L1328">
        <f t="shared" si="189"/>
        <v>0</v>
      </c>
      <c r="M1328">
        <f t="shared" si="181"/>
        <v>0</v>
      </c>
      <c r="N1328">
        <f t="shared" si="184"/>
        <v>0</v>
      </c>
      <c r="O1328">
        <f t="shared" si="185"/>
        <v>7388.6040000000012</v>
      </c>
      <c r="P1328">
        <f t="shared" si="186"/>
        <v>1847.1510000000003</v>
      </c>
      <c r="Q1328">
        <f t="shared" si="187"/>
        <v>1884.8328804000002</v>
      </c>
      <c r="R1328">
        <f t="shared" si="188"/>
        <v>1298.6334000000002</v>
      </c>
      <c r="S1328">
        <f t="shared" si="182"/>
        <v>10334.1</v>
      </c>
    </row>
    <row r="1329" spans="1:19" x14ac:dyDescent="0.25">
      <c r="A1329">
        <v>1459</v>
      </c>
      <c r="B1329">
        <v>1360</v>
      </c>
      <c r="C1329" t="s">
        <v>34</v>
      </c>
      <c r="D1329" t="s">
        <v>173</v>
      </c>
      <c r="E1329">
        <v>12</v>
      </c>
      <c r="F1329">
        <v>14.53</v>
      </c>
      <c r="G1329">
        <v>2.8</v>
      </c>
      <c r="H1329">
        <v>33.47</v>
      </c>
      <c r="I1329">
        <v>0.82</v>
      </c>
      <c r="J1329">
        <v>86.13</v>
      </c>
      <c r="K1329">
        <f t="shared" si="183"/>
        <v>1033.56</v>
      </c>
      <c r="L1329">
        <f t="shared" si="189"/>
        <v>1033.56</v>
      </c>
      <c r="M1329">
        <f t="shared" si="181"/>
        <v>488.20799999999991</v>
      </c>
      <c r="N1329">
        <f t="shared" si="184"/>
        <v>122.05199999999998</v>
      </c>
      <c r="O1329">
        <f t="shared" si="185"/>
        <v>488.20799999999991</v>
      </c>
      <c r="P1329">
        <f t="shared" si="186"/>
        <v>122.05199999999998</v>
      </c>
      <c r="Q1329">
        <f t="shared" si="187"/>
        <v>124.54186079999998</v>
      </c>
      <c r="R1329">
        <f t="shared" si="188"/>
        <v>329.34479999999996</v>
      </c>
      <c r="S1329">
        <f t="shared" si="182"/>
        <v>1033.56</v>
      </c>
    </row>
    <row r="1330" spans="1:19" x14ac:dyDescent="0.25">
      <c r="A1330">
        <v>1460</v>
      </c>
      <c r="B1330">
        <v>1360</v>
      </c>
      <c r="C1330" t="s">
        <v>34</v>
      </c>
      <c r="D1330" t="s">
        <v>173</v>
      </c>
      <c r="E1330">
        <v>15</v>
      </c>
      <c r="F1330">
        <v>15.28</v>
      </c>
      <c r="G1330">
        <v>2.38</v>
      </c>
      <c r="H1330">
        <v>28.67</v>
      </c>
      <c r="I1330">
        <v>0.85</v>
      </c>
      <c r="J1330">
        <v>76.81</v>
      </c>
      <c r="K1330">
        <f t="shared" si="183"/>
        <v>1152.1500000000001</v>
      </c>
      <c r="L1330">
        <f t="shared" si="189"/>
        <v>1152.1500000000001</v>
      </c>
      <c r="M1330">
        <f t="shared" si="181"/>
        <v>545.49599999999987</v>
      </c>
      <c r="N1330">
        <f t="shared" si="184"/>
        <v>136.37399999999997</v>
      </c>
      <c r="O1330">
        <f t="shared" si="185"/>
        <v>545.49599999999987</v>
      </c>
      <c r="P1330">
        <f t="shared" si="186"/>
        <v>136.37399999999997</v>
      </c>
      <c r="Q1330">
        <f t="shared" si="187"/>
        <v>139.15602959999995</v>
      </c>
      <c r="R1330">
        <f t="shared" si="188"/>
        <v>365.54250000000002</v>
      </c>
      <c r="S1330">
        <f t="shared" si="182"/>
        <v>1152.1500000000001</v>
      </c>
    </row>
    <row r="1331" spans="1:19" x14ac:dyDescent="0.25">
      <c r="A1331">
        <v>1461</v>
      </c>
      <c r="B1331">
        <v>1360</v>
      </c>
      <c r="C1331" t="s">
        <v>34</v>
      </c>
      <c r="D1331" t="s">
        <v>172</v>
      </c>
      <c r="E1331">
        <v>12</v>
      </c>
      <c r="F1331">
        <v>21.46</v>
      </c>
      <c r="G1331">
        <v>10.17</v>
      </c>
      <c r="H1331">
        <v>32.79</v>
      </c>
      <c r="I1331">
        <v>0.95</v>
      </c>
      <c r="J1331">
        <v>361.71</v>
      </c>
      <c r="K1331">
        <f t="shared" si="183"/>
        <v>4340.5199999999995</v>
      </c>
      <c r="L1331">
        <f t="shared" si="189"/>
        <v>0</v>
      </c>
      <c r="M1331">
        <f t="shared" si="181"/>
        <v>0</v>
      </c>
      <c r="N1331">
        <f t="shared" si="184"/>
        <v>0</v>
      </c>
      <c r="O1331">
        <f t="shared" si="185"/>
        <v>2618.9784</v>
      </c>
      <c r="P1331">
        <f t="shared" si="186"/>
        <v>654.74459999999999</v>
      </c>
      <c r="Q1331">
        <f t="shared" si="187"/>
        <v>668.10138984000002</v>
      </c>
      <c r="R1331">
        <f t="shared" si="188"/>
        <v>373.80599999999993</v>
      </c>
      <c r="S1331">
        <f t="shared" si="182"/>
        <v>4340.5199999999995</v>
      </c>
    </row>
    <row r="1332" spans="1:19" x14ac:dyDescent="0.25">
      <c r="A1332">
        <v>1462</v>
      </c>
      <c r="B1332">
        <v>1360</v>
      </c>
      <c r="C1332" t="s">
        <v>34</v>
      </c>
      <c r="D1332" t="s">
        <v>172</v>
      </c>
      <c r="E1332">
        <v>10</v>
      </c>
      <c r="F1332">
        <v>19.829999999999998</v>
      </c>
      <c r="G1332">
        <v>10.51</v>
      </c>
      <c r="H1332">
        <v>31.28</v>
      </c>
      <c r="I1332">
        <v>0.97</v>
      </c>
      <c r="J1332">
        <v>346.12</v>
      </c>
      <c r="K1332">
        <f t="shared" si="183"/>
        <v>3461.2</v>
      </c>
      <c r="L1332">
        <f t="shared" si="189"/>
        <v>0</v>
      </c>
      <c r="M1332">
        <f t="shared" si="181"/>
        <v>0</v>
      </c>
      <c r="N1332">
        <f t="shared" si="184"/>
        <v>0</v>
      </c>
      <c r="O1332">
        <f t="shared" si="185"/>
        <v>2084.1329999999998</v>
      </c>
      <c r="P1332">
        <f t="shared" si="186"/>
        <v>521.03324999999995</v>
      </c>
      <c r="Q1332">
        <f t="shared" si="187"/>
        <v>531.6623282999999</v>
      </c>
      <c r="R1332">
        <f t="shared" si="188"/>
        <v>303.416</v>
      </c>
      <c r="S1332">
        <f t="shared" si="182"/>
        <v>3461.2</v>
      </c>
    </row>
    <row r="1333" spans="1:19" x14ac:dyDescent="0.25">
      <c r="A1333">
        <v>1463</v>
      </c>
      <c r="B1333">
        <v>1360</v>
      </c>
      <c r="C1333" t="s">
        <v>34</v>
      </c>
      <c r="D1333" t="s">
        <v>172</v>
      </c>
      <c r="E1333">
        <v>11</v>
      </c>
      <c r="F1333">
        <v>19</v>
      </c>
      <c r="G1333">
        <v>10.46</v>
      </c>
      <c r="H1333">
        <v>26.39</v>
      </c>
      <c r="I1333">
        <v>1.07</v>
      </c>
      <c r="J1333">
        <v>329.23</v>
      </c>
      <c r="K1333">
        <f t="shared" si="183"/>
        <v>3621.53</v>
      </c>
      <c r="L1333">
        <f t="shared" si="189"/>
        <v>0</v>
      </c>
      <c r="M1333">
        <f t="shared" si="181"/>
        <v>0</v>
      </c>
      <c r="N1333">
        <f t="shared" si="184"/>
        <v>0</v>
      </c>
      <c r="O1333">
        <f t="shared" si="185"/>
        <v>2186.14</v>
      </c>
      <c r="P1333">
        <f t="shared" si="186"/>
        <v>546.53499999999997</v>
      </c>
      <c r="Q1333">
        <f t="shared" si="187"/>
        <v>557.68431399999997</v>
      </c>
      <c r="R1333">
        <f t="shared" si="188"/>
        <v>310.61030000000005</v>
      </c>
      <c r="S1333">
        <f t="shared" si="182"/>
        <v>3621.53</v>
      </c>
    </row>
    <row r="1334" spans="1:19" x14ac:dyDescent="0.25">
      <c r="A1334">
        <v>1464</v>
      </c>
      <c r="B1334">
        <v>1360</v>
      </c>
      <c r="C1334" t="s">
        <v>34</v>
      </c>
      <c r="D1334" t="s">
        <v>172</v>
      </c>
      <c r="E1334">
        <v>11</v>
      </c>
      <c r="F1334">
        <v>20.49</v>
      </c>
      <c r="G1334">
        <v>11.68</v>
      </c>
      <c r="H1334">
        <v>31.98</v>
      </c>
      <c r="I1334">
        <v>0.98</v>
      </c>
      <c r="J1334">
        <v>393.29</v>
      </c>
      <c r="K1334">
        <f t="shared" si="183"/>
        <v>4326.1900000000005</v>
      </c>
      <c r="L1334">
        <f t="shared" si="189"/>
        <v>0</v>
      </c>
      <c r="M1334">
        <f t="shared" si="181"/>
        <v>0</v>
      </c>
      <c r="N1334">
        <f t="shared" si="184"/>
        <v>0</v>
      </c>
      <c r="O1334">
        <f t="shared" si="185"/>
        <v>2632.5551999999998</v>
      </c>
      <c r="P1334">
        <f t="shared" si="186"/>
        <v>658.13879999999995</v>
      </c>
      <c r="Q1334">
        <f t="shared" si="187"/>
        <v>671.56483151999998</v>
      </c>
      <c r="R1334">
        <f t="shared" si="188"/>
        <v>344.74439999999998</v>
      </c>
      <c r="S1334">
        <f t="shared" si="182"/>
        <v>4326.1900000000005</v>
      </c>
    </row>
    <row r="1335" spans="1:19" x14ac:dyDescent="0.25">
      <c r="A1335">
        <v>1465</v>
      </c>
      <c r="B1335">
        <v>1360</v>
      </c>
      <c r="C1335" t="s">
        <v>34</v>
      </c>
      <c r="D1335" t="s">
        <v>173</v>
      </c>
      <c r="E1335">
        <v>13</v>
      </c>
      <c r="F1335">
        <v>13.13</v>
      </c>
      <c r="G1335">
        <v>2.76</v>
      </c>
      <c r="H1335">
        <v>30.81</v>
      </c>
      <c r="I1335">
        <v>0.78</v>
      </c>
      <c r="J1335">
        <v>76.260000000000005</v>
      </c>
      <c r="K1335">
        <f t="shared" si="183"/>
        <v>991.38000000000011</v>
      </c>
      <c r="L1335">
        <f t="shared" si="189"/>
        <v>991.38000000000011</v>
      </c>
      <c r="M1335">
        <f t="shared" si="181"/>
        <v>471.10439999999994</v>
      </c>
      <c r="N1335">
        <f t="shared" si="184"/>
        <v>117.77609999999999</v>
      </c>
      <c r="O1335">
        <f t="shared" si="185"/>
        <v>471.10439999999994</v>
      </c>
      <c r="P1335">
        <f t="shared" si="186"/>
        <v>117.77609999999999</v>
      </c>
      <c r="Q1335">
        <f t="shared" si="187"/>
        <v>120.17873243999998</v>
      </c>
      <c r="R1335">
        <f t="shared" si="188"/>
        <v>312.41340000000002</v>
      </c>
      <c r="S1335">
        <f t="shared" si="182"/>
        <v>991.38000000000011</v>
      </c>
    </row>
    <row r="1336" spans="1:19" x14ac:dyDescent="0.25">
      <c r="A1336">
        <v>1466</v>
      </c>
      <c r="B1336">
        <v>1361</v>
      </c>
      <c r="C1336" t="s">
        <v>32</v>
      </c>
      <c r="D1336" t="s">
        <v>172</v>
      </c>
      <c r="E1336">
        <v>14</v>
      </c>
      <c r="F1336">
        <v>18.45</v>
      </c>
      <c r="G1336">
        <v>11.84</v>
      </c>
      <c r="H1336">
        <v>31.23</v>
      </c>
      <c r="I1336">
        <v>0.98</v>
      </c>
      <c r="J1336">
        <v>361.36</v>
      </c>
      <c r="K1336">
        <f t="shared" si="183"/>
        <v>5059.04</v>
      </c>
      <c r="L1336">
        <f t="shared" si="189"/>
        <v>0</v>
      </c>
      <c r="M1336">
        <f t="shared" si="181"/>
        <v>0</v>
      </c>
      <c r="N1336">
        <f t="shared" si="184"/>
        <v>0</v>
      </c>
      <c r="O1336">
        <f t="shared" si="185"/>
        <v>3058.2719999999999</v>
      </c>
      <c r="P1336">
        <f t="shared" si="186"/>
        <v>764.56799999999998</v>
      </c>
      <c r="Q1336">
        <f t="shared" si="187"/>
        <v>780.16518719999999</v>
      </c>
      <c r="R1336">
        <f t="shared" si="188"/>
        <v>428.47559999999999</v>
      </c>
      <c r="S1336">
        <f t="shared" si="182"/>
        <v>5059.04</v>
      </c>
    </row>
    <row r="1337" spans="1:19" x14ac:dyDescent="0.25">
      <c r="A1337">
        <v>1467</v>
      </c>
      <c r="B1337">
        <v>1361</v>
      </c>
      <c r="C1337" t="s">
        <v>32</v>
      </c>
      <c r="D1337" t="s">
        <v>173</v>
      </c>
      <c r="E1337">
        <v>13</v>
      </c>
      <c r="F1337">
        <v>13.35</v>
      </c>
      <c r="G1337">
        <v>2.65</v>
      </c>
      <c r="H1337">
        <v>32.380000000000003</v>
      </c>
      <c r="I1337">
        <v>0.79</v>
      </c>
      <c r="J1337">
        <v>76.78</v>
      </c>
      <c r="K1337">
        <f t="shared" si="183"/>
        <v>998.14</v>
      </c>
      <c r="L1337">
        <f t="shared" si="189"/>
        <v>998.14</v>
      </c>
      <c r="M1337">
        <f t="shared" si="181"/>
        <v>459.90749999999991</v>
      </c>
      <c r="N1337">
        <f t="shared" si="184"/>
        <v>114.97687499999998</v>
      </c>
      <c r="O1337">
        <f t="shared" si="185"/>
        <v>459.90749999999991</v>
      </c>
      <c r="P1337">
        <f t="shared" si="186"/>
        <v>114.97687499999998</v>
      </c>
      <c r="Q1337">
        <f t="shared" si="187"/>
        <v>117.32240324999998</v>
      </c>
      <c r="R1337">
        <f t="shared" si="188"/>
        <v>332.54259999999999</v>
      </c>
      <c r="S1337">
        <f t="shared" si="182"/>
        <v>998.14</v>
      </c>
    </row>
    <row r="1338" spans="1:19" x14ac:dyDescent="0.25">
      <c r="A1338">
        <v>1468</v>
      </c>
      <c r="B1338">
        <v>1361</v>
      </c>
      <c r="C1338" t="s">
        <v>32</v>
      </c>
      <c r="D1338" t="s">
        <v>172</v>
      </c>
      <c r="E1338">
        <v>13</v>
      </c>
      <c r="F1338">
        <v>19.73</v>
      </c>
      <c r="G1338">
        <v>11.45</v>
      </c>
      <c r="H1338">
        <v>28.75</v>
      </c>
      <c r="I1338">
        <v>1.08</v>
      </c>
      <c r="J1338">
        <v>372.99</v>
      </c>
      <c r="K1338">
        <f t="shared" si="183"/>
        <v>4848.87</v>
      </c>
      <c r="L1338">
        <f t="shared" si="189"/>
        <v>0</v>
      </c>
      <c r="M1338">
        <f t="shared" si="181"/>
        <v>0</v>
      </c>
      <c r="N1338">
        <f t="shared" si="184"/>
        <v>0</v>
      </c>
      <c r="O1338">
        <f t="shared" si="185"/>
        <v>2936.8105</v>
      </c>
      <c r="P1338">
        <f t="shared" si="186"/>
        <v>734.20262500000001</v>
      </c>
      <c r="Q1338">
        <f t="shared" si="187"/>
        <v>749.18035854999994</v>
      </c>
      <c r="R1338">
        <f t="shared" si="188"/>
        <v>403.65000000000003</v>
      </c>
      <c r="S1338">
        <f t="shared" si="182"/>
        <v>4848.87</v>
      </c>
    </row>
    <row r="1339" spans="1:19" x14ac:dyDescent="0.25">
      <c r="A1339">
        <v>1469</v>
      </c>
      <c r="B1339">
        <v>1361</v>
      </c>
      <c r="C1339" t="s">
        <v>32</v>
      </c>
      <c r="D1339" t="s">
        <v>172</v>
      </c>
      <c r="E1339">
        <v>16</v>
      </c>
      <c r="F1339">
        <v>20.25</v>
      </c>
      <c r="G1339">
        <v>10.92</v>
      </c>
      <c r="H1339">
        <v>32.840000000000003</v>
      </c>
      <c r="I1339">
        <v>1.07</v>
      </c>
      <c r="J1339">
        <v>370.75</v>
      </c>
      <c r="K1339">
        <f t="shared" si="183"/>
        <v>5932</v>
      </c>
      <c r="L1339">
        <f t="shared" si="189"/>
        <v>0</v>
      </c>
      <c r="M1339">
        <f t="shared" si="181"/>
        <v>0</v>
      </c>
      <c r="N1339">
        <f t="shared" si="184"/>
        <v>0</v>
      </c>
      <c r="O1339">
        <f t="shared" si="185"/>
        <v>3538.08</v>
      </c>
      <c r="P1339">
        <f t="shared" si="186"/>
        <v>884.52</v>
      </c>
      <c r="Q1339">
        <f t="shared" si="187"/>
        <v>902.56420800000001</v>
      </c>
      <c r="R1339">
        <f t="shared" si="188"/>
        <v>562.22080000000005</v>
      </c>
      <c r="S1339">
        <f t="shared" si="182"/>
        <v>5932</v>
      </c>
    </row>
    <row r="1340" spans="1:19" x14ac:dyDescent="0.25">
      <c r="A1340">
        <v>1470</v>
      </c>
      <c r="B1340">
        <v>1361</v>
      </c>
      <c r="C1340" t="s">
        <v>32</v>
      </c>
      <c r="D1340" t="s">
        <v>173</v>
      </c>
      <c r="E1340">
        <v>13</v>
      </c>
      <c r="F1340">
        <v>13.42</v>
      </c>
      <c r="G1340">
        <v>2.96</v>
      </c>
      <c r="H1340">
        <v>29.29</v>
      </c>
      <c r="I1340">
        <v>0.81</v>
      </c>
      <c r="J1340">
        <v>80.72</v>
      </c>
      <c r="K1340">
        <f t="shared" si="183"/>
        <v>1049.3599999999999</v>
      </c>
      <c r="L1340">
        <f t="shared" si="189"/>
        <v>1049.3599999999999</v>
      </c>
      <c r="M1340">
        <f t="shared" si="181"/>
        <v>516.40159999999992</v>
      </c>
      <c r="N1340">
        <f t="shared" si="184"/>
        <v>129.10039999999998</v>
      </c>
      <c r="O1340">
        <f t="shared" si="185"/>
        <v>516.40159999999992</v>
      </c>
      <c r="P1340">
        <f t="shared" si="186"/>
        <v>129.10039999999998</v>
      </c>
      <c r="Q1340">
        <f t="shared" si="187"/>
        <v>131.73404815999999</v>
      </c>
      <c r="R1340">
        <f t="shared" si="188"/>
        <v>308.4237</v>
      </c>
      <c r="S1340">
        <f t="shared" si="182"/>
        <v>1049.3599999999999</v>
      </c>
    </row>
    <row r="1341" spans="1:19" x14ac:dyDescent="0.25">
      <c r="A1341">
        <v>1471</v>
      </c>
      <c r="B1341">
        <v>1361</v>
      </c>
      <c r="C1341" t="s">
        <v>32</v>
      </c>
      <c r="D1341" t="s">
        <v>173</v>
      </c>
      <c r="E1341">
        <v>22</v>
      </c>
      <c r="F1341">
        <v>13.89</v>
      </c>
      <c r="G1341">
        <v>2.56</v>
      </c>
      <c r="H1341">
        <v>29.79</v>
      </c>
      <c r="I1341">
        <v>0.78</v>
      </c>
      <c r="J1341">
        <v>74.45</v>
      </c>
      <c r="K1341">
        <f t="shared" si="183"/>
        <v>1637.9</v>
      </c>
      <c r="L1341">
        <f t="shared" si="189"/>
        <v>1637.9</v>
      </c>
      <c r="M1341">
        <f t="shared" si="181"/>
        <v>782.28480000000002</v>
      </c>
      <c r="N1341">
        <f t="shared" si="184"/>
        <v>195.5712</v>
      </c>
      <c r="O1341">
        <f t="shared" si="185"/>
        <v>782.28480000000002</v>
      </c>
      <c r="P1341">
        <f t="shared" si="186"/>
        <v>195.5712</v>
      </c>
      <c r="Q1341">
        <f t="shared" si="187"/>
        <v>199.56085247999999</v>
      </c>
      <c r="R1341">
        <f t="shared" si="188"/>
        <v>511.19639999999998</v>
      </c>
      <c r="S1341">
        <f t="shared" si="182"/>
        <v>1637.9</v>
      </c>
    </row>
    <row r="1342" spans="1:19" x14ac:dyDescent="0.25">
      <c r="A1342">
        <v>1472</v>
      </c>
      <c r="B1342">
        <v>1361</v>
      </c>
      <c r="C1342" t="s">
        <v>32</v>
      </c>
      <c r="D1342" t="s">
        <v>172</v>
      </c>
      <c r="E1342">
        <v>16</v>
      </c>
      <c r="F1342">
        <v>19.600000000000001</v>
      </c>
      <c r="G1342">
        <v>11.76</v>
      </c>
      <c r="H1342">
        <v>30.08</v>
      </c>
      <c r="I1342">
        <v>1</v>
      </c>
      <c r="J1342">
        <v>378.66</v>
      </c>
      <c r="K1342">
        <f t="shared" si="183"/>
        <v>6058.56</v>
      </c>
      <c r="L1342">
        <f t="shared" si="189"/>
        <v>0</v>
      </c>
      <c r="M1342">
        <f t="shared" si="181"/>
        <v>0</v>
      </c>
      <c r="N1342">
        <f t="shared" si="184"/>
        <v>0</v>
      </c>
      <c r="O1342">
        <f t="shared" si="185"/>
        <v>3687.9360000000001</v>
      </c>
      <c r="P1342">
        <f t="shared" si="186"/>
        <v>921.98400000000004</v>
      </c>
      <c r="Q1342">
        <f t="shared" si="187"/>
        <v>940.79247359999999</v>
      </c>
      <c r="R1342">
        <f t="shared" si="188"/>
        <v>481.28</v>
      </c>
      <c r="S1342">
        <f t="shared" si="182"/>
        <v>6058.56</v>
      </c>
    </row>
    <row r="1343" spans="1:19" x14ac:dyDescent="0.25">
      <c r="A1343">
        <v>1473</v>
      </c>
      <c r="B1343">
        <v>1362</v>
      </c>
      <c r="C1343" t="s">
        <v>34</v>
      </c>
      <c r="D1343" t="s">
        <v>172</v>
      </c>
      <c r="E1343">
        <v>15</v>
      </c>
      <c r="F1343">
        <v>19.71</v>
      </c>
      <c r="G1343">
        <v>11.42</v>
      </c>
      <c r="H1343">
        <v>35.26</v>
      </c>
      <c r="I1343">
        <v>1.06</v>
      </c>
      <c r="J1343">
        <v>379.3</v>
      </c>
      <c r="K1343">
        <f t="shared" si="183"/>
        <v>5689.5</v>
      </c>
      <c r="L1343">
        <f t="shared" si="189"/>
        <v>0</v>
      </c>
      <c r="M1343">
        <f t="shared" si="181"/>
        <v>0</v>
      </c>
      <c r="N1343">
        <f t="shared" si="184"/>
        <v>0</v>
      </c>
      <c r="O1343">
        <f t="shared" si="185"/>
        <v>3376.3230000000003</v>
      </c>
      <c r="P1343">
        <f t="shared" si="186"/>
        <v>844.08075000000008</v>
      </c>
      <c r="Q1343">
        <f t="shared" si="187"/>
        <v>861.29999730000009</v>
      </c>
      <c r="R1343">
        <f t="shared" si="188"/>
        <v>560.63400000000001</v>
      </c>
      <c r="S1343">
        <f t="shared" si="182"/>
        <v>5689.5</v>
      </c>
    </row>
    <row r="1344" spans="1:19" x14ac:dyDescent="0.25">
      <c r="A1344">
        <v>1474</v>
      </c>
      <c r="B1344">
        <v>1362</v>
      </c>
      <c r="C1344" t="s">
        <v>34</v>
      </c>
      <c r="D1344" t="s">
        <v>173</v>
      </c>
      <c r="E1344">
        <v>15</v>
      </c>
      <c r="F1344">
        <v>14.86</v>
      </c>
      <c r="G1344">
        <v>3.24</v>
      </c>
      <c r="H1344">
        <v>28.98</v>
      </c>
      <c r="I1344">
        <v>0.83</v>
      </c>
      <c r="J1344">
        <v>92.66</v>
      </c>
      <c r="K1344">
        <f t="shared" si="183"/>
        <v>1389.8999999999999</v>
      </c>
      <c r="L1344">
        <f t="shared" si="189"/>
        <v>1389.8999999999999</v>
      </c>
      <c r="M1344">
        <f t="shared" si="181"/>
        <v>722.19600000000003</v>
      </c>
      <c r="N1344">
        <f t="shared" si="184"/>
        <v>180.54900000000001</v>
      </c>
      <c r="O1344">
        <f t="shared" si="185"/>
        <v>722.19600000000003</v>
      </c>
      <c r="P1344">
        <f t="shared" si="186"/>
        <v>180.54900000000001</v>
      </c>
      <c r="Q1344">
        <f t="shared" si="187"/>
        <v>184.2321996</v>
      </c>
      <c r="R1344">
        <f t="shared" si="188"/>
        <v>360.80099999999999</v>
      </c>
      <c r="S1344">
        <f t="shared" si="182"/>
        <v>1389.8999999999999</v>
      </c>
    </row>
    <row r="1345" spans="1:19" x14ac:dyDescent="0.25">
      <c r="A1345">
        <v>1475</v>
      </c>
      <c r="B1345">
        <v>1362</v>
      </c>
      <c r="C1345" t="s">
        <v>34</v>
      </c>
      <c r="D1345" t="s">
        <v>172</v>
      </c>
      <c r="E1345">
        <v>16</v>
      </c>
      <c r="F1345">
        <v>19.79</v>
      </c>
      <c r="G1345">
        <v>12.2</v>
      </c>
      <c r="H1345">
        <v>29.34</v>
      </c>
      <c r="I1345">
        <v>0.98</v>
      </c>
      <c r="J1345">
        <v>393.36</v>
      </c>
      <c r="K1345">
        <f t="shared" si="183"/>
        <v>6293.76</v>
      </c>
      <c r="L1345">
        <f t="shared" si="189"/>
        <v>0</v>
      </c>
      <c r="M1345">
        <f t="shared" si="181"/>
        <v>0</v>
      </c>
      <c r="N1345">
        <f t="shared" si="184"/>
        <v>0</v>
      </c>
      <c r="O1345">
        <f t="shared" si="185"/>
        <v>3863.0079999999998</v>
      </c>
      <c r="P1345">
        <f t="shared" si="186"/>
        <v>965.75199999999995</v>
      </c>
      <c r="Q1345">
        <f t="shared" si="187"/>
        <v>985.45334079999998</v>
      </c>
      <c r="R1345">
        <f t="shared" si="188"/>
        <v>460.05119999999999</v>
      </c>
      <c r="S1345">
        <f t="shared" si="182"/>
        <v>6293.76</v>
      </c>
    </row>
    <row r="1346" spans="1:19" x14ac:dyDescent="0.25">
      <c r="A1346">
        <v>1476</v>
      </c>
      <c r="B1346">
        <v>1362</v>
      </c>
      <c r="C1346" t="s">
        <v>34</v>
      </c>
      <c r="D1346" t="s">
        <v>172</v>
      </c>
      <c r="E1346">
        <v>12</v>
      </c>
      <c r="F1346">
        <v>19.989999999999998</v>
      </c>
      <c r="G1346">
        <v>11.47</v>
      </c>
      <c r="H1346">
        <v>36.43</v>
      </c>
      <c r="I1346">
        <v>0.96</v>
      </c>
      <c r="J1346">
        <v>382.68</v>
      </c>
      <c r="K1346">
        <f t="shared" si="183"/>
        <v>4592.16</v>
      </c>
      <c r="L1346">
        <f t="shared" si="189"/>
        <v>0</v>
      </c>
      <c r="M1346">
        <f t="shared" ref="M1346:M1409" si="190">IF(D1346="SHOES",O1346,0)</f>
        <v>0</v>
      </c>
      <c r="N1346">
        <f t="shared" si="184"/>
        <v>0</v>
      </c>
      <c r="O1346">
        <f t="shared" si="185"/>
        <v>2751.4236000000001</v>
      </c>
      <c r="P1346">
        <f t="shared" si="186"/>
        <v>687.85590000000002</v>
      </c>
      <c r="Q1346">
        <f t="shared" si="187"/>
        <v>701.88816036000003</v>
      </c>
      <c r="R1346">
        <f t="shared" si="188"/>
        <v>419.67359999999996</v>
      </c>
      <c r="S1346">
        <f t="shared" ref="S1346:S1409" si="191">PRODUCT(J1346,E1346)</f>
        <v>4592.16</v>
      </c>
    </row>
    <row r="1347" spans="1:19" x14ac:dyDescent="0.25">
      <c r="A1347">
        <v>1477</v>
      </c>
      <c r="B1347">
        <v>1362</v>
      </c>
      <c r="C1347" t="s">
        <v>34</v>
      </c>
      <c r="D1347" t="s">
        <v>172</v>
      </c>
      <c r="E1347">
        <v>13</v>
      </c>
      <c r="F1347">
        <v>19.43</v>
      </c>
      <c r="G1347">
        <v>11.05</v>
      </c>
      <c r="H1347">
        <v>32.18</v>
      </c>
      <c r="I1347">
        <v>1.03</v>
      </c>
      <c r="J1347">
        <v>358.81</v>
      </c>
      <c r="K1347">
        <f t="shared" ref="K1347:K1410" si="192">E1347*J1347</f>
        <v>4664.53</v>
      </c>
      <c r="L1347">
        <f t="shared" si="189"/>
        <v>0</v>
      </c>
      <c r="M1347">
        <f t="shared" si="190"/>
        <v>0</v>
      </c>
      <c r="N1347">
        <f t="shared" ref="N1347:N1410" si="193">IF(D1347="SHOES",P1347,0)</f>
        <v>0</v>
      </c>
      <c r="O1347">
        <f t="shared" ref="O1347:O1410" si="194">PRODUCT(E1347,G1347,F1347)</f>
        <v>2791.1195000000002</v>
      </c>
      <c r="P1347">
        <f t="shared" ref="P1347:P1410" si="195">PRODUCT(O1347,0.25)</f>
        <v>697.77987500000006</v>
      </c>
      <c r="Q1347">
        <f t="shared" ref="Q1347:Q1410" si="196">PRODUCT(O1347,0.2551)</f>
        <v>712.01458445000003</v>
      </c>
      <c r="R1347">
        <f t="shared" si="188"/>
        <v>430.89019999999999</v>
      </c>
      <c r="S1347">
        <f t="shared" si="191"/>
        <v>4664.53</v>
      </c>
    </row>
    <row r="1348" spans="1:19" x14ac:dyDescent="0.25">
      <c r="A1348">
        <v>1478</v>
      </c>
      <c r="B1348">
        <v>1362</v>
      </c>
      <c r="C1348" t="s">
        <v>34</v>
      </c>
      <c r="D1348" t="s">
        <v>173</v>
      </c>
      <c r="E1348">
        <v>9</v>
      </c>
      <c r="F1348">
        <v>14.38</v>
      </c>
      <c r="G1348">
        <v>2.81</v>
      </c>
      <c r="H1348">
        <v>32.32</v>
      </c>
      <c r="I1348">
        <v>0.8</v>
      </c>
      <c r="J1348">
        <v>84</v>
      </c>
      <c r="K1348">
        <f t="shared" si="192"/>
        <v>756</v>
      </c>
      <c r="L1348">
        <f t="shared" si="189"/>
        <v>756</v>
      </c>
      <c r="M1348">
        <f t="shared" si="190"/>
        <v>363.67020000000002</v>
      </c>
      <c r="N1348">
        <f t="shared" si="193"/>
        <v>90.917550000000006</v>
      </c>
      <c r="O1348">
        <f t="shared" si="194"/>
        <v>363.67020000000002</v>
      </c>
      <c r="P1348">
        <f t="shared" si="195"/>
        <v>90.917550000000006</v>
      </c>
      <c r="Q1348">
        <f t="shared" si="196"/>
        <v>92.772268019999999</v>
      </c>
      <c r="R1348">
        <f t="shared" ref="R1348:R1411" si="197">PRODUCT(E1348,I1348,H1348)</f>
        <v>232.70400000000001</v>
      </c>
      <c r="S1348">
        <f t="shared" si="191"/>
        <v>756</v>
      </c>
    </row>
    <row r="1349" spans="1:19" x14ac:dyDescent="0.25">
      <c r="A1349">
        <v>1479</v>
      </c>
      <c r="B1349">
        <v>1362</v>
      </c>
      <c r="C1349" t="s">
        <v>34</v>
      </c>
      <c r="D1349" t="s">
        <v>172</v>
      </c>
      <c r="E1349">
        <v>18</v>
      </c>
      <c r="F1349">
        <v>18.579999999999998</v>
      </c>
      <c r="G1349">
        <v>11.46</v>
      </c>
      <c r="H1349">
        <v>34.71</v>
      </c>
      <c r="I1349">
        <v>0.94</v>
      </c>
      <c r="J1349">
        <v>355.56</v>
      </c>
      <c r="K1349">
        <f t="shared" si="192"/>
        <v>6400.08</v>
      </c>
      <c r="L1349">
        <f t="shared" si="189"/>
        <v>0</v>
      </c>
      <c r="M1349">
        <f t="shared" si="190"/>
        <v>0</v>
      </c>
      <c r="N1349">
        <f t="shared" si="193"/>
        <v>0</v>
      </c>
      <c r="O1349">
        <f t="shared" si="194"/>
        <v>3832.6824000000001</v>
      </c>
      <c r="P1349">
        <f t="shared" si="195"/>
        <v>958.17060000000004</v>
      </c>
      <c r="Q1349">
        <f t="shared" si="196"/>
        <v>977.71728024000004</v>
      </c>
      <c r="R1349">
        <f t="shared" si="197"/>
        <v>587.29319999999996</v>
      </c>
      <c r="S1349">
        <f t="shared" si="191"/>
        <v>6400.08</v>
      </c>
    </row>
    <row r="1350" spans="1:19" x14ac:dyDescent="0.25">
      <c r="A1350">
        <v>1480</v>
      </c>
      <c r="B1350">
        <v>1362</v>
      </c>
      <c r="C1350" t="s">
        <v>34</v>
      </c>
      <c r="D1350" t="s">
        <v>172</v>
      </c>
      <c r="E1350">
        <v>15</v>
      </c>
      <c r="F1350">
        <v>19.43</v>
      </c>
      <c r="G1350">
        <v>11.06</v>
      </c>
      <c r="H1350">
        <v>31.39</v>
      </c>
      <c r="I1350">
        <v>1.01</v>
      </c>
      <c r="J1350">
        <v>357.39</v>
      </c>
      <c r="K1350">
        <f t="shared" si="192"/>
        <v>5360.8499999999995</v>
      </c>
      <c r="L1350">
        <f t="shared" si="189"/>
        <v>0</v>
      </c>
      <c r="M1350">
        <f t="shared" si="190"/>
        <v>0</v>
      </c>
      <c r="N1350">
        <f t="shared" si="193"/>
        <v>0</v>
      </c>
      <c r="O1350">
        <f t="shared" si="194"/>
        <v>3223.4369999999999</v>
      </c>
      <c r="P1350">
        <f t="shared" si="195"/>
        <v>805.85924999999997</v>
      </c>
      <c r="Q1350">
        <f t="shared" si="196"/>
        <v>822.29877869999996</v>
      </c>
      <c r="R1350">
        <f t="shared" si="197"/>
        <v>475.55850000000004</v>
      </c>
      <c r="S1350">
        <f t="shared" si="191"/>
        <v>5360.8499999999995</v>
      </c>
    </row>
    <row r="1351" spans="1:19" x14ac:dyDescent="0.25">
      <c r="A1351">
        <v>1481</v>
      </c>
      <c r="B1351">
        <v>1363</v>
      </c>
      <c r="C1351" t="s">
        <v>35</v>
      </c>
      <c r="D1351" t="s">
        <v>172</v>
      </c>
      <c r="E1351">
        <v>17</v>
      </c>
      <c r="F1351">
        <v>19.16</v>
      </c>
      <c r="G1351">
        <v>10.35</v>
      </c>
      <c r="H1351">
        <v>31.65</v>
      </c>
      <c r="I1351">
        <v>0.96</v>
      </c>
      <c r="J1351">
        <v>331.14</v>
      </c>
      <c r="K1351">
        <f t="shared" si="192"/>
        <v>5629.38</v>
      </c>
      <c r="L1351">
        <f t="shared" ref="L1351:L1414" si="198">IF(D1351="SHOES",E1351*J1351,0)</f>
        <v>0</v>
      </c>
      <c r="M1351">
        <f t="shared" si="190"/>
        <v>0</v>
      </c>
      <c r="N1351">
        <f t="shared" si="193"/>
        <v>0</v>
      </c>
      <c r="O1351">
        <f t="shared" si="194"/>
        <v>3371.2019999999998</v>
      </c>
      <c r="P1351">
        <f t="shared" si="195"/>
        <v>842.80049999999994</v>
      </c>
      <c r="Q1351">
        <f t="shared" si="196"/>
        <v>859.99363019999987</v>
      </c>
      <c r="R1351">
        <f t="shared" si="197"/>
        <v>516.52800000000002</v>
      </c>
      <c r="S1351">
        <f t="shared" si="191"/>
        <v>5629.38</v>
      </c>
    </row>
    <row r="1352" spans="1:19" x14ac:dyDescent="0.25">
      <c r="A1352">
        <v>1482</v>
      </c>
      <c r="B1352">
        <v>1363</v>
      </c>
      <c r="C1352" t="s">
        <v>35</v>
      </c>
      <c r="D1352" t="s">
        <v>172</v>
      </c>
      <c r="E1352">
        <v>10</v>
      </c>
      <c r="F1352">
        <v>18.84</v>
      </c>
      <c r="G1352">
        <v>11.26</v>
      </c>
      <c r="H1352">
        <v>33.96</v>
      </c>
      <c r="I1352">
        <v>0.97</v>
      </c>
      <c r="J1352">
        <v>354.76</v>
      </c>
      <c r="K1352">
        <f t="shared" si="192"/>
        <v>3547.6</v>
      </c>
      <c r="L1352">
        <f t="shared" si="198"/>
        <v>0</v>
      </c>
      <c r="M1352">
        <f t="shared" si="190"/>
        <v>0</v>
      </c>
      <c r="N1352">
        <f t="shared" si="193"/>
        <v>0</v>
      </c>
      <c r="O1352">
        <f t="shared" si="194"/>
        <v>2121.384</v>
      </c>
      <c r="P1352">
        <f t="shared" si="195"/>
        <v>530.346</v>
      </c>
      <c r="Q1352">
        <f t="shared" si="196"/>
        <v>541.16505840000002</v>
      </c>
      <c r="R1352">
        <f t="shared" si="197"/>
        <v>329.41199999999998</v>
      </c>
      <c r="S1352">
        <f t="shared" si="191"/>
        <v>3547.6</v>
      </c>
    </row>
    <row r="1353" spans="1:19" x14ac:dyDescent="0.25">
      <c r="A1353">
        <v>1483</v>
      </c>
      <c r="B1353">
        <v>1363</v>
      </c>
      <c r="C1353" t="s">
        <v>35</v>
      </c>
      <c r="D1353" t="s">
        <v>173</v>
      </c>
      <c r="E1353">
        <v>17</v>
      </c>
      <c r="F1353">
        <v>15</v>
      </c>
      <c r="G1353">
        <v>2.92</v>
      </c>
      <c r="H1353">
        <v>34.42</v>
      </c>
      <c r="I1353">
        <v>0.8</v>
      </c>
      <c r="J1353">
        <v>90.51</v>
      </c>
      <c r="K1353">
        <f t="shared" si="192"/>
        <v>1538.67</v>
      </c>
      <c r="L1353">
        <f t="shared" si="198"/>
        <v>1538.67</v>
      </c>
      <c r="M1353">
        <f t="shared" si="190"/>
        <v>744.6</v>
      </c>
      <c r="N1353">
        <f t="shared" si="193"/>
        <v>186.15</v>
      </c>
      <c r="O1353">
        <f t="shared" si="194"/>
        <v>744.6</v>
      </c>
      <c r="P1353">
        <f t="shared" si="195"/>
        <v>186.15</v>
      </c>
      <c r="Q1353">
        <f t="shared" si="196"/>
        <v>189.94746000000001</v>
      </c>
      <c r="R1353">
        <f t="shared" si="197"/>
        <v>468.11200000000008</v>
      </c>
      <c r="S1353">
        <f t="shared" si="191"/>
        <v>1538.67</v>
      </c>
    </row>
    <row r="1354" spans="1:19" x14ac:dyDescent="0.25">
      <c r="A1354">
        <v>1484</v>
      </c>
      <c r="B1354">
        <v>1363</v>
      </c>
      <c r="C1354" t="s">
        <v>35</v>
      </c>
      <c r="D1354" t="s">
        <v>172</v>
      </c>
      <c r="E1354">
        <v>8</v>
      </c>
      <c r="F1354">
        <v>20.09</v>
      </c>
      <c r="G1354">
        <v>10.6</v>
      </c>
      <c r="H1354">
        <v>35.15</v>
      </c>
      <c r="I1354">
        <v>1.04</v>
      </c>
      <c r="J1354">
        <v>360.27</v>
      </c>
      <c r="K1354">
        <f t="shared" si="192"/>
        <v>2882.16</v>
      </c>
      <c r="L1354">
        <f t="shared" si="198"/>
        <v>0</v>
      </c>
      <c r="M1354">
        <f t="shared" si="190"/>
        <v>0</v>
      </c>
      <c r="N1354">
        <f t="shared" si="193"/>
        <v>0</v>
      </c>
      <c r="O1354">
        <f t="shared" si="194"/>
        <v>1703.6319999999998</v>
      </c>
      <c r="P1354">
        <f t="shared" si="195"/>
        <v>425.90799999999996</v>
      </c>
      <c r="Q1354">
        <f t="shared" si="196"/>
        <v>434.59652319999992</v>
      </c>
      <c r="R1354">
        <f t="shared" si="197"/>
        <v>292.44799999999998</v>
      </c>
      <c r="S1354">
        <f t="shared" si="191"/>
        <v>2882.16</v>
      </c>
    </row>
    <row r="1355" spans="1:19" x14ac:dyDescent="0.25">
      <c r="A1355">
        <v>1485</v>
      </c>
      <c r="B1355">
        <v>1363</v>
      </c>
      <c r="C1355" t="s">
        <v>35</v>
      </c>
      <c r="D1355" t="s">
        <v>173</v>
      </c>
      <c r="E1355">
        <v>13</v>
      </c>
      <c r="F1355">
        <v>15.57</v>
      </c>
      <c r="G1355">
        <v>2.63</v>
      </c>
      <c r="H1355">
        <v>32.9</v>
      </c>
      <c r="I1355">
        <v>0.79</v>
      </c>
      <c r="J1355">
        <v>84.89</v>
      </c>
      <c r="K1355">
        <f t="shared" si="192"/>
        <v>1103.57</v>
      </c>
      <c r="L1355">
        <f t="shared" si="198"/>
        <v>1103.57</v>
      </c>
      <c r="M1355">
        <f t="shared" si="190"/>
        <v>532.3383</v>
      </c>
      <c r="N1355">
        <f t="shared" si="193"/>
        <v>133.084575</v>
      </c>
      <c r="O1355">
        <f t="shared" si="194"/>
        <v>532.3383</v>
      </c>
      <c r="P1355">
        <f t="shared" si="195"/>
        <v>133.084575</v>
      </c>
      <c r="Q1355">
        <f t="shared" si="196"/>
        <v>135.79950033</v>
      </c>
      <c r="R1355">
        <f t="shared" si="197"/>
        <v>337.88299999999998</v>
      </c>
      <c r="S1355">
        <f t="shared" si="191"/>
        <v>1103.57</v>
      </c>
    </row>
    <row r="1356" spans="1:19" x14ac:dyDescent="0.25">
      <c r="A1356">
        <v>1486</v>
      </c>
      <c r="B1356">
        <v>1363</v>
      </c>
      <c r="C1356" t="s">
        <v>35</v>
      </c>
      <c r="D1356" t="s">
        <v>172</v>
      </c>
      <c r="E1356">
        <v>14</v>
      </c>
      <c r="F1356">
        <v>21.16</v>
      </c>
      <c r="G1356">
        <v>11.89</v>
      </c>
      <c r="H1356">
        <v>33.19</v>
      </c>
      <c r="I1356">
        <v>0.97</v>
      </c>
      <c r="J1356">
        <v>412.55</v>
      </c>
      <c r="K1356">
        <f t="shared" si="192"/>
        <v>5775.7</v>
      </c>
      <c r="L1356">
        <f t="shared" si="198"/>
        <v>0</v>
      </c>
      <c r="M1356">
        <f t="shared" si="190"/>
        <v>0</v>
      </c>
      <c r="N1356">
        <f t="shared" si="193"/>
        <v>0</v>
      </c>
      <c r="O1356">
        <f t="shared" si="194"/>
        <v>3522.2936</v>
      </c>
      <c r="P1356">
        <f t="shared" si="195"/>
        <v>880.57339999999999</v>
      </c>
      <c r="Q1356">
        <f t="shared" si="196"/>
        <v>898.53709735999996</v>
      </c>
      <c r="R1356">
        <f t="shared" si="197"/>
        <v>450.72019999999998</v>
      </c>
      <c r="S1356">
        <f t="shared" si="191"/>
        <v>5775.7</v>
      </c>
    </row>
    <row r="1357" spans="1:19" x14ac:dyDescent="0.25">
      <c r="A1357">
        <v>1487</v>
      </c>
      <c r="B1357">
        <v>1363</v>
      </c>
      <c r="C1357" t="s">
        <v>35</v>
      </c>
      <c r="D1357" t="s">
        <v>173</v>
      </c>
      <c r="E1357">
        <v>12</v>
      </c>
      <c r="F1357">
        <v>14.29</v>
      </c>
      <c r="G1357">
        <v>2.83</v>
      </c>
      <c r="H1357">
        <v>30.16</v>
      </c>
      <c r="I1357">
        <v>0.8</v>
      </c>
      <c r="J1357">
        <v>82.15</v>
      </c>
      <c r="K1357">
        <f t="shared" si="192"/>
        <v>985.80000000000007</v>
      </c>
      <c r="L1357">
        <f t="shared" si="198"/>
        <v>985.80000000000007</v>
      </c>
      <c r="M1357">
        <f t="shared" si="190"/>
        <v>485.28839999999997</v>
      </c>
      <c r="N1357">
        <f t="shared" si="193"/>
        <v>121.32209999999999</v>
      </c>
      <c r="O1357">
        <f t="shared" si="194"/>
        <v>485.28839999999997</v>
      </c>
      <c r="P1357">
        <f t="shared" si="195"/>
        <v>121.32209999999999</v>
      </c>
      <c r="Q1357">
        <f t="shared" si="196"/>
        <v>123.79707083999999</v>
      </c>
      <c r="R1357">
        <f t="shared" si="197"/>
        <v>289.53600000000006</v>
      </c>
      <c r="S1357">
        <f t="shared" si="191"/>
        <v>985.80000000000007</v>
      </c>
    </row>
    <row r="1358" spans="1:19" x14ac:dyDescent="0.25">
      <c r="A1358">
        <v>1488</v>
      </c>
      <c r="B1358">
        <v>1363</v>
      </c>
      <c r="C1358" t="s">
        <v>35</v>
      </c>
      <c r="D1358" t="s">
        <v>173</v>
      </c>
      <c r="E1358">
        <v>10</v>
      </c>
      <c r="F1358">
        <v>15.35</v>
      </c>
      <c r="G1358">
        <v>3.05</v>
      </c>
      <c r="H1358">
        <v>29.13</v>
      </c>
      <c r="I1358">
        <v>0.78</v>
      </c>
      <c r="J1358">
        <v>80.430000000000007</v>
      </c>
      <c r="K1358">
        <f t="shared" si="192"/>
        <v>804.30000000000007</v>
      </c>
      <c r="L1358">
        <f t="shared" si="198"/>
        <v>804.30000000000007</v>
      </c>
      <c r="M1358">
        <f t="shared" si="190"/>
        <v>468.17500000000001</v>
      </c>
      <c r="N1358">
        <f t="shared" si="193"/>
        <v>117.04375</v>
      </c>
      <c r="O1358">
        <f t="shared" si="194"/>
        <v>468.17500000000001</v>
      </c>
      <c r="P1358">
        <f t="shared" si="195"/>
        <v>117.04375</v>
      </c>
      <c r="Q1358">
        <f t="shared" si="196"/>
        <v>119.4314425</v>
      </c>
      <c r="R1358">
        <f t="shared" si="197"/>
        <v>227.21400000000003</v>
      </c>
      <c r="S1358">
        <f t="shared" si="191"/>
        <v>804.30000000000007</v>
      </c>
    </row>
    <row r="1359" spans="1:19" x14ac:dyDescent="0.25">
      <c r="A1359">
        <v>1489</v>
      </c>
      <c r="B1359">
        <v>1363</v>
      </c>
      <c r="C1359" t="s">
        <v>35</v>
      </c>
      <c r="D1359" t="s">
        <v>173</v>
      </c>
      <c r="E1359">
        <v>11</v>
      </c>
      <c r="F1359">
        <v>15.57</v>
      </c>
      <c r="G1359">
        <v>2.42</v>
      </c>
      <c r="H1359">
        <v>34.29</v>
      </c>
      <c r="I1359">
        <v>0.74</v>
      </c>
      <c r="J1359">
        <v>79.72</v>
      </c>
      <c r="K1359">
        <f t="shared" si="192"/>
        <v>876.92</v>
      </c>
      <c r="L1359">
        <f t="shared" si="198"/>
        <v>876.92</v>
      </c>
      <c r="M1359">
        <f t="shared" si="190"/>
        <v>414.47339999999997</v>
      </c>
      <c r="N1359">
        <f t="shared" si="193"/>
        <v>103.61834999999999</v>
      </c>
      <c r="O1359">
        <f t="shared" si="194"/>
        <v>414.47339999999997</v>
      </c>
      <c r="P1359">
        <f t="shared" si="195"/>
        <v>103.61834999999999</v>
      </c>
      <c r="Q1359">
        <f t="shared" si="196"/>
        <v>105.73216433999998</v>
      </c>
      <c r="R1359">
        <f t="shared" si="197"/>
        <v>279.12060000000002</v>
      </c>
      <c r="S1359">
        <f t="shared" si="191"/>
        <v>876.92</v>
      </c>
    </row>
    <row r="1360" spans="1:19" x14ac:dyDescent="0.25">
      <c r="A1360">
        <v>1490</v>
      </c>
      <c r="B1360">
        <v>1363</v>
      </c>
      <c r="C1360" t="s">
        <v>35</v>
      </c>
      <c r="D1360" t="s">
        <v>173</v>
      </c>
      <c r="E1360">
        <v>18</v>
      </c>
      <c r="F1360">
        <v>14.96</v>
      </c>
      <c r="G1360">
        <v>2.94</v>
      </c>
      <c r="H1360">
        <v>25.09</v>
      </c>
      <c r="I1360">
        <v>0.83</v>
      </c>
      <c r="J1360">
        <v>83.38</v>
      </c>
      <c r="K1360">
        <f t="shared" si="192"/>
        <v>1500.84</v>
      </c>
      <c r="L1360">
        <f t="shared" si="198"/>
        <v>1500.84</v>
      </c>
      <c r="M1360">
        <f t="shared" si="190"/>
        <v>791.68320000000006</v>
      </c>
      <c r="N1360">
        <f t="shared" si="193"/>
        <v>197.92080000000001</v>
      </c>
      <c r="O1360">
        <f t="shared" si="194"/>
        <v>791.68320000000006</v>
      </c>
      <c r="P1360">
        <f t="shared" si="195"/>
        <v>197.92080000000001</v>
      </c>
      <c r="Q1360">
        <f t="shared" si="196"/>
        <v>201.95838432000002</v>
      </c>
      <c r="R1360">
        <f t="shared" si="197"/>
        <v>374.84459999999996</v>
      </c>
      <c r="S1360">
        <f t="shared" si="191"/>
        <v>1500.84</v>
      </c>
    </row>
    <row r="1361" spans="1:19" x14ac:dyDescent="0.25">
      <c r="A1361">
        <v>1491</v>
      </c>
      <c r="B1361">
        <v>1363</v>
      </c>
      <c r="C1361" t="s">
        <v>35</v>
      </c>
      <c r="D1361" t="s">
        <v>172</v>
      </c>
      <c r="E1361">
        <v>12</v>
      </c>
      <c r="F1361">
        <v>19.86</v>
      </c>
      <c r="G1361">
        <v>9.6</v>
      </c>
      <c r="H1361">
        <v>30.69</v>
      </c>
      <c r="I1361">
        <v>0.93</v>
      </c>
      <c r="J1361">
        <v>317.56</v>
      </c>
      <c r="K1361">
        <f t="shared" si="192"/>
        <v>3810.7200000000003</v>
      </c>
      <c r="L1361">
        <f t="shared" si="198"/>
        <v>0</v>
      </c>
      <c r="M1361">
        <f t="shared" si="190"/>
        <v>0</v>
      </c>
      <c r="N1361">
        <f t="shared" si="193"/>
        <v>0</v>
      </c>
      <c r="O1361">
        <f t="shared" si="194"/>
        <v>2287.8719999999998</v>
      </c>
      <c r="P1361">
        <f t="shared" si="195"/>
        <v>571.96799999999996</v>
      </c>
      <c r="Q1361">
        <f t="shared" si="196"/>
        <v>583.63614719999998</v>
      </c>
      <c r="R1361">
        <f t="shared" si="197"/>
        <v>342.50040000000001</v>
      </c>
      <c r="S1361">
        <f t="shared" si="191"/>
        <v>3810.7200000000003</v>
      </c>
    </row>
    <row r="1362" spans="1:19" x14ac:dyDescent="0.25">
      <c r="A1362">
        <v>1492</v>
      </c>
      <c r="B1362">
        <v>1363</v>
      </c>
      <c r="C1362" t="s">
        <v>35</v>
      </c>
      <c r="D1362" t="s">
        <v>172</v>
      </c>
      <c r="E1362">
        <v>21</v>
      </c>
      <c r="F1362">
        <v>20.99</v>
      </c>
      <c r="G1362">
        <v>11.33</v>
      </c>
      <c r="H1362">
        <v>31.59</v>
      </c>
      <c r="I1362">
        <v>0.88</v>
      </c>
      <c r="J1362">
        <v>386.83</v>
      </c>
      <c r="K1362">
        <f t="shared" si="192"/>
        <v>8123.4299999999994</v>
      </c>
      <c r="L1362">
        <f t="shared" si="198"/>
        <v>0</v>
      </c>
      <c r="M1362">
        <f t="shared" si="190"/>
        <v>0</v>
      </c>
      <c r="N1362">
        <f t="shared" si="193"/>
        <v>0</v>
      </c>
      <c r="O1362">
        <f t="shared" si="194"/>
        <v>4994.1507000000001</v>
      </c>
      <c r="P1362">
        <f t="shared" si="195"/>
        <v>1248.537675</v>
      </c>
      <c r="Q1362">
        <f t="shared" si="196"/>
        <v>1274.00784357</v>
      </c>
      <c r="R1362">
        <f t="shared" si="197"/>
        <v>583.78319999999997</v>
      </c>
      <c r="S1362">
        <f t="shared" si="191"/>
        <v>8123.4299999999994</v>
      </c>
    </row>
    <row r="1363" spans="1:19" x14ac:dyDescent="0.25">
      <c r="A1363">
        <v>1493</v>
      </c>
      <c r="B1363">
        <v>1363</v>
      </c>
      <c r="C1363" t="s">
        <v>35</v>
      </c>
      <c r="D1363" t="s">
        <v>173</v>
      </c>
      <c r="E1363">
        <v>7</v>
      </c>
      <c r="F1363">
        <v>15.43</v>
      </c>
      <c r="G1363">
        <v>3.04</v>
      </c>
      <c r="H1363">
        <v>31.44</v>
      </c>
      <c r="I1363">
        <v>0.79</v>
      </c>
      <c r="J1363">
        <v>91.82</v>
      </c>
      <c r="K1363">
        <f t="shared" si="192"/>
        <v>642.74</v>
      </c>
      <c r="L1363">
        <f t="shared" si="198"/>
        <v>642.74</v>
      </c>
      <c r="M1363">
        <f t="shared" si="190"/>
        <v>328.35040000000004</v>
      </c>
      <c r="N1363">
        <f t="shared" si="193"/>
        <v>82.087600000000009</v>
      </c>
      <c r="O1363">
        <f t="shared" si="194"/>
        <v>328.35040000000004</v>
      </c>
      <c r="P1363">
        <f t="shared" si="195"/>
        <v>82.087600000000009</v>
      </c>
      <c r="Q1363">
        <f t="shared" si="196"/>
        <v>83.762187040000001</v>
      </c>
      <c r="R1363">
        <f t="shared" si="197"/>
        <v>173.86320000000001</v>
      </c>
      <c r="S1363">
        <f t="shared" si="191"/>
        <v>642.74</v>
      </c>
    </row>
    <row r="1364" spans="1:19" x14ac:dyDescent="0.25">
      <c r="A1364">
        <v>1494</v>
      </c>
      <c r="B1364">
        <v>1363</v>
      </c>
      <c r="C1364" t="s">
        <v>35</v>
      </c>
      <c r="D1364" t="s">
        <v>173</v>
      </c>
      <c r="E1364">
        <v>19</v>
      </c>
      <c r="F1364">
        <v>14.12</v>
      </c>
      <c r="G1364">
        <v>2.86</v>
      </c>
      <c r="H1364">
        <v>33.07</v>
      </c>
      <c r="I1364">
        <v>0.79</v>
      </c>
      <c r="J1364">
        <v>84.26</v>
      </c>
      <c r="K1364">
        <f t="shared" si="192"/>
        <v>1600.94</v>
      </c>
      <c r="L1364">
        <f t="shared" si="198"/>
        <v>1600.94</v>
      </c>
      <c r="M1364">
        <f t="shared" si="190"/>
        <v>767.28079999999989</v>
      </c>
      <c r="N1364">
        <f t="shared" si="193"/>
        <v>191.82019999999997</v>
      </c>
      <c r="O1364">
        <f t="shared" si="194"/>
        <v>767.28079999999989</v>
      </c>
      <c r="P1364">
        <f t="shared" si="195"/>
        <v>191.82019999999997</v>
      </c>
      <c r="Q1364">
        <f t="shared" si="196"/>
        <v>195.73333207999997</v>
      </c>
      <c r="R1364">
        <f t="shared" si="197"/>
        <v>496.38070000000005</v>
      </c>
      <c r="S1364">
        <f t="shared" si="191"/>
        <v>1600.94</v>
      </c>
    </row>
    <row r="1365" spans="1:19" x14ac:dyDescent="0.25">
      <c r="A1365">
        <v>1495</v>
      </c>
      <c r="B1365">
        <v>1363</v>
      </c>
      <c r="C1365" t="s">
        <v>35</v>
      </c>
      <c r="D1365" t="s">
        <v>173</v>
      </c>
      <c r="E1365">
        <v>13</v>
      </c>
      <c r="F1365">
        <v>15.91</v>
      </c>
      <c r="G1365">
        <v>2.76</v>
      </c>
      <c r="H1365">
        <v>34.630000000000003</v>
      </c>
      <c r="I1365">
        <v>0.79</v>
      </c>
      <c r="J1365">
        <v>90.47</v>
      </c>
      <c r="K1365">
        <f t="shared" si="192"/>
        <v>1176.1099999999999</v>
      </c>
      <c r="L1365">
        <f t="shared" si="198"/>
        <v>1176.1099999999999</v>
      </c>
      <c r="M1365">
        <f t="shared" si="190"/>
        <v>570.85079999999994</v>
      </c>
      <c r="N1365">
        <f t="shared" si="193"/>
        <v>142.71269999999998</v>
      </c>
      <c r="O1365">
        <f t="shared" si="194"/>
        <v>570.85079999999994</v>
      </c>
      <c r="P1365">
        <f t="shared" si="195"/>
        <v>142.71269999999998</v>
      </c>
      <c r="Q1365">
        <f t="shared" si="196"/>
        <v>145.62403907999999</v>
      </c>
      <c r="R1365">
        <f t="shared" si="197"/>
        <v>355.65010000000001</v>
      </c>
      <c r="S1365">
        <f t="shared" si="191"/>
        <v>1176.1099999999999</v>
      </c>
    </row>
    <row r="1366" spans="1:19" x14ac:dyDescent="0.25">
      <c r="A1366">
        <v>1496</v>
      </c>
      <c r="B1366">
        <v>1363</v>
      </c>
      <c r="C1366" t="s">
        <v>35</v>
      </c>
      <c r="D1366" t="s">
        <v>172</v>
      </c>
      <c r="E1366">
        <v>22</v>
      </c>
      <c r="F1366">
        <v>18.57</v>
      </c>
      <c r="G1366">
        <v>11.32</v>
      </c>
      <c r="H1366">
        <v>26.28</v>
      </c>
      <c r="I1366">
        <v>1.03</v>
      </c>
      <c r="J1366">
        <v>344.9</v>
      </c>
      <c r="K1366">
        <f t="shared" si="192"/>
        <v>7587.7999999999993</v>
      </c>
      <c r="L1366">
        <f t="shared" si="198"/>
        <v>0</v>
      </c>
      <c r="M1366">
        <f t="shared" si="190"/>
        <v>0</v>
      </c>
      <c r="N1366">
        <f t="shared" si="193"/>
        <v>0</v>
      </c>
      <c r="O1366">
        <f t="shared" si="194"/>
        <v>4624.6728000000003</v>
      </c>
      <c r="P1366">
        <f t="shared" si="195"/>
        <v>1156.1682000000001</v>
      </c>
      <c r="Q1366">
        <f t="shared" si="196"/>
        <v>1179.7540312799999</v>
      </c>
      <c r="R1366">
        <f t="shared" si="197"/>
        <v>595.50480000000005</v>
      </c>
      <c r="S1366">
        <f t="shared" si="191"/>
        <v>7587.7999999999993</v>
      </c>
    </row>
    <row r="1367" spans="1:19" x14ac:dyDescent="0.25">
      <c r="A1367">
        <v>1497</v>
      </c>
      <c r="B1367">
        <v>1363</v>
      </c>
      <c r="C1367" t="s">
        <v>35</v>
      </c>
      <c r="D1367" t="s">
        <v>172</v>
      </c>
      <c r="E1367">
        <v>17</v>
      </c>
      <c r="F1367">
        <v>21.04</v>
      </c>
      <c r="G1367">
        <v>11.34</v>
      </c>
      <c r="H1367">
        <v>28.39</v>
      </c>
      <c r="I1367">
        <v>1.01</v>
      </c>
      <c r="J1367">
        <v>389.03</v>
      </c>
      <c r="K1367">
        <f t="shared" si="192"/>
        <v>6613.5099999999993</v>
      </c>
      <c r="L1367">
        <f t="shared" si="198"/>
        <v>0</v>
      </c>
      <c r="M1367">
        <f t="shared" si="190"/>
        <v>0</v>
      </c>
      <c r="N1367">
        <f t="shared" si="193"/>
        <v>0</v>
      </c>
      <c r="O1367">
        <f t="shared" si="194"/>
        <v>4056.0911999999998</v>
      </c>
      <c r="P1367">
        <f t="shared" si="195"/>
        <v>1014.0228</v>
      </c>
      <c r="Q1367">
        <f t="shared" si="196"/>
        <v>1034.7088651199999</v>
      </c>
      <c r="R1367">
        <f t="shared" si="197"/>
        <v>487.45630000000006</v>
      </c>
      <c r="S1367">
        <f t="shared" si="191"/>
        <v>6613.5099999999993</v>
      </c>
    </row>
    <row r="1368" spans="1:19" x14ac:dyDescent="0.25">
      <c r="A1368">
        <v>1498</v>
      </c>
      <c r="B1368">
        <v>1363</v>
      </c>
      <c r="C1368" t="s">
        <v>35</v>
      </c>
      <c r="D1368" t="s">
        <v>172</v>
      </c>
      <c r="E1368">
        <v>13</v>
      </c>
      <c r="F1368">
        <v>19.489999999999998</v>
      </c>
      <c r="G1368">
        <v>10.64</v>
      </c>
      <c r="H1368">
        <v>28.12</v>
      </c>
      <c r="I1368">
        <v>1.02</v>
      </c>
      <c r="J1368">
        <v>342.6</v>
      </c>
      <c r="K1368">
        <f t="shared" si="192"/>
        <v>4453.8</v>
      </c>
      <c r="L1368">
        <f t="shared" si="198"/>
        <v>0</v>
      </c>
      <c r="M1368">
        <f t="shared" si="190"/>
        <v>0</v>
      </c>
      <c r="N1368">
        <f t="shared" si="193"/>
        <v>0</v>
      </c>
      <c r="O1368">
        <f t="shared" si="194"/>
        <v>2695.8567999999996</v>
      </c>
      <c r="P1368">
        <f t="shared" si="195"/>
        <v>673.96419999999989</v>
      </c>
      <c r="Q1368">
        <f t="shared" si="196"/>
        <v>687.71306967999988</v>
      </c>
      <c r="R1368">
        <f t="shared" si="197"/>
        <v>372.87119999999999</v>
      </c>
      <c r="S1368">
        <f t="shared" si="191"/>
        <v>4453.8</v>
      </c>
    </row>
    <row r="1369" spans="1:19" x14ac:dyDescent="0.25">
      <c r="A1369">
        <v>1499</v>
      </c>
      <c r="B1369">
        <v>1363</v>
      </c>
      <c r="C1369" t="s">
        <v>35</v>
      </c>
      <c r="D1369" t="s">
        <v>173</v>
      </c>
      <c r="E1369">
        <v>19</v>
      </c>
      <c r="F1369">
        <v>14.32</v>
      </c>
      <c r="G1369">
        <v>2.73</v>
      </c>
      <c r="H1369">
        <v>28.15</v>
      </c>
      <c r="I1369">
        <v>0.8</v>
      </c>
      <c r="J1369">
        <v>78.53</v>
      </c>
      <c r="K1369">
        <f t="shared" si="192"/>
        <v>1492.07</v>
      </c>
      <c r="L1369">
        <f t="shared" si="198"/>
        <v>1492.07</v>
      </c>
      <c r="M1369">
        <f t="shared" si="190"/>
        <v>742.77840000000003</v>
      </c>
      <c r="N1369">
        <f t="shared" si="193"/>
        <v>185.69460000000001</v>
      </c>
      <c r="O1369">
        <f t="shared" si="194"/>
        <v>742.77840000000003</v>
      </c>
      <c r="P1369">
        <f t="shared" si="195"/>
        <v>185.69460000000001</v>
      </c>
      <c r="Q1369">
        <f t="shared" si="196"/>
        <v>189.48276984</v>
      </c>
      <c r="R1369">
        <f t="shared" si="197"/>
        <v>427.88</v>
      </c>
      <c r="S1369">
        <f t="shared" si="191"/>
        <v>1492.07</v>
      </c>
    </row>
    <row r="1370" spans="1:19" x14ac:dyDescent="0.25">
      <c r="A1370">
        <v>1500</v>
      </c>
      <c r="B1370">
        <v>1363</v>
      </c>
      <c r="C1370" t="s">
        <v>35</v>
      </c>
      <c r="D1370" t="s">
        <v>172</v>
      </c>
      <c r="E1370">
        <v>10</v>
      </c>
      <c r="F1370">
        <v>18.79</v>
      </c>
      <c r="G1370">
        <v>10.33</v>
      </c>
      <c r="H1370">
        <v>30.47</v>
      </c>
      <c r="I1370">
        <v>1.07</v>
      </c>
      <c r="J1370">
        <v>327.52</v>
      </c>
      <c r="K1370">
        <f t="shared" si="192"/>
        <v>3275.2</v>
      </c>
      <c r="L1370">
        <f t="shared" si="198"/>
        <v>0</v>
      </c>
      <c r="M1370">
        <f t="shared" si="190"/>
        <v>0</v>
      </c>
      <c r="N1370">
        <f t="shared" si="193"/>
        <v>0</v>
      </c>
      <c r="O1370">
        <f t="shared" si="194"/>
        <v>1941.0069999999998</v>
      </c>
      <c r="P1370">
        <f t="shared" si="195"/>
        <v>485.25174999999996</v>
      </c>
      <c r="Q1370">
        <f t="shared" si="196"/>
        <v>495.15088569999995</v>
      </c>
      <c r="R1370">
        <f t="shared" si="197"/>
        <v>326.029</v>
      </c>
      <c r="S1370">
        <f t="shared" si="191"/>
        <v>3275.2</v>
      </c>
    </row>
    <row r="1371" spans="1:19" x14ac:dyDescent="0.25">
      <c r="A1371">
        <v>1501</v>
      </c>
      <c r="B1371">
        <v>1363</v>
      </c>
      <c r="C1371" t="s">
        <v>35</v>
      </c>
      <c r="D1371" t="s">
        <v>173</v>
      </c>
      <c r="E1371">
        <v>12</v>
      </c>
      <c r="F1371">
        <v>15.11</v>
      </c>
      <c r="G1371">
        <v>2.8</v>
      </c>
      <c r="H1371">
        <v>25.78</v>
      </c>
      <c r="I1371">
        <v>0.77</v>
      </c>
      <c r="J1371">
        <v>80.010000000000005</v>
      </c>
      <c r="K1371">
        <f t="shared" si="192"/>
        <v>960.12000000000012</v>
      </c>
      <c r="L1371">
        <f t="shared" si="198"/>
        <v>960.12000000000012</v>
      </c>
      <c r="M1371">
        <f t="shared" si="190"/>
        <v>507.69599999999991</v>
      </c>
      <c r="N1371">
        <f t="shared" si="193"/>
        <v>126.92399999999998</v>
      </c>
      <c r="O1371">
        <f t="shared" si="194"/>
        <v>507.69599999999991</v>
      </c>
      <c r="P1371">
        <f t="shared" si="195"/>
        <v>126.92399999999998</v>
      </c>
      <c r="Q1371">
        <f t="shared" si="196"/>
        <v>129.51324959999997</v>
      </c>
      <c r="R1371">
        <f t="shared" si="197"/>
        <v>238.20720000000003</v>
      </c>
      <c r="S1371">
        <f t="shared" si="191"/>
        <v>960.12000000000012</v>
      </c>
    </row>
    <row r="1372" spans="1:19" x14ac:dyDescent="0.25">
      <c r="A1372">
        <v>1502</v>
      </c>
      <c r="B1372">
        <v>1363</v>
      </c>
      <c r="C1372" t="s">
        <v>35</v>
      </c>
      <c r="D1372" t="s">
        <v>172</v>
      </c>
      <c r="E1372">
        <v>34</v>
      </c>
      <c r="F1372">
        <v>18.95</v>
      </c>
      <c r="G1372">
        <v>11.46</v>
      </c>
      <c r="H1372">
        <v>32.68</v>
      </c>
      <c r="I1372">
        <v>1.04</v>
      </c>
      <c r="J1372">
        <v>363.48</v>
      </c>
      <c r="K1372">
        <f t="shared" si="192"/>
        <v>12358.32</v>
      </c>
      <c r="L1372">
        <f t="shared" si="198"/>
        <v>0</v>
      </c>
      <c r="M1372">
        <f t="shared" si="190"/>
        <v>0</v>
      </c>
      <c r="N1372">
        <f t="shared" si="193"/>
        <v>0</v>
      </c>
      <c r="O1372">
        <f t="shared" si="194"/>
        <v>7383.6780000000008</v>
      </c>
      <c r="P1372">
        <f t="shared" si="195"/>
        <v>1845.9195000000002</v>
      </c>
      <c r="Q1372">
        <f t="shared" si="196"/>
        <v>1883.5762578000001</v>
      </c>
      <c r="R1372">
        <f t="shared" si="197"/>
        <v>1155.5647999999999</v>
      </c>
      <c r="S1372">
        <f t="shared" si="191"/>
        <v>12358.32</v>
      </c>
    </row>
    <row r="1373" spans="1:19" x14ac:dyDescent="0.25">
      <c r="A1373">
        <v>1503</v>
      </c>
      <c r="B1373">
        <v>1363</v>
      </c>
      <c r="C1373" t="s">
        <v>35</v>
      </c>
      <c r="D1373" t="s">
        <v>173</v>
      </c>
      <c r="E1373">
        <v>28</v>
      </c>
      <c r="F1373">
        <v>14.8</v>
      </c>
      <c r="G1373">
        <v>3.09</v>
      </c>
      <c r="H1373">
        <v>31.64</v>
      </c>
      <c r="I1373">
        <v>0.82</v>
      </c>
      <c r="J1373">
        <v>91.42</v>
      </c>
      <c r="K1373">
        <f t="shared" si="192"/>
        <v>2559.7600000000002</v>
      </c>
      <c r="L1373">
        <f t="shared" si="198"/>
        <v>2559.7600000000002</v>
      </c>
      <c r="M1373">
        <f t="shared" si="190"/>
        <v>1280.4960000000001</v>
      </c>
      <c r="N1373">
        <f t="shared" si="193"/>
        <v>320.12400000000002</v>
      </c>
      <c r="O1373">
        <f t="shared" si="194"/>
        <v>1280.4960000000001</v>
      </c>
      <c r="P1373">
        <f t="shared" si="195"/>
        <v>320.12400000000002</v>
      </c>
      <c r="Q1373">
        <f t="shared" si="196"/>
        <v>326.65452959999999</v>
      </c>
      <c r="R1373">
        <f t="shared" si="197"/>
        <v>726.45439999999996</v>
      </c>
      <c r="S1373">
        <f t="shared" si="191"/>
        <v>2559.7600000000002</v>
      </c>
    </row>
    <row r="1374" spans="1:19" x14ac:dyDescent="0.25">
      <c r="A1374">
        <v>1504</v>
      </c>
      <c r="B1374">
        <v>1363</v>
      </c>
      <c r="C1374" t="s">
        <v>35</v>
      </c>
      <c r="D1374" t="s">
        <v>173</v>
      </c>
      <c r="E1374">
        <v>15</v>
      </c>
      <c r="F1374">
        <v>12.93</v>
      </c>
      <c r="G1374">
        <v>2.72</v>
      </c>
      <c r="H1374">
        <v>27.73</v>
      </c>
      <c r="I1374">
        <v>0.78</v>
      </c>
      <c r="J1374">
        <v>72.150000000000006</v>
      </c>
      <c r="K1374">
        <f t="shared" si="192"/>
        <v>1082.25</v>
      </c>
      <c r="L1374">
        <f t="shared" si="198"/>
        <v>1082.25</v>
      </c>
      <c r="M1374">
        <f t="shared" si="190"/>
        <v>527.5440000000001</v>
      </c>
      <c r="N1374">
        <f t="shared" si="193"/>
        <v>131.88600000000002</v>
      </c>
      <c r="O1374">
        <f t="shared" si="194"/>
        <v>527.5440000000001</v>
      </c>
      <c r="P1374">
        <f t="shared" si="195"/>
        <v>131.88600000000002</v>
      </c>
      <c r="Q1374">
        <f t="shared" si="196"/>
        <v>134.57647440000002</v>
      </c>
      <c r="R1374">
        <f t="shared" si="197"/>
        <v>324.44100000000003</v>
      </c>
      <c r="S1374">
        <f t="shared" si="191"/>
        <v>1082.25</v>
      </c>
    </row>
    <row r="1375" spans="1:19" x14ac:dyDescent="0.25">
      <c r="A1375">
        <v>1505</v>
      </c>
      <c r="B1375">
        <v>1363</v>
      </c>
      <c r="C1375" t="s">
        <v>35</v>
      </c>
      <c r="D1375" t="s">
        <v>173</v>
      </c>
      <c r="E1375">
        <v>13</v>
      </c>
      <c r="F1375">
        <v>14.24</v>
      </c>
      <c r="G1375">
        <v>2.64</v>
      </c>
      <c r="H1375">
        <v>36.79</v>
      </c>
      <c r="I1375">
        <v>0.81</v>
      </c>
      <c r="J1375">
        <v>84.47</v>
      </c>
      <c r="K1375">
        <f t="shared" si="192"/>
        <v>1098.1099999999999</v>
      </c>
      <c r="L1375">
        <f t="shared" si="198"/>
        <v>1098.1099999999999</v>
      </c>
      <c r="M1375">
        <f t="shared" si="190"/>
        <v>488.71680000000003</v>
      </c>
      <c r="N1375">
        <f t="shared" si="193"/>
        <v>122.17920000000001</v>
      </c>
      <c r="O1375">
        <f t="shared" si="194"/>
        <v>488.71680000000003</v>
      </c>
      <c r="P1375">
        <f t="shared" si="195"/>
        <v>122.17920000000001</v>
      </c>
      <c r="Q1375">
        <f t="shared" si="196"/>
        <v>124.67165568</v>
      </c>
      <c r="R1375">
        <f t="shared" si="197"/>
        <v>387.39870000000002</v>
      </c>
      <c r="S1375">
        <f t="shared" si="191"/>
        <v>1098.1099999999999</v>
      </c>
    </row>
    <row r="1376" spans="1:19" x14ac:dyDescent="0.25">
      <c r="A1376">
        <v>1506</v>
      </c>
      <c r="B1376">
        <v>1363</v>
      </c>
      <c r="C1376" t="s">
        <v>35</v>
      </c>
      <c r="D1376" t="s">
        <v>172</v>
      </c>
      <c r="E1376">
        <v>11</v>
      </c>
      <c r="F1376">
        <v>18.98</v>
      </c>
      <c r="G1376">
        <v>10.85</v>
      </c>
      <c r="H1376">
        <v>31.37</v>
      </c>
      <c r="I1376">
        <v>1.1000000000000001</v>
      </c>
      <c r="J1376">
        <v>347.39</v>
      </c>
      <c r="K1376">
        <f t="shared" si="192"/>
        <v>3821.29</v>
      </c>
      <c r="L1376">
        <f t="shared" si="198"/>
        <v>0</v>
      </c>
      <c r="M1376">
        <f t="shared" si="190"/>
        <v>0</v>
      </c>
      <c r="N1376">
        <f t="shared" si="193"/>
        <v>0</v>
      </c>
      <c r="O1376">
        <f t="shared" si="194"/>
        <v>2265.2629999999999</v>
      </c>
      <c r="P1376">
        <f t="shared" si="195"/>
        <v>566.31574999999998</v>
      </c>
      <c r="Q1376">
        <f t="shared" si="196"/>
        <v>577.86859129999993</v>
      </c>
      <c r="R1376">
        <f t="shared" si="197"/>
        <v>379.57700000000006</v>
      </c>
      <c r="S1376">
        <f t="shared" si="191"/>
        <v>3821.29</v>
      </c>
    </row>
    <row r="1377" spans="1:19" x14ac:dyDescent="0.25">
      <c r="A1377">
        <v>1507</v>
      </c>
      <c r="B1377">
        <v>1363</v>
      </c>
      <c r="C1377" t="s">
        <v>35</v>
      </c>
      <c r="D1377" t="s">
        <v>172</v>
      </c>
      <c r="E1377">
        <v>11</v>
      </c>
      <c r="F1377">
        <v>19.13</v>
      </c>
      <c r="G1377">
        <v>12</v>
      </c>
      <c r="H1377">
        <v>31.52</v>
      </c>
      <c r="I1377">
        <v>0.96</v>
      </c>
      <c r="J1377">
        <v>377.48</v>
      </c>
      <c r="K1377">
        <f t="shared" si="192"/>
        <v>4152.2800000000007</v>
      </c>
      <c r="L1377">
        <f t="shared" si="198"/>
        <v>0</v>
      </c>
      <c r="M1377">
        <f t="shared" si="190"/>
        <v>0</v>
      </c>
      <c r="N1377">
        <f t="shared" si="193"/>
        <v>0</v>
      </c>
      <c r="O1377">
        <f t="shared" si="194"/>
        <v>2525.16</v>
      </c>
      <c r="P1377">
        <f t="shared" si="195"/>
        <v>631.29</v>
      </c>
      <c r="Q1377">
        <f t="shared" si="196"/>
        <v>644.16831599999989</v>
      </c>
      <c r="R1377">
        <f t="shared" si="197"/>
        <v>332.85119999999995</v>
      </c>
      <c r="S1377">
        <f t="shared" si="191"/>
        <v>4152.2800000000007</v>
      </c>
    </row>
    <row r="1378" spans="1:19" x14ac:dyDescent="0.25">
      <c r="A1378">
        <v>1508</v>
      </c>
      <c r="B1378">
        <v>1363</v>
      </c>
      <c r="C1378" t="s">
        <v>35</v>
      </c>
      <c r="D1378" t="s">
        <v>172</v>
      </c>
      <c r="E1378">
        <v>12</v>
      </c>
      <c r="F1378">
        <v>17.86</v>
      </c>
      <c r="G1378">
        <v>11.11</v>
      </c>
      <c r="H1378">
        <v>25.53</v>
      </c>
      <c r="I1378">
        <v>1</v>
      </c>
      <c r="J1378">
        <v>325.54000000000002</v>
      </c>
      <c r="K1378">
        <f t="shared" si="192"/>
        <v>3906.4800000000005</v>
      </c>
      <c r="L1378">
        <f t="shared" si="198"/>
        <v>0</v>
      </c>
      <c r="M1378">
        <f t="shared" si="190"/>
        <v>0</v>
      </c>
      <c r="N1378">
        <f t="shared" si="193"/>
        <v>0</v>
      </c>
      <c r="O1378">
        <f t="shared" si="194"/>
        <v>2381.0951999999997</v>
      </c>
      <c r="P1378">
        <f t="shared" si="195"/>
        <v>595.27379999999994</v>
      </c>
      <c r="Q1378">
        <f t="shared" si="196"/>
        <v>607.41738551999993</v>
      </c>
      <c r="R1378">
        <f t="shared" si="197"/>
        <v>306.36</v>
      </c>
      <c r="S1378">
        <f t="shared" si="191"/>
        <v>3906.4800000000005</v>
      </c>
    </row>
    <row r="1379" spans="1:19" x14ac:dyDescent="0.25">
      <c r="A1379">
        <v>1509</v>
      </c>
      <c r="B1379">
        <v>1363</v>
      </c>
      <c r="C1379" t="s">
        <v>35</v>
      </c>
      <c r="D1379" t="s">
        <v>173</v>
      </c>
      <c r="E1379">
        <v>12</v>
      </c>
      <c r="F1379">
        <v>16.77</v>
      </c>
      <c r="G1379">
        <v>3.16</v>
      </c>
      <c r="H1379">
        <v>28.1</v>
      </c>
      <c r="I1379">
        <v>0.82</v>
      </c>
      <c r="J1379">
        <v>98.21</v>
      </c>
      <c r="K1379">
        <f t="shared" si="192"/>
        <v>1178.52</v>
      </c>
      <c r="L1379">
        <f t="shared" si="198"/>
        <v>1178.52</v>
      </c>
      <c r="M1379">
        <f t="shared" si="190"/>
        <v>635.91840000000002</v>
      </c>
      <c r="N1379">
        <f t="shared" si="193"/>
        <v>158.9796</v>
      </c>
      <c r="O1379">
        <f t="shared" si="194"/>
        <v>635.91840000000002</v>
      </c>
      <c r="P1379">
        <f t="shared" si="195"/>
        <v>158.9796</v>
      </c>
      <c r="Q1379">
        <f t="shared" si="196"/>
        <v>162.22278384000001</v>
      </c>
      <c r="R1379">
        <f t="shared" si="197"/>
        <v>276.50400000000002</v>
      </c>
      <c r="S1379">
        <f t="shared" si="191"/>
        <v>1178.52</v>
      </c>
    </row>
    <row r="1380" spans="1:19" x14ac:dyDescent="0.25">
      <c r="A1380">
        <v>1510</v>
      </c>
      <c r="B1380">
        <v>1363</v>
      </c>
      <c r="C1380" t="s">
        <v>35</v>
      </c>
      <c r="D1380" t="s">
        <v>172</v>
      </c>
      <c r="E1380">
        <v>21</v>
      </c>
      <c r="F1380">
        <v>19.149999999999999</v>
      </c>
      <c r="G1380">
        <v>9.92</v>
      </c>
      <c r="H1380">
        <v>32.79</v>
      </c>
      <c r="I1380">
        <v>0.99</v>
      </c>
      <c r="J1380">
        <v>321.20999999999998</v>
      </c>
      <c r="K1380">
        <f t="shared" si="192"/>
        <v>6745.41</v>
      </c>
      <c r="L1380">
        <f t="shared" si="198"/>
        <v>0</v>
      </c>
      <c r="M1380">
        <f t="shared" si="190"/>
        <v>0</v>
      </c>
      <c r="N1380">
        <f t="shared" si="193"/>
        <v>0</v>
      </c>
      <c r="O1380">
        <f t="shared" si="194"/>
        <v>3989.3279999999995</v>
      </c>
      <c r="P1380">
        <f t="shared" si="195"/>
        <v>997.33199999999988</v>
      </c>
      <c r="Q1380">
        <f t="shared" si="196"/>
        <v>1017.6775727999999</v>
      </c>
      <c r="R1380">
        <f t="shared" si="197"/>
        <v>681.70409999999993</v>
      </c>
      <c r="S1380">
        <f t="shared" si="191"/>
        <v>6745.41</v>
      </c>
    </row>
    <row r="1381" spans="1:19" x14ac:dyDescent="0.25">
      <c r="A1381">
        <v>1511</v>
      </c>
      <c r="B1381">
        <v>1363</v>
      </c>
      <c r="C1381" t="s">
        <v>35</v>
      </c>
      <c r="D1381" t="s">
        <v>172</v>
      </c>
      <c r="E1381">
        <v>17</v>
      </c>
      <c r="F1381">
        <v>19.84</v>
      </c>
      <c r="G1381">
        <v>10.38</v>
      </c>
      <c r="H1381">
        <v>30.34</v>
      </c>
      <c r="I1381">
        <v>1.1000000000000001</v>
      </c>
      <c r="J1381">
        <v>346.05</v>
      </c>
      <c r="K1381">
        <f t="shared" si="192"/>
        <v>5882.85</v>
      </c>
      <c r="L1381">
        <f t="shared" si="198"/>
        <v>0</v>
      </c>
      <c r="M1381">
        <f t="shared" si="190"/>
        <v>0</v>
      </c>
      <c r="N1381">
        <f t="shared" si="193"/>
        <v>0</v>
      </c>
      <c r="O1381">
        <f t="shared" si="194"/>
        <v>3500.9664000000002</v>
      </c>
      <c r="P1381">
        <f t="shared" si="195"/>
        <v>875.24160000000006</v>
      </c>
      <c r="Q1381">
        <f t="shared" si="196"/>
        <v>893.09652864000009</v>
      </c>
      <c r="R1381">
        <f t="shared" si="197"/>
        <v>567.35800000000006</v>
      </c>
      <c r="S1381">
        <f t="shared" si="191"/>
        <v>5882.85</v>
      </c>
    </row>
    <row r="1382" spans="1:19" x14ac:dyDescent="0.25">
      <c r="A1382">
        <v>1512</v>
      </c>
      <c r="B1382">
        <v>1363</v>
      </c>
      <c r="C1382" t="s">
        <v>35</v>
      </c>
      <c r="D1382" t="s">
        <v>173</v>
      </c>
      <c r="E1382">
        <v>20</v>
      </c>
      <c r="F1382">
        <v>15.67</v>
      </c>
      <c r="G1382">
        <v>2.86</v>
      </c>
      <c r="H1382">
        <v>28.36</v>
      </c>
      <c r="I1382">
        <v>0.79</v>
      </c>
      <c r="J1382">
        <v>86.27</v>
      </c>
      <c r="K1382">
        <f t="shared" si="192"/>
        <v>1725.3999999999999</v>
      </c>
      <c r="L1382">
        <f t="shared" si="198"/>
        <v>1725.3999999999999</v>
      </c>
      <c r="M1382">
        <f t="shared" si="190"/>
        <v>896.32399999999996</v>
      </c>
      <c r="N1382">
        <f t="shared" si="193"/>
        <v>224.08099999999999</v>
      </c>
      <c r="O1382">
        <f t="shared" si="194"/>
        <v>896.32399999999996</v>
      </c>
      <c r="P1382">
        <f t="shared" si="195"/>
        <v>224.08099999999999</v>
      </c>
      <c r="Q1382">
        <f t="shared" si="196"/>
        <v>228.65225239999998</v>
      </c>
      <c r="R1382">
        <f t="shared" si="197"/>
        <v>448.08800000000002</v>
      </c>
      <c r="S1382">
        <f t="shared" si="191"/>
        <v>1725.3999999999999</v>
      </c>
    </row>
    <row r="1383" spans="1:19" x14ac:dyDescent="0.25">
      <c r="A1383">
        <v>1513</v>
      </c>
      <c r="B1383">
        <v>1363</v>
      </c>
      <c r="C1383" t="s">
        <v>35</v>
      </c>
      <c r="D1383" t="s">
        <v>172</v>
      </c>
      <c r="E1383">
        <v>18</v>
      </c>
      <c r="F1383">
        <v>19.05</v>
      </c>
      <c r="G1383">
        <v>9.39</v>
      </c>
      <c r="H1383">
        <v>28.34</v>
      </c>
      <c r="I1383">
        <v>0.97</v>
      </c>
      <c r="J1383">
        <v>298.8</v>
      </c>
      <c r="K1383">
        <f t="shared" si="192"/>
        <v>5378.4000000000005</v>
      </c>
      <c r="L1383">
        <f t="shared" si="198"/>
        <v>0</v>
      </c>
      <c r="M1383">
        <f t="shared" si="190"/>
        <v>0</v>
      </c>
      <c r="N1383">
        <f t="shared" si="193"/>
        <v>0</v>
      </c>
      <c r="O1383">
        <f t="shared" si="194"/>
        <v>3219.8310000000001</v>
      </c>
      <c r="P1383">
        <f t="shared" si="195"/>
        <v>804.95775000000003</v>
      </c>
      <c r="Q1383">
        <f t="shared" si="196"/>
        <v>821.37888810000004</v>
      </c>
      <c r="R1383">
        <f t="shared" si="197"/>
        <v>494.81640000000004</v>
      </c>
      <c r="S1383">
        <f t="shared" si="191"/>
        <v>5378.4000000000005</v>
      </c>
    </row>
    <row r="1384" spans="1:19" x14ac:dyDescent="0.25">
      <c r="A1384">
        <v>1514</v>
      </c>
      <c r="B1384">
        <v>1363</v>
      </c>
      <c r="C1384" t="s">
        <v>35</v>
      </c>
      <c r="D1384" t="s">
        <v>172</v>
      </c>
      <c r="E1384">
        <v>9</v>
      </c>
      <c r="F1384">
        <v>19.13</v>
      </c>
      <c r="G1384">
        <v>11.02</v>
      </c>
      <c r="H1384">
        <v>35.729999999999997</v>
      </c>
      <c r="I1384">
        <v>0.99</v>
      </c>
      <c r="J1384">
        <v>355.68</v>
      </c>
      <c r="K1384">
        <f t="shared" si="192"/>
        <v>3201.12</v>
      </c>
      <c r="L1384">
        <f t="shared" si="198"/>
        <v>0</v>
      </c>
      <c r="M1384">
        <f t="shared" si="190"/>
        <v>0</v>
      </c>
      <c r="N1384">
        <f t="shared" si="193"/>
        <v>0</v>
      </c>
      <c r="O1384">
        <f t="shared" si="194"/>
        <v>1897.3133999999998</v>
      </c>
      <c r="P1384">
        <f t="shared" si="195"/>
        <v>474.32834999999994</v>
      </c>
      <c r="Q1384">
        <f t="shared" si="196"/>
        <v>484.0046483399999</v>
      </c>
      <c r="R1384">
        <f t="shared" si="197"/>
        <v>318.35429999999997</v>
      </c>
      <c r="S1384">
        <f t="shared" si="191"/>
        <v>3201.12</v>
      </c>
    </row>
    <row r="1385" spans="1:19" x14ac:dyDescent="0.25">
      <c r="A1385">
        <v>1515</v>
      </c>
      <c r="B1385">
        <v>1363</v>
      </c>
      <c r="C1385" t="s">
        <v>35</v>
      </c>
      <c r="D1385" t="s">
        <v>173</v>
      </c>
      <c r="E1385">
        <v>13</v>
      </c>
      <c r="F1385">
        <v>15.09</v>
      </c>
      <c r="G1385">
        <v>2.54</v>
      </c>
      <c r="H1385">
        <v>30.53</v>
      </c>
      <c r="I1385">
        <v>0.82</v>
      </c>
      <c r="J1385">
        <v>80.239999999999995</v>
      </c>
      <c r="K1385">
        <f t="shared" si="192"/>
        <v>1043.1199999999999</v>
      </c>
      <c r="L1385">
        <f t="shared" si="198"/>
        <v>1043.1199999999999</v>
      </c>
      <c r="M1385">
        <f t="shared" si="190"/>
        <v>498.27180000000004</v>
      </c>
      <c r="N1385">
        <f t="shared" si="193"/>
        <v>124.56795000000001</v>
      </c>
      <c r="O1385">
        <f t="shared" si="194"/>
        <v>498.27180000000004</v>
      </c>
      <c r="P1385">
        <f t="shared" si="195"/>
        <v>124.56795000000001</v>
      </c>
      <c r="Q1385">
        <f t="shared" si="196"/>
        <v>127.10913618000001</v>
      </c>
      <c r="R1385">
        <f t="shared" si="197"/>
        <v>325.44980000000004</v>
      </c>
      <c r="S1385">
        <f t="shared" si="191"/>
        <v>1043.1199999999999</v>
      </c>
    </row>
    <row r="1386" spans="1:19" x14ac:dyDescent="0.25">
      <c r="A1386">
        <v>1516</v>
      </c>
      <c r="B1386">
        <v>1363</v>
      </c>
      <c r="C1386" t="s">
        <v>35</v>
      </c>
      <c r="D1386" t="s">
        <v>172</v>
      </c>
      <c r="E1386">
        <v>13</v>
      </c>
      <c r="F1386">
        <v>18.88</v>
      </c>
      <c r="G1386">
        <v>10.78</v>
      </c>
      <c r="H1386">
        <v>31.71</v>
      </c>
      <c r="I1386">
        <v>1.05</v>
      </c>
      <c r="J1386">
        <v>342.37</v>
      </c>
      <c r="K1386">
        <f t="shared" si="192"/>
        <v>4450.8100000000004</v>
      </c>
      <c r="L1386">
        <f t="shared" si="198"/>
        <v>0</v>
      </c>
      <c r="M1386">
        <f t="shared" si="190"/>
        <v>0</v>
      </c>
      <c r="N1386">
        <f t="shared" si="193"/>
        <v>0</v>
      </c>
      <c r="O1386">
        <f t="shared" si="194"/>
        <v>2645.8431999999998</v>
      </c>
      <c r="P1386">
        <f t="shared" si="195"/>
        <v>661.46079999999995</v>
      </c>
      <c r="Q1386">
        <f t="shared" si="196"/>
        <v>674.95460031999994</v>
      </c>
      <c r="R1386">
        <f t="shared" si="197"/>
        <v>432.8415</v>
      </c>
      <c r="S1386">
        <f t="shared" si="191"/>
        <v>4450.8100000000004</v>
      </c>
    </row>
    <row r="1387" spans="1:19" x14ac:dyDescent="0.25">
      <c r="A1387">
        <v>1517</v>
      </c>
      <c r="B1387">
        <v>1363</v>
      </c>
      <c r="C1387" t="s">
        <v>35</v>
      </c>
      <c r="D1387" t="s">
        <v>172</v>
      </c>
      <c r="E1387">
        <v>37</v>
      </c>
      <c r="F1387">
        <v>19.61</v>
      </c>
      <c r="G1387">
        <v>10.61</v>
      </c>
      <c r="H1387">
        <v>34.81</v>
      </c>
      <c r="I1387">
        <v>1.02</v>
      </c>
      <c r="J1387">
        <v>284.35000000000002</v>
      </c>
      <c r="K1387">
        <f t="shared" si="192"/>
        <v>10520.95</v>
      </c>
      <c r="L1387">
        <f t="shared" si="198"/>
        <v>0</v>
      </c>
      <c r="M1387">
        <f t="shared" si="190"/>
        <v>0</v>
      </c>
      <c r="N1387">
        <f t="shared" si="193"/>
        <v>0</v>
      </c>
      <c r="O1387">
        <f t="shared" si="194"/>
        <v>7698.2977000000001</v>
      </c>
      <c r="P1387">
        <f t="shared" si="195"/>
        <v>1924.574425</v>
      </c>
      <c r="Q1387">
        <f t="shared" si="196"/>
        <v>1963.83574327</v>
      </c>
      <c r="R1387">
        <f t="shared" si="197"/>
        <v>1313.7294000000002</v>
      </c>
      <c r="S1387">
        <f t="shared" si="191"/>
        <v>10520.95</v>
      </c>
    </row>
    <row r="1388" spans="1:19" x14ac:dyDescent="0.25">
      <c r="A1388">
        <v>1518</v>
      </c>
      <c r="B1388">
        <v>1363</v>
      </c>
      <c r="C1388" t="s">
        <v>35</v>
      </c>
      <c r="D1388" t="s">
        <v>173</v>
      </c>
      <c r="E1388">
        <v>10</v>
      </c>
      <c r="F1388">
        <v>13.56</v>
      </c>
      <c r="G1388">
        <v>2.86</v>
      </c>
      <c r="H1388">
        <v>26.33</v>
      </c>
      <c r="I1388">
        <v>0.81</v>
      </c>
      <c r="J1388">
        <v>76.78</v>
      </c>
      <c r="K1388">
        <f t="shared" si="192"/>
        <v>767.8</v>
      </c>
      <c r="L1388">
        <f t="shared" si="198"/>
        <v>767.8</v>
      </c>
      <c r="M1388">
        <f t="shared" si="190"/>
        <v>387.81599999999997</v>
      </c>
      <c r="N1388">
        <f t="shared" si="193"/>
        <v>96.953999999999994</v>
      </c>
      <c r="O1388">
        <f t="shared" si="194"/>
        <v>387.81599999999997</v>
      </c>
      <c r="P1388">
        <f t="shared" si="195"/>
        <v>96.953999999999994</v>
      </c>
      <c r="Q1388">
        <f t="shared" si="196"/>
        <v>98.931861599999991</v>
      </c>
      <c r="R1388">
        <f t="shared" si="197"/>
        <v>213.27300000000002</v>
      </c>
      <c r="S1388">
        <f t="shared" si="191"/>
        <v>767.8</v>
      </c>
    </row>
    <row r="1389" spans="1:19" x14ac:dyDescent="0.25">
      <c r="A1389">
        <v>1519</v>
      </c>
      <c r="B1389">
        <v>1363</v>
      </c>
      <c r="C1389" t="s">
        <v>35</v>
      </c>
      <c r="D1389" t="s">
        <v>172</v>
      </c>
      <c r="E1389">
        <v>18</v>
      </c>
      <c r="F1389">
        <v>18.59</v>
      </c>
      <c r="G1389">
        <v>12.11</v>
      </c>
      <c r="H1389">
        <v>27.77</v>
      </c>
      <c r="I1389">
        <v>0.99</v>
      </c>
      <c r="J1389">
        <v>367.59</v>
      </c>
      <c r="K1389">
        <f t="shared" si="192"/>
        <v>6616.62</v>
      </c>
      <c r="L1389">
        <f t="shared" si="198"/>
        <v>0</v>
      </c>
      <c r="M1389">
        <f t="shared" si="190"/>
        <v>0</v>
      </c>
      <c r="N1389">
        <f t="shared" si="193"/>
        <v>0</v>
      </c>
      <c r="O1389">
        <f t="shared" si="194"/>
        <v>4052.2482</v>
      </c>
      <c r="P1389">
        <f t="shared" si="195"/>
        <v>1013.06205</v>
      </c>
      <c r="Q1389">
        <f t="shared" si="196"/>
        <v>1033.72851582</v>
      </c>
      <c r="R1389">
        <f t="shared" si="197"/>
        <v>494.8614</v>
      </c>
      <c r="S1389">
        <f t="shared" si="191"/>
        <v>6616.62</v>
      </c>
    </row>
    <row r="1390" spans="1:19" x14ac:dyDescent="0.25">
      <c r="A1390">
        <v>1520</v>
      </c>
      <c r="B1390">
        <v>1363</v>
      </c>
      <c r="C1390" t="s">
        <v>35</v>
      </c>
      <c r="D1390" t="s">
        <v>173</v>
      </c>
      <c r="E1390">
        <v>11</v>
      </c>
      <c r="F1390">
        <v>15.23</v>
      </c>
      <c r="G1390">
        <v>2.98</v>
      </c>
      <c r="H1390">
        <v>29.38</v>
      </c>
      <c r="I1390">
        <v>0.81</v>
      </c>
      <c r="J1390">
        <v>88.58</v>
      </c>
      <c r="K1390">
        <f t="shared" si="192"/>
        <v>974.38</v>
      </c>
      <c r="L1390">
        <f t="shared" si="198"/>
        <v>974.38</v>
      </c>
      <c r="M1390">
        <f t="shared" si="190"/>
        <v>499.23940000000005</v>
      </c>
      <c r="N1390">
        <f t="shared" si="193"/>
        <v>124.80985000000001</v>
      </c>
      <c r="O1390">
        <f t="shared" si="194"/>
        <v>499.23940000000005</v>
      </c>
      <c r="P1390">
        <f t="shared" si="195"/>
        <v>124.80985000000001</v>
      </c>
      <c r="Q1390">
        <f t="shared" si="196"/>
        <v>127.35597094000001</v>
      </c>
      <c r="R1390">
        <f t="shared" si="197"/>
        <v>261.7758</v>
      </c>
      <c r="S1390">
        <f t="shared" si="191"/>
        <v>974.38</v>
      </c>
    </row>
    <row r="1391" spans="1:19" x14ac:dyDescent="0.25">
      <c r="A1391">
        <v>1521</v>
      </c>
      <c r="B1391">
        <v>1363</v>
      </c>
      <c r="C1391" t="s">
        <v>35</v>
      </c>
      <c r="D1391" t="s">
        <v>172</v>
      </c>
      <c r="E1391">
        <v>23</v>
      </c>
      <c r="F1391">
        <v>20.16</v>
      </c>
      <c r="G1391">
        <v>10.51</v>
      </c>
      <c r="H1391">
        <v>31.21</v>
      </c>
      <c r="I1391">
        <v>1.04</v>
      </c>
      <c r="J1391">
        <v>353.8</v>
      </c>
      <c r="K1391">
        <f t="shared" si="192"/>
        <v>8137.4000000000005</v>
      </c>
      <c r="L1391">
        <f t="shared" si="198"/>
        <v>0</v>
      </c>
      <c r="M1391">
        <f t="shared" si="190"/>
        <v>0</v>
      </c>
      <c r="N1391">
        <f t="shared" si="193"/>
        <v>0</v>
      </c>
      <c r="O1391">
        <f t="shared" si="194"/>
        <v>4873.2767999999996</v>
      </c>
      <c r="P1391">
        <f t="shared" si="195"/>
        <v>1218.3191999999999</v>
      </c>
      <c r="Q1391">
        <f t="shared" si="196"/>
        <v>1243.17291168</v>
      </c>
      <c r="R1391">
        <f t="shared" si="197"/>
        <v>746.54320000000007</v>
      </c>
      <c r="S1391">
        <f t="shared" si="191"/>
        <v>8137.4000000000005</v>
      </c>
    </row>
    <row r="1392" spans="1:19" x14ac:dyDescent="0.25">
      <c r="A1392">
        <v>1522</v>
      </c>
      <c r="B1392">
        <v>1363</v>
      </c>
      <c r="C1392" t="s">
        <v>35</v>
      </c>
      <c r="D1392" t="s">
        <v>173</v>
      </c>
      <c r="E1392">
        <v>16</v>
      </c>
      <c r="F1392">
        <v>15.27</v>
      </c>
      <c r="G1392">
        <v>2.87</v>
      </c>
      <c r="H1392">
        <v>36.17</v>
      </c>
      <c r="I1392">
        <v>0.82</v>
      </c>
      <c r="J1392">
        <v>92.88</v>
      </c>
      <c r="K1392">
        <f t="shared" si="192"/>
        <v>1486.08</v>
      </c>
      <c r="L1392">
        <f t="shared" si="198"/>
        <v>1486.08</v>
      </c>
      <c r="M1392">
        <f t="shared" si="190"/>
        <v>701.19839999999999</v>
      </c>
      <c r="N1392">
        <f t="shared" si="193"/>
        <v>175.2996</v>
      </c>
      <c r="O1392">
        <f t="shared" si="194"/>
        <v>701.19839999999999</v>
      </c>
      <c r="P1392">
        <f t="shared" si="195"/>
        <v>175.2996</v>
      </c>
      <c r="Q1392">
        <f t="shared" si="196"/>
        <v>178.87571183999998</v>
      </c>
      <c r="R1392">
        <f t="shared" si="197"/>
        <v>474.55039999999997</v>
      </c>
      <c r="S1392">
        <f t="shared" si="191"/>
        <v>1486.08</v>
      </c>
    </row>
    <row r="1393" spans="1:19" x14ac:dyDescent="0.25">
      <c r="A1393">
        <v>1523</v>
      </c>
      <c r="B1393">
        <v>1363</v>
      </c>
      <c r="C1393" t="s">
        <v>35</v>
      </c>
      <c r="D1393" t="s">
        <v>173</v>
      </c>
      <c r="E1393">
        <v>23</v>
      </c>
      <c r="F1393">
        <v>13.71</v>
      </c>
      <c r="G1393">
        <v>2.83</v>
      </c>
      <c r="H1393">
        <v>27.33</v>
      </c>
      <c r="I1393">
        <v>0.82</v>
      </c>
      <c r="J1393">
        <v>78</v>
      </c>
      <c r="K1393">
        <f t="shared" si="192"/>
        <v>1794</v>
      </c>
      <c r="L1393">
        <f t="shared" si="198"/>
        <v>1794</v>
      </c>
      <c r="M1393">
        <f t="shared" si="190"/>
        <v>892.38390000000015</v>
      </c>
      <c r="N1393">
        <f t="shared" si="193"/>
        <v>223.09597500000004</v>
      </c>
      <c r="O1393">
        <f t="shared" si="194"/>
        <v>892.38390000000015</v>
      </c>
      <c r="P1393">
        <f t="shared" si="195"/>
        <v>223.09597500000004</v>
      </c>
      <c r="Q1393">
        <f t="shared" si="196"/>
        <v>227.64713289000002</v>
      </c>
      <c r="R1393">
        <f t="shared" si="197"/>
        <v>515.4437999999999</v>
      </c>
      <c r="S1393">
        <f t="shared" si="191"/>
        <v>1794</v>
      </c>
    </row>
    <row r="1394" spans="1:19" x14ac:dyDescent="0.25">
      <c r="A1394">
        <v>1524</v>
      </c>
      <c r="B1394">
        <v>1363</v>
      </c>
      <c r="C1394" t="s">
        <v>35</v>
      </c>
      <c r="D1394" t="s">
        <v>172</v>
      </c>
      <c r="E1394">
        <v>16</v>
      </c>
      <c r="F1394">
        <v>19.2</v>
      </c>
      <c r="G1394">
        <v>11.64</v>
      </c>
      <c r="H1394">
        <v>29.83</v>
      </c>
      <c r="I1394">
        <v>1.04</v>
      </c>
      <c r="J1394">
        <v>369.36</v>
      </c>
      <c r="K1394">
        <f t="shared" si="192"/>
        <v>5909.76</v>
      </c>
      <c r="L1394">
        <f t="shared" si="198"/>
        <v>0</v>
      </c>
      <c r="M1394">
        <f t="shared" si="190"/>
        <v>0</v>
      </c>
      <c r="N1394">
        <f t="shared" si="193"/>
        <v>0</v>
      </c>
      <c r="O1394">
        <f t="shared" si="194"/>
        <v>3575.808</v>
      </c>
      <c r="P1394">
        <f t="shared" si="195"/>
        <v>893.952</v>
      </c>
      <c r="Q1394">
        <f t="shared" si="196"/>
        <v>912.18862079999997</v>
      </c>
      <c r="R1394">
        <f t="shared" si="197"/>
        <v>496.37119999999999</v>
      </c>
      <c r="S1394">
        <f t="shared" si="191"/>
        <v>5909.76</v>
      </c>
    </row>
    <row r="1395" spans="1:19" x14ac:dyDescent="0.25">
      <c r="A1395">
        <v>1525</v>
      </c>
      <c r="B1395">
        <v>1363</v>
      </c>
      <c r="C1395" t="s">
        <v>35</v>
      </c>
      <c r="D1395" t="s">
        <v>173</v>
      </c>
      <c r="E1395">
        <v>15</v>
      </c>
      <c r="F1395">
        <v>13.43</v>
      </c>
      <c r="G1395">
        <v>3.13</v>
      </c>
      <c r="H1395">
        <v>30.26</v>
      </c>
      <c r="I1395">
        <v>0.82</v>
      </c>
      <c r="J1395">
        <v>85.09</v>
      </c>
      <c r="K1395">
        <f t="shared" si="192"/>
        <v>1276.3500000000001</v>
      </c>
      <c r="L1395">
        <f t="shared" si="198"/>
        <v>1276.3500000000001</v>
      </c>
      <c r="M1395">
        <f t="shared" si="190"/>
        <v>630.53849999999989</v>
      </c>
      <c r="N1395">
        <f t="shared" si="193"/>
        <v>157.63462499999997</v>
      </c>
      <c r="O1395">
        <f t="shared" si="194"/>
        <v>630.53849999999989</v>
      </c>
      <c r="P1395">
        <f t="shared" si="195"/>
        <v>157.63462499999997</v>
      </c>
      <c r="Q1395">
        <f t="shared" si="196"/>
        <v>160.85037134999996</v>
      </c>
      <c r="R1395">
        <f t="shared" si="197"/>
        <v>372.19799999999998</v>
      </c>
      <c r="S1395">
        <f t="shared" si="191"/>
        <v>1276.3500000000001</v>
      </c>
    </row>
    <row r="1396" spans="1:19" x14ac:dyDescent="0.25">
      <c r="A1396">
        <v>1526</v>
      </c>
      <c r="B1396">
        <v>1363</v>
      </c>
      <c r="C1396" t="s">
        <v>35</v>
      </c>
      <c r="D1396" t="s">
        <v>173</v>
      </c>
      <c r="E1396">
        <v>13</v>
      </c>
      <c r="F1396">
        <v>15.25</v>
      </c>
      <c r="G1396">
        <v>2.78</v>
      </c>
      <c r="H1396">
        <v>27.64</v>
      </c>
      <c r="I1396">
        <v>0.81</v>
      </c>
      <c r="J1396">
        <v>82.92</v>
      </c>
      <c r="K1396">
        <f t="shared" si="192"/>
        <v>1077.96</v>
      </c>
      <c r="L1396">
        <f t="shared" si="198"/>
        <v>1077.96</v>
      </c>
      <c r="M1396">
        <f t="shared" si="190"/>
        <v>551.13499999999999</v>
      </c>
      <c r="N1396">
        <f t="shared" si="193"/>
        <v>137.78375</v>
      </c>
      <c r="O1396">
        <f t="shared" si="194"/>
        <v>551.13499999999999</v>
      </c>
      <c r="P1396">
        <f t="shared" si="195"/>
        <v>137.78375</v>
      </c>
      <c r="Q1396">
        <f t="shared" si="196"/>
        <v>140.5945385</v>
      </c>
      <c r="R1396">
        <f t="shared" si="197"/>
        <v>291.04920000000004</v>
      </c>
      <c r="S1396">
        <f t="shared" si="191"/>
        <v>1077.96</v>
      </c>
    </row>
    <row r="1397" spans="1:19" x14ac:dyDescent="0.25">
      <c r="A1397">
        <v>1527</v>
      </c>
      <c r="B1397">
        <v>1363</v>
      </c>
      <c r="C1397" t="s">
        <v>35</v>
      </c>
      <c r="D1397" t="s">
        <v>173</v>
      </c>
      <c r="E1397">
        <v>23</v>
      </c>
      <c r="F1397">
        <v>14.84</v>
      </c>
      <c r="G1397">
        <v>2.5299999999999998</v>
      </c>
      <c r="H1397">
        <v>29.08</v>
      </c>
      <c r="I1397">
        <v>0.82</v>
      </c>
      <c r="J1397">
        <v>77.849999999999994</v>
      </c>
      <c r="K1397">
        <f t="shared" si="192"/>
        <v>1790.55</v>
      </c>
      <c r="L1397">
        <f t="shared" si="198"/>
        <v>1790.55</v>
      </c>
      <c r="M1397">
        <f t="shared" si="190"/>
        <v>863.53959999999995</v>
      </c>
      <c r="N1397">
        <f t="shared" si="193"/>
        <v>215.88489999999999</v>
      </c>
      <c r="O1397">
        <f t="shared" si="194"/>
        <v>863.53959999999995</v>
      </c>
      <c r="P1397">
        <f t="shared" si="195"/>
        <v>215.88489999999999</v>
      </c>
      <c r="Q1397">
        <f t="shared" si="196"/>
        <v>220.28895195999999</v>
      </c>
      <c r="R1397">
        <f t="shared" si="197"/>
        <v>548.44880000000001</v>
      </c>
      <c r="S1397">
        <f t="shared" si="191"/>
        <v>1790.55</v>
      </c>
    </row>
    <row r="1398" spans="1:19" x14ac:dyDescent="0.25">
      <c r="A1398">
        <v>1528</v>
      </c>
      <c r="B1398">
        <v>1363</v>
      </c>
      <c r="C1398" t="s">
        <v>35</v>
      </c>
      <c r="D1398" t="s">
        <v>172</v>
      </c>
      <c r="E1398">
        <v>45</v>
      </c>
      <c r="F1398">
        <v>17.63</v>
      </c>
      <c r="G1398">
        <v>11.08</v>
      </c>
      <c r="H1398">
        <v>31.25</v>
      </c>
      <c r="I1398">
        <v>1.01</v>
      </c>
      <c r="J1398">
        <v>265.26</v>
      </c>
      <c r="K1398">
        <f t="shared" si="192"/>
        <v>11936.699999999999</v>
      </c>
      <c r="L1398">
        <f t="shared" si="198"/>
        <v>0</v>
      </c>
      <c r="M1398">
        <f t="shared" si="190"/>
        <v>0</v>
      </c>
      <c r="N1398">
        <f t="shared" si="193"/>
        <v>0</v>
      </c>
      <c r="O1398">
        <f t="shared" si="194"/>
        <v>8790.3179999999993</v>
      </c>
      <c r="P1398">
        <f t="shared" si="195"/>
        <v>2197.5794999999998</v>
      </c>
      <c r="Q1398">
        <f t="shared" si="196"/>
        <v>2242.4101217999996</v>
      </c>
      <c r="R1398">
        <f t="shared" si="197"/>
        <v>1420.3125</v>
      </c>
      <c r="S1398">
        <f t="shared" si="191"/>
        <v>11936.699999999999</v>
      </c>
    </row>
    <row r="1399" spans="1:19" x14ac:dyDescent="0.25">
      <c r="A1399">
        <v>1529</v>
      </c>
      <c r="B1399">
        <v>1363</v>
      </c>
      <c r="C1399" t="s">
        <v>35</v>
      </c>
      <c r="D1399" t="s">
        <v>173</v>
      </c>
      <c r="E1399">
        <v>12</v>
      </c>
      <c r="F1399">
        <v>12.99</v>
      </c>
      <c r="G1399">
        <v>2.78</v>
      </c>
      <c r="H1399">
        <v>32.93</v>
      </c>
      <c r="I1399">
        <v>0.81</v>
      </c>
      <c r="J1399">
        <v>70.38</v>
      </c>
      <c r="K1399">
        <f t="shared" si="192"/>
        <v>844.56</v>
      </c>
      <c r="L1399">
        <f t="shared" si="198"/>
        <v>844.56</v>
      </c>
      <c r="M1399">
        <f t="shared" si="190"/>
        <v>433.34640000000002</v>
      </c>
      <c r="N1399">
        <f t="shared" si="193"/>
        <v>108.3366</v>
      </c>
      <c r="O1399">
        <f t="shared" si="194"/>
        <v>433.34640000000002</v>
      </c>
      <c r="P1399">
        <f t="shared" si="195"/>
        <v>108.3366</v>
      </c>
      <c r="Q1399">
        <f t="shared" si="196"/>
        <v>110.54666664</v>
      </c>
      <c r="R1399">
        <f t="shared" si="197"/>
        <v>320.07960000000003</v>
      </c>
      <c r="S1399">
        <f t="shared" si="191"/>
        <v>844.56</v>
      </c>
    </row>
    <row r="1400" spans="1:19" x14ac:dyDescent="0.25">
      <c r="A1400">
        <v>1530</v>
      </c>
      <c r="B1400">
        <v>1363</v>
      </c>
      <c r="C1400" t="s">
        <v>35</v>
      </c>
      <c r="D1400" t="s">
        <v>172</v>
      </c>
      <c r="E1400">
        <v>25</v>
      </c>
      <c r="F1400">
        <v>20.09</v>
      </c>
      <c r="G1400">
        <v>10.3</v>
      </c>
      <c r="H1400">
        <v>27.2</v>
      </c>
      <c r="I1400">
        <v>1.07</v>
      </c>
      <c r="J1400">
        <v>342.44</v>
      </c>
      <c r="K1400">
        <f t="shared" si="192"/>
        <v>8561</v>
      </c>
      <c r="L1400">
        <f t="shared" si="198"/>
        <v>0</v>
      </c>
      <c r="M1400">
        <f t="shared" si="190"/>
        <v>0</v>
      </c>
      <c r="N1400">
        <f t="shared" si="193"/>
        <v>0</v>
      </c>
      <c r="O1400">
        <f t="shared" si="194"/>
        <v>5173.1750000000002</v>
      </c>
      <c r="P1400">
        <f t="shared" si="195"/>
        <v>1293.29375</v>
      </c>
      <c r="Q1400">
        <f t="shared" si="196"/>
        <v>1319.6769425</v>
      </c>
      <c r="R1400">
        <f t="shared" si="197"/>
        <v>727.6</v>
      </c>
      <c r="S1400">
        <f t="shared" si="191"/>
        <v>8561</v>
      </c>
    </row>
    <row r="1401" spans="1:19" x14ac:dyDescent="0.25">
      <c r="A1401">
        <v>1531</v>
      </c>
      <c r="B1401">
        <v>1363</v>
      </c>
      <c r="C1401" t="s">
        <v>35</v>
      </c>
      <c r="D1401" t="s">
        <v>172</v>
      </c>
      <c r="E1401">
        <v>17</v>
      </c>
      <c r="F1401">
        <v>19.71</v>
      </c>
      <c r="G1401">
        <v>11.74</v>
      </c>
      <c r="H1401">
        <v>32.96</v>
      </c>
      <c r="I1401">
        <v>1.06</v>
      </c>
      <c r="J1401">
        <v>385.78</v>
      </c>
      <c r="K1401">
        <f t="shared" si="192"/>
        <v>6558.2599999999993</v>
      </c>
      <c r="L1401">
        <f t="shared" si="198"/>
        <v>0</v>
      </c>
      <c r="M1401">
        <f t="shared" si="190"/>
        <v>0</v>
      </c>
      <c r="N1401">
        <f t="shared" si="193"/>
        <v>0</v>
      </c>
      <c r="O1401">
        <f t="shared" si="194"/>
        <v>3933.7218000000003</v>
      </c>
      <c r="P1401">
        <f t="shared" si="195"/>
        <v>983.43045000000006</v>
      </c>
      <c r="Q1401">
        <f t="shared" si="196"/>
        <v>1003.49243118</v>
      </c>
      <c r="R1401">
        <f t="shared" si="197"/>
        <v>593.93920000000003</v>
      </c>
      <c r="S1401">
        <f t="shared" si="191"/>
        <v>6558.2599999999993</v>
      </c>
    </row>
    <row r="1402" spans="1:19" x14ac:dyDescent="0.25">
      <c r="A1402">
        <v>1532</v>
      </c>
      <c r="B1402">
        <v>1363</v>
      </c>
      <c r="C1402" t="s">
        <v>35</v>
      </c>
      <c r="D1402" t="s">
        <v>172</v>
      </c>
      <c r="E1402">
        <v>11</v>
      </c>
      <c r="F1402">
        <v>20.74</v>
      </c>
      <c r="G1402">
        <v>10.29</v>
      </c>
      <c r="H1402">
        <v>31.24</v>
      </c>
      <c r="I1402">
        <v>1.01</v>
      </c>
      <c r="J1402">
        <v>355</v>
      </c>
      <c r="K1402">
        <f t="shared" si="192"/>
        <v>3905</v>
      </c>
      <c r="L1402">
        <f t="shared" si="198"/>
        <v>0</v>
      </c>
      <c r="M1402">
        <f t="shared" si="190"/>
        <v>0</v>
      </c>
      <c r="N1402">
        <f t="shared" si="193"/>
        <v>0</v>
      </c>
      <c r="O1402">
        <f t="shared" si="194"/>
        <v>2347.5605999999998</v>
      </c>
      <c r="P1402">
        <f t="shared" si="195"/>
        <v>586.89014999999995</v>
      </c>
      <c r="Q1402">
        <f t="shared" si="196"/>
        <v>598.86270905999993</v>
      </c>
      <c r="R1402">
        <f t="shared" si="197"/>
        <v>347.07639999999998</v>
      </c>
      <c r="S1402">
        <f t="shared" si="191"/>
        <v>3905</v>
      </c>
    </row>
    <row r="1403" spans="1:19" x14ac:dyDescent="0.25">
      <c r="A1403">
        <v>1533</v>
      </c>
      <c r="B1403">
        <v>1363</v>
      </c>
      <c r="C1403" t="s">
        <v>35</v>
      </c>
      <c r="D1403" t="s">
        <v>173</v>
      </c>
      <c r="E1403">
        <v>15</v>
      </c>
      <c r="F1403">
        <v>15.08</v>
      </c>
      <c r="G1403">
        <v>3.38</v>
      </c>
      <c r="H1403">
        <v>30.12</v>
      </c>
      <c r="I1403">
        <v>0.76</v>
      </c>
      <c r="J1403">
        <v>95.27</v>
      </c>
      <c r="K1403">
        <f t="shared" si="192"/>
        <v>1429.05</v>
      </c>
      <c r="L1403">
        <f t="shared" si="198"/>
        <v>1429.05</v>
      </c>
      <c r="M1403">
        <f t="shared" si="190"/>
        <v>764.55599999999993</v>
      </c>
      <c r="N1403">
        <f t="shared" si="193"/>
        <v>191.13899999999998</v>
      </c>
      <c r="O1403">
        <f t="shared" si="194"/>
        <v>764.55599999999993</v>
      </c>
      <c r="P1403">
        <f t="shared" si="195"/>
        <v>191.13899999999998</v>
      </c>
      <c r="Q1403">
        <f t="shared" si="196"/>
        <v>195.03823559999998</v>
      </c>
      <c r="R1403">
        <f t="shared" si="197"/>
        <v>343.36799999999999</v>
      </c>
      <c r="S1403">
        <f t="shared" si="191"/>
        <v>1429.05</v>
      </c>
    </row>
    <row r="1404" spans="1:19" x14ac:dyDescent="0.25">
      <c r="A1404">
        <v>1534</v>
      </c>
      <c r="B1404">
        <v>1363</v>
      </c>
      <c r="C1404" t="s">
        <v>35</v>
      </c>
      <c r="D1404" t="s">
        <v>173</v>
      </c>
      <c r="E1404">
        <v>12</v>
      </c>
      <c r="F1404">
        <v>15.07</v>
      </c>
      <c r="G1404">
        <v>2.5299999999999998</v>
      </c>
      <c r="H1404">
        <v>28.26</v>
      </c>
      <c r="I1404">
        <v>0.81</v>
      </c>
      <c r="J1404">
        <v>77.599999999999994</v>
      </c>
      <c r="K1404">
        <f t="shared" si="192"/>
        <v>931.19999999999993</v>
      </c>
      <c r="L1404">
        <f t="shared" si="198"/>
        <v>931.19999999999993</v>
      </c>
      <c r="M1404">
        <f t="shared" si="190"/>
        <v>457.52519999999998</v>
      </c>
      <c r="N1404">
        <f t="shared" si="193"/>
        <v>114.3813</v>
      </c>
      <c r="O1404">
        <f t="shared" si="194"/>
        <v>457.52519999999998</v>
      </c>
      <c r="P1404">
        <f t="shared" si="195"/>
        <v>114.3813</v>
      </c>
      <c r="Q1404">
        <f t="shared" si="196"/>
        <v>116.71467851999999</v>
      </c>
      <c r="R1404">
        <f t="shared" si="197"/>
        <v>274.68720000000002</v>
      </c>
      <c r="S1404">
        <f t="shared" si="191"/>
        <v>931.19999999999993</v>
      </c>
    </row>
    <row r="1405" spans="1:19" x14ac:dyDescent="0.25">
      <c r="A1405">
        <v>1535</v>
      </c>
      <c r="B1405">
        <v>1363</v>
      </c>
      <c r="C1405" t="s">
        <v>35</v>
      </c>
      <c r="D1405" t="s">
        <v>172</v>
      </c>
      <c r="E1405">
        <v>12</v>
      </c>
      <c r="F1405">
        <v>17.98</v>
      </c>
      <c r="G1405">
        <v>12.09</v>
      </c>
      <c r="H1405">
        <v>31.46</v>
      </c>
      <c r="I1405">
        <v>0.94</v>
      </c>
      <c r="J1405">
        <v>358.54</v>
      </c>
      <c r="K1405">
        <f t="shared" si="192"/>
        <v>4302.4800000000005</v>
      </c>
      <c r="L1405">
        <f t="shared" si="198"/>
        <v>0</v>
      </c>
      <c r="M1405">
        <f t="shared" si="190"/>
        <v>0</v>
      </c>
      <c r="N1405">
        <f t="shared" si="193"/>
        <v>0</v>
      </c>
      <c r="O1405">
        <f t="shared" si="194"/>
        <v>2608.5383999999999</v>
      </c>
      <c r="P1405">
        <f t="shared" si="195"/>
        <v>652.13459999999998</v>
      </c>
      <c r="Q1405">
        <f t="shared" si="196"/>
        <v>665.43814583999995</v>
      </c>
      <c r="R1405">
        <f t="shared" si="197"/>
        <v>354.86879999999996</v>
      </c>
      <c r="S1405">
        <f t="shared" si="191"/>
        <v>4302.4800000000005</v>
      </c>
    </row>
    <row r="1406" spans="1:19" x14ac:dyDescent="0.25">
      <c r="A1406">
        <v>1536</v>
      </c>
      <c r="B1406">
        <v>1363</v>
      </c>
      <c r="C1406" t="s">
        <v>35</v>
      </c>
      <c r="D1406" t="s">
        <v>172</v>
      </c>
      <c r="E1406">
        <v>11</v>
      </c>
      <c r="F1406">
        <v>20.86</v>
      </c>
      <c r="G1406">
        <v>10.94</v>
      </c>
      <c r="H1406">
        <v>31.71</v>
      </c>
      <c r="I1406">
        <v>0.93</v>
      </c>
      <c r="J1406">
        <v>374.55</v>
      </c>
      <c r="K1406">
        <f t="shared" si="192"/>
        <v>4120.05</v>
      </c>
      <c r="L1406">
        <f t="shared" si="198"/>
        <v>0</v>
      </c>
      <c r="M1406">
        <f t="shared" si="190"/>
        <v>0</v>
      </c>
      <c r="N1406">
        <f t="shared" si="193"/>
        <v>0</v>
      </c>
      <c r="O1406">
        <f t="shared" si="194"/>
        <v>2510.2923999999998</v>
      </c>
      <c r="P1406">
        <f t="shared" si="195"/>
        <v>627.57309999999995</v>
      </c>
      <c r="Q1406">
        <f t="shared" si="196"/>
        <v>640.37559123999995</v>
      </c>
      <c r="R1406">
        <f t="shared" si="197"/>
        <v>324.39330000000001</v>
      </c>
      <c r="S1406">
        <f t="shared" si="191"/>
        <v>4120.05</v>
      </c>
    </row>
    <row r="1407" spans="1:19" x14ac:dyDescent="0.25">
      <c r="A1407">
        <v>1537</v>
      </c>
      <c r="B1407">
        <v>1363</v>
      </c>
      <c r="C1407" t="s">
        <v>35</v>
      </c>
      <c r="D1407" t="s">
        <v>172</v>
      </c>
      <c r="E1407">
        <v>74</v>
      </c>
      <c r="F1407">
        <v>18.7</v>
      </c>
      <c r="G1407">
        <v>10.25</v>
      </c>
      <c r="H1407">
        <v>28.17</v>
      </c>
      <c r="I1407">
        <v>0.89</v>
      </c>
      <c r="J1407">
        <v>314.95</v>
      </c>
      <c r="K1407">
        <f t="shared" si="192"/>
        <v>23306.3</v>
      </c>
      <c r="L1407">
        <f t="shared" si="198"/>
        <v>0</v>
      </c>
      <c r="M1407">
        <f t="shared" si="190"/>
        <v>0</v>
      </c>
      <c r="N1407">
        <f t="shared" si="193"/>
        <v>0</v>
      </c>
      <c r="O1407">
        <f t="shared" si="194"/>
        <v>14183.949999999999</v>
      </c>
      <c r="P1407">
        <f t="shared" si="195"/>
        <v>3545.9874999999997</v>
      </c>
      <c r="Q1407">
        <f t="shared" si="196"/>
        <v>3618.3256449999994</v>
      </c>
      <c r="R1407">
        <f t="shared" si="197"/>
        <v>1855.2762</v>
      </c>
      <c r="S1407">
        <f t="shared" si="191"/>
        <v>23306.3</v>
      </c>
    </row>
    <row r="1408" spans="1:19" x14ac:dyDescent="0.25">
      <c r="A1408">
        <v>1538</v>
      </c>
      <c r="B1408">
        <v>1363</v>
      </c>
      <c r="C1408" t="s">
        <v>35</v>
      </c>
      <c r="D1408" t="s">
        <v>173</v>
      </c>
      <c r="E1408">
        <v>10</v>
      </c>
      <c r="F1408">
        <v>14.08</v>
      </c>
      <c r="G1408">
        <v>2.77</v>
      </c>
      <c r="H1408">
        <v>32.5</v>
      </c>
      <c r="I1408">
        <v>0.83</v>
      </c>
      <c r="J1408">
        <v>83.3</v>
      </c>
      <c r="K1408">
        <f t="shared" si="192"/>
        <v>833</v>
      </c>
      <c r="L1408">
        <f t="shared" si="198"/>
        <v>833</v>
      </c>
      <c r="M1408">
        <f t="shared" si="190"/>
        <v>390.01600000000002</v>
      </c>
      <c r="N1408">
        <f t="shared" si="193"/>
        <v>97.504000000000005</v>
      </c>
      <c r="O1408">
        <f t="shared" si="194"/>
        <v>390.01600000000002</v>
      </c>
      <c r="P1408">
        <f t="shared" si="195"/>
        <v>97.504000000000005</v>
      </c>
      <c r="Q1408">
        <f t="shared" si="196"/>
        <v>99.493081599999996</v>
      </c>
      <c r="R1408">
        <f t="shared" si="197"/>
        <v>269.74999999999994</v>
      </c>
      <c r="S1408">
        <f t="shared" si="191"/>
        <v>833</v>
      </c>
    </row>
    <row r="1409" spans="1:19" x14ac:dyDescent="0.25">
      <c r="A1409">
        <v>1539</v>
      </c>
      <c r="B1409">
        <v>1363</v>
      </c>
      <c r="C1409" t="s">
        <v>35</v>
      </c>
      <c r="D1409" t="s">
        <v>172</v>
      </c>
      <c r="E1409">
        <v>9</v>
      </c>
      <c r="F1409">
        <v>20.93</v>
      </c>
      <c r="G1409">
        <v>10.65</v>
      </c>
      <c r="H1409">
        <v>29.37</v>
      </c>
      <c r="I1409">
        <v>1.07</v>
      </c>
      <c r="J1409">
        <v>368.97</v>
      </c>
      <c r="K1409">
        <f t="shared" si="192"/>
        <v>3320.7300000000005</v>
      </c>
      <c r="L1409">
        <f t="shared" si="198"/>
        <v>0</v>
      </c>
      <c r="M1409">
        <f t="shared" si="190"/>
        <v>0</v>
      </c>
      <c r="N1409">
        <f t="shared" si="193"/>
        <v>0</v>
      </c>
      <c r="O1409">
        <f t="shared" si="194"/>
        <v>2006.1405000000002</v>
      </c>
      <c r="P1409">
        <f t="shared" si="195"/>
        <v>501.53512500000005</v>
      </c>
      <c r="Q1409">
        <f t="shared" si="196"/>
        <v>511.76644155000002</v>
      </c>
      <c r="R1409">
        <f t="shared" si="197"/>
        <v>282.83310000000006</v>
      </c>
      <c r="S1409">
        <f t="shared" si="191"/>
        <v>3320.7300000000005</v>
      </c>
    </row>
    <row r="1410" spans="1:19" x14ac:dyDescent="0.25">
      <c r="A1410">
        <v>1540</v>
      </c>
      <c r="B1410">
        <v>1363</v>
      </c>
      <c r="C1410" t="s">
        <v>35</v>
      </c>
      <c r="D1410" t="s">
        <v>172</v>
      </c>
      <c r="E1410">
        <v>25</v>
      </c>
      <c r="F1410">
        <v>20.440000000000001</v>
      </c>
      <c r="G1410">
        <v>10.67</v>
      </c>
      <c r="H1410">
        <v>29.74</v>
      </c>
      <c r="I1410">
        <v>1.06</v>
      </c>
      <c r="J1410">
        <v>361.93</v>
      </c>
      <c r="K1410">
        <f t="shared" si="192"/>
        <v>9048.25</v>
      </c>
      <c r="L1410">
        <f t="shared" si="198"/>
        <v>0</v>
      </c>
      <c r="M1410">
        <f t="shared" ref="M1410:M1473" si="199">IF(D1410="SHOES",O1410,0)</f>
        <v>0</v>
      </c>
      <c r="N1410">
        <f t="shared" si="193"/>
        <v>0</v>
      </c>
      <c r="O1410">
        <f t="shared" si="194"/>
        <v>5452.37</v>
      </c>
      <c r="P1410">
        <f t="shared" si="195"/>
        <v>1363.0925</v>
      </c>
      <c r="Q1410">
        <f t="shared" si="196"/>
        <v>1390.8995869999999</v>
      </c>
      <c r="R1410">
        <f t="shared" si="197"/>
        <v>788.11</v>
      </c>
      <c r="S1410">
        <f t="shared" ref="S1410:S1473" si="200">PRODUCT(J1410,E1410)</f>
        <v>9048.25</v>
      </c>
    </row>
    <row r="1411" spans="1:19" x14ac:dyDescent="0.25">
      <c r="A1411">
        <v>1541</v>
      </c>
      <c r="B1411">
        <v>1363</v>
      </c>
      <c r="C1411" t="s">
        <v>35</v>
      </c>
      <c r="D1411" t="s">
        <v>172</v>
      </c>
      <c r="E1411">
        <v>10</v>
      </c>
      <c r="F1411">
        <v>20.43</v>
      </c>
      <c r="G1411">
        <v>10.16</v>
      </c>
      <c r="H1411">
        <v>30.3</v>
      </c>
      <c r="I1411">
        <v>0.95</v>
      </c>
      <c r="J1411">
        <v>277.29000000000002</v>
      </c>
      <c r="K1411">
        <f t="shared" ref="K1411:K1474" si="201">E1411*J1411</f>
        <v>2772.9</v>
      </c>
      <c r="L1411">
        <f t="shared" si="198"/>
        <v>0</v>
      </c>
      <c r="M1411">
        <f t="shared" si="199"/>
        <v>0</v>
      </c>
      <c r="N1411">
        <f t="shared" ref="N1411:N1474" si="202">IF(D1411="SHOES",P1411,0)</f>
        <v>0</v>
      </c>
      <c r="O1411">
        <f t="shared" ref="O1411:O1474" si="203">PRODUCT(E1411,G1411,F1411)</f>
        <v>2075.6879999999996</v>
      </c>
      <c r="P1411">
        <f t="shared" ref="P1411:P1474" si="204">PRODUCT(O1411,0.25)</f>
        <v>518.92199999999991</v>
      </c>
      <c r="Q1411">
        <f t="shared" ref="Q1411:Q1474" si="205">PRODUCT(O1411,0.2551)</f>
        <v>529.50800879999986</v>
      </c>
      <c r="R1411">
        <f t="shared" si="197"/>
        <v>287.85000000000002</v>
      </c>
      <c r="S1411">
        <f t="shared" si="200"/>
        <v>2772.9</v>
      </c>
    </row>
    <row r="1412" spans="1:19" x14ac:dyDescent="0.25">
      <c r="A1412">
        <v>1542</v>
      </c>
      <c r="B1412">
        <v>1363</v>
      </c>
      <c r="C1412" t="s">
        <v>35</v>
      </c>
      <c r="D1412" t="s">
        <v>172</v>
      </c>
      <c r="E1412">
        <v>23</v>
      </c>
      <c r="F1412">
        <v>20.170000000000002</v>
      </c>
      <c r="G1412">
        <v>10.9</v>
      </c>
      <c r="H1412">
        <v>30.21</v>
      </c>
      <c r="I1412">
        <v>1.1100000000000001</v>
      </c>
      <c r="J1412">
        <v>366.94</v>
      </c>
      <c r="K1412">
        <f t="shared" si="201"/>
        <v>8439.6200000000008</v>
      </c>
      <c r="L1412">
        <f t="shared" si="198"/>
        <v>0</v>
      </c>
      <c r="M1412">
        <f t="shared" si="199"/>
        <v>0</v>
      </c>
      <c r="N1412">
        <f t="shared" si="202"/>
        <v>0</v>
      </c>
      <c r="O1412">
        <f t="shared" si="203"/>
        <v>5056.6190000000006</v>
      </c>
      <c r="P1412">
        <f t="shared" si="204"/>
        <v>1264.1547500000001</v>
      </c>
      <c r="Q1412">
        <f t="shared" si="205"/>
        <v>1289.9435069000001</v>
      </c>
      <c r="R1412">
        <f t="shared" ref="R1412:R1475" si="206">PRODUCT(E1412,I1412,H1412)</f>
        <v>771.26130000000001</v>
      </c>
      <c r="S1412">
        <f t="shared" si="200"/>
        <v>8439.6200000000008</v>
      </c>
    </row>
    <row r="1413" spans="1:19" x14ac:dyDescent="0.25">
      <c r="A1413">
        <v>1543</v>
      </c>
      <c r="B1413">
        <v>1363</v>
      </c>
      <c r="C1413" t="s">
        <v>35</v>
      </c>
      <c r="D1413" t="s">
        <v>172</v>
      </c>
      <c r="E1413">
        <v>11</v>
      </c>
      <c r="F1413">
        <v>21.4</v>
      </c>
      <c r="G1413">
        <v>11.53</v>
      </c>
      <c r="H1413">
        <v>29.93</v>
      </c>
      <c r="I1413">
        <v>1.04</v>
      </c>
      <c r="J1413">
        <v>404.07</v>
      </c>
      <c r="K1413">
        <f t="shared" si="201"/>
        <v>4444.7699999999995</v>
      </c>
      <c r="L1413">
        <f t="shared" si="198"/>
        <v>0</v>
      </c>
      <c r="M1413">
        <f t="shared" si="199"/>
        <v>0</v>
      </c>
      <c r="N1413">
        <f t="shared" si="202"/>
        <v>0</v>
      </c>
      <c r="O1413">
        <f t="shared" si="203"/>
        <v>2714.1619999999998</v>
      </c>
      <c r="P1413">
        <f t="shared" si="204"/>
        <v>678.54049999999995</v>
      </c>
      <c r="Q1413">
        <f t="shared" si="205"/>
        <v>692.38272619999998</v>
      </c>
      <c r="R1413">
        <f t="shared" si="206"/>
        <v>342.39920000000001</v>
      </c>
      <c r="S1413">
        <f t="shared" si="200"/>
        <v>4444.7699999999995</v>
      </c>
    </row>
    <row r="1414" spans="1:19" x14ac:dyDescent="0.25">
      <c r="A1414">
        <v>1544</v>
      </c>
      <c r="B1414">
        <v>1363</v>
      </c>
      <c r="C1414" t="s">
        <v>35</v>
      </c>
      <c r="D1414" t="s">
        <v>172</v>
      </c>
      <c r="E1414">
        <v>12</v>
      </c>
      <c r="F1414">
        <v>20.61</v>
      </c>
      <c r="G1414">
        <v>10.79</v>
      </c>
      <c r="H1414">
        <v>28.98</v>
      </c>
      <c r="I1414">
        <v>1.17</v>
      </c>
      <c r="J1414">
        <v>371.14</v>
      </c>
      <c r="K1414">
        <f t="shared" si="201"/>
        <v>4453.68</v>
      </c>
      <c r="L1414">
        <f t="shared" si="198"/>
        <v>0</v>
      </c>
      <c r="M1414">
        <f t="shared" si="199"/>
        <v>0</v>
      </c>
      <c r="N1414">
        <f t="shared" si="202"/>
        <v>0</v>
      </c>
      <c r="O1414">
        <f t="shared" si="203"/>
        <v>2668.5827999999997</v>
      </c>
      <c r="P1414">
        <f t="shared" si="204"/>
        <v>667.14569999999992</v>
      </c>
      <c r="Q1414">
        <f t="shared" si="205"/>
        <v>680.75547227999994</v>
      </c>
      <c r="R1414">
        <f t="shared" si="206"/>
        <v>406.87919999999997</v>
      </c>
      <c r="S1414">
        <f t="shared" si="200"/>
        <v>4453.68</v>
      </c>
    </row>
    <row r="1415" spans="1:19" x14ac:dyDescent="0.25">
      <c r="A1415">
        <v>1545</v>
      </c>
      <c r="B1415">
        <v>1363</v>
      </c>
      <c r="C1415" t="s">
        <v>35</v>
      </c>
      <c r="D1415" t="s">
        <v>173</v>
      </c>
      <c r="E1415">
        <v>12</v>
      </c>
      <c r="F1415">
        <v>14.79</v>
      </c>
      <c r="G1415">
        <v>2.87</v>
      </c>
      <c r="H1415">
        <v>33.43</v>
      </c>
      <c r="I1415">
        <v>0.8</v>
      </c>
      <c r="J1415">
        <v>87.78</v>
      </c>
      <c r="K1415">
        <f t="shared" si="201"/>
        <v>1053.3600000000001</v>
      </c>
      <c r="L1415">
        <f t="shared" ref="L1415:L1478" si="207">IF(D1415="SHOES",E1415*J1415,0)</f>
        <v>1053.3600000000001</v>
      </c>
      <c r="M1415">
        <f t="shared" si="199"/>
        <v>509.36759999999992</v>
      </c>
      <c r="N1415">
        <f t="shared" si="202"/>
        <v>127.34189999999998</v>
      </c>
      <c r="O1415">
        <f t="shared" si="203"/>
        <v>509.36759999999992</v>
      </c>
      <c r="P1415">
        <f t="shared" si="204"/>
        <v>127.34189999999998</v>
      </c>
      <c r="Q1415">
        <f t="shared" si="205"/>
        <v>129.93967475999997</v>
      </c>
      <c r="R1415">
        <f t="shared" si="206"/>
        <v>320.92800000000005</v>
      </c>
      <c r="S1415">
        <f t="shared" si="200"/>
        <v>1053.3600000000001</v>
      </c>
    </row>
    <row r="1416" spans="1:19" x14ac:dyDescent="0.25">
      <c r="A1416">
        <v>1546</v>
      </c>
      <c r="B1416">
        <v>1363</v>
      </c>
      <c r="C1416" t="s">
        <v>35</v>
      </c>
      <c r="D1416" t="s">
        <v>172</v>
      </c>
      <c r="E1416">
        <v>19</v>
      </c>
      <c r="F1416">
        <v>19.87</v>
      </c>
      <c r="G1416">
        <v>11.31</v>
      </c>
      <c r="H1416">
        <v>34.56</v>
      </c>
      <c r="I1416">
        <v>0.98</v>
      </c>
      <c r="J1416">
        <v>374.59</v>
      </c>
      <c r="K1416">
        <f t="shared" si="201"/>
        <v>7117.2099999999991</v>
      </c>
      <c r="L1416">
        <f t="shared" si="207"/>
        <v>0</v>
      </c>
      <c r="M1416">
        <f t="shared" si="199"/>
        <v>0</v>
      </c>
      <c r="N1416">
        <f t="shared" si="202"/>
        <v>0</v>
      </c>
      <c r="O1416">
        <f t="shared" si="203"/>
        <v>4269.8643000000002</v>
      </c>
      <c r="P1416">
        <f t="shared" si="204"/>
        <v>1067.466075</v>
      </c>
      <c r="Q1416">
        <f t="shared" si="205"/>
        <v>1089.2423829300001</v>
      </c>
      <c r="R1416">
        <f t="shared" si="206"/>
        <v>643.50720000000013</v>
      </c>
      <c r="S1416">
        <f t="shared" si="200"/>
        <v>7117.2099999999991</v>
      </c>
    </row>
    <row r="1417" spans="1:19" x14ac:dyDescent="0.25">
      <c r="A1417">
        <v>1547</v>
      </c>
      <c r="B1417">
        <v>1363</v>
      </c>
      <c r="C1417" t="s">
        <v>35</v>
      </c>
      <c r="D1417" t="s">
        <v>173</v>
      </c>
      <c r="E1417">
        <v>16</v>
      </c>
      <c r="F1417">
        <v>15.88</v>
      </c>
      <c r="G1417">
        <v>2.56</v>
      </c>
      <c r="H1417">
        <v>30.57</v>
      </c>
      <c r="I1417">
        <v>0.79</v>
      </c>
      <c r="J1417">
        <v>82.46</v>
      </c>
      <c r="K1417">
        <f t="shared" si="201"/>
        <v>1319.36</v>
      </c>
      <c r="L1417">
        <f t="shared" si="207"/>
        <v>1319.36</v>
      </c>
      <c r="M1417">
        <f t="shared" si="199"/>
        <v>650.4448000000001</v>
      </c>
      <c r="N1417">
        <f t="shared" si="202"/>
        <v>162.61120000000003</v>
      </c>
      <c r="O1417">
        <f t="shared" si="203"/>
        <v>650.4448000000001</v>
      </c>
      <c r="P1417">
        <f t="shared" si="204"/>
        <v>162.61120000000003</v>
      </c>
      <c r="Q1417">
        <f t="shared" si="205"/>
        <v>165.92846848000002</v>
      </c>
      <c r="R1417">
        <f t="shared" si="206"/>
        <v>386.40480000000002</v>
      </c>
      <c r="S1417">
        <f t="shared" si="200"/>
        <v>1319.36</v>
      </c>
    </row>
    <row r="1418" spans="1:19" x14ac:dyDescent="0.25">
      <c r="A1418">
        <v>1548</v>
      </c>
      <c r="B1418">
        <v>1363</v>
      </c>
      <c r="C1418" t="s">
        <v>35</v>
      </c>
      <c r="D1418" t="s">
        <v>172</v>
      </c>
      <c r="E1418">
        <v>10</v>
      </c>
      <c r="F1418">
        <v>21.06</v>
      </c>
      <c r="G1418">
        <v>11.13</v>
      </c>
      <c r="H1418">
        <v>31.5</v>
      </c>
      <c r="I1418">
        <v>0.89</v>
      </c>
      <c r="J1418">
        <v>382.03</v>
      </c>
      <c r="K1418">
        <f t="shared" si="201"/>
        <v>3820.2999999999997</v>
      </c>
      <c r="L1418">
        <f t="shared" si="207"/>
        <v>0</v>
      </c>
      <c r="M1418">
        <f t="shared" si="199"/>
        <v>0</v>
      </c>
      <c r="N1418">
        <f t="shared" si="202"/>
        <v>0</v>
      </c>
      <c r="O1418">
        <f t="shared" si="203"/>
        <v>2343.9780000000001</v>
      </c>
      <c r="P1418">
        <f t="shared" si="204"/>
        <v>585.99450000000002</v>
      </c>
      <c r="Q1418">
        <f t="shared" si="205"/>
        <v>597.94878779999999</v>
      </c>
      <c r="R1418">
        <f t="shared" si="206"/>
        <v>280.35000000000002</v>
      </c>
      <c r="S1418">
        <f t="shared" si="200"/>
        <v>3820.2999999999997</v>
      </c>
    </row>
    <row r="1419" spans="1:19" x14ac:dyDescent="0.25">
      <c r="A1419">
        <v>1549</v>
      </c>
      <c r="B1419">
        <v>1363</v>
      </c>
      <c r="C1419" t="s">
        <v>35</v>
      </c>
      <c r="D1419" t="s">
        <v>172</v>
      </c>
      <c r="E1419">
        <v>15</v>
      </c>
      <c r="F1419">
        <v>17.68</v>
      </c>
      <c r="G1419">
        <v>10.98</v>
      </c>
      <c r="H1419">
        <v>32.159999999999997</v>
      </c>
      <c r="I1419">
        <v>1.05</v>
      </c>
      <c r="J1419">
        <v>328.95</v>
      </c>
      <c r="K1419">
        <f t="shared" si="201"/>
        <v>4934.25</v>
      </c>
      <c r="L1419">
        <f t="shared" si="207"/>
        <v>0</v>
      </c>
      <c r="M1419">
        <f t="shared" si="199"/>
        <v>0</v>
      </c>
      <c r="N1419">
        <f t="shared" si="202"/>
        <v>0</v>
      </c>
      <c r="O1419">
        <f t="shared" si="203"/>
        <v>2911.8960000000002</v>
      </c>
      <c r="P1419">
        <f t="shared" si="204"/>
        <v>727.97400000000005</v>
      </c>
      <c r="Q1419">
        <f t="shared" si="205"/>
        <v>742.82466959999999</v>
      </c>
      <c r="R1419">
        <f t="shared" si="206"/>
        <v>506.51999999999992</v>
      </c>
      <c r="S1419">
        <f t="shared" si="200"/>
        <v>4934.25</v>
      </c>
    </row>
    <row r="1420" spans="1:19" x14ac:dyDescent="0.25">
      <c r="A1420">
        <v>1550</v>
      </c>
      <c r="B1420">
        <v>1363</v>
      </c>
      <c r="C1420" t="s">
        <v>35</v>
      </c>
      <c r="D1420" t="s">
        <v>172</v>
      </c>
      <c r="E1420">
        <v>8</v>
      </c>
      <c r="F1420">
        <v>20.49</v>
      </c>
      <c r="G1420">
        <v>11.85</v>
      </c>
      <c r="H1420">
        <v>31.36</v>
      </c>
      <c r="I1420">
        <v>0.97</v>
      </c>
      <c r="J1420">
        <v>397.37</v>
      </c>
      <c r="K1420">
        <f t="shared" si="201"/>
        <v>3178.96</v>
      </c>
      <c r="L1420">
        <f t="shared" si="207"/>
        <v>0</v>
      </c>
      <c r="M1420">
        <f t="shared" si="199"/>
        <v>0</v>
      </c>
      <c r="N1420">
        <f t="shared" si="202"/>
        <v>0</v>
      </c>
      <c r="O1420">
        <f t="shared" si="203"/>
        <v>1942.4519999999998</v>
      </c>
      <c r="P1420">
        <f t="shared" si="204"/>
        <v>485.61299999999994</v>
      </c>
      <c r="Q1420">
        <f t="shared" si="205"/>
        <v>495.51950519999991</v>
      </c>
      <c r="R1420">
        <f t="shared" si="206"/>
        <v>243.3536</v>
      </c>
      <c r="S1420">
        <f t="shared" si="200"/>
        <v>3178.96</v>
      </c>
    </row>
    <row r="1421" spans="1:19" x14ac:dyDescent="0.25">
      <c r="A1421">
        <v>1551</v>
      </c>
      <c r="B1421">
        <v>1363</v>
      </c>
      <c r="C1421" t="s">
        <v>35</v>
      </c>
      <c r="D1421" t="s">
        <v>173</v>
      </c>
      <c r="E1421">
        <v>16</v>
      </c>
      <c r="F1421">
        <v>16.27</v>
      </c>
      <c r="G1421">
        <v>3.48</v>
      </c>
      <c r="H1421">
        <v>31.06</v>
      </c>
      <c r="I1421">
        <v>0.8</v>
      </c>
      <c r="J1421">
        <v>105.18</v>
      </c>
      <c r="K1421">
        <f t="shared" si="201"/>
        <v>1682.88</v>
      </c>
      <c r="L1421">
        <f t="shared" si="207"/>
        <v>1682.88</v>
      </c>
      <c r="M1421">
        <f t="shared" si="199"/>
        <v>905.91359999999997</v>
      </c>
      <c r="N1421">
        <f t="shared" si="202"/>
        <v>226.47839999999999</v>
      </c>
      <c r="O1421">
        <f t="shared" si="203"/>
        <v>905.91359999999997</v>
      </c>
      <c r="P1421">
        <f t="shared" si="204"/>
        <v>226.47839999999999</v>
      </c>
      <c r="Q1421">
        <f t="shared" si="205"/>
        <v>231.09855936</v>
      </c>
      <c r="R1421">
        <f t="shared" si="206"/>
        <v>397.56799999999998</v>
      </c>
      <c r="S1421">
        <f t="shared" si="200"/>
        <v>1682.88</v>
      </c>
    </row>
    <row r="1422" spans="1:19" x14ac:dyDescent="0.25">
      <c r="A1422">
        <v>1552</v>
      </c>
      <c r="B1422">
        <v>1363</v>
      </c>
      <c r="C1422" t="s">
        <v>35</v>
      </c>
      <c r="D1422" t="s">
        <v>172</v>
      </c>
      <c r="E1422">
        <v>14</v>
      </c>
      <c r="F1422">
        <v>18.809999999999999</v>
      </c>
      <c r="G1422">
        <v>11.37</v>
      </c>
      <c r="H1422">
        <v>30.95</v>
      </c>
      <c r="I1422">
        <v>1.03</v>
      </c>
      <c r="J1422">
        <v>356.07</v>
      </c>
      <c r="K1422">
        <f t="shared" si="201"/>
        <v>4984.9799999999996</v>
      </c>
      <c r="L1422">
        <f t="shared" si="207"/>
        <v>0</v>
      </c>
      <c r="M1422">
        <f t="shared" si="199"/>
        <v>0</v>
      </c>
      <c r="N1422">
        <f t="shared" si="202"/>
        <v>0</v>
      </c>
      <c r="O1422">
        <f t="shared" si="203"/>
        <v>2994.1757999999995</v>
      </c>
      <c r="P1422">
        <f t="shared" si="204"/>
        <v>748.54394999999988</v>
      </c>
      <c r="Q1422">
        <f t="shared" si="205"/>
        <v>763.8142465799998</v>
      </c>
      <c r="R1422">
        <f t="shared" si="206"/>
        <v>446.29899999999998</v>
      </c>
      <c r="S1422">
        <f t="shared" si="200"/>
        <v>4984.9799999999996</v>
      </c>
    </row>
    <row r="1423" spans="1:19" x14ac:dyDescent="0.25">
      <c r="A1423">
        <v>1553</v>
      </c>
      <c r="B1423">
        <v>1363</v>
      </c>
      <c r="C1423" t="s">
        <v>35</v>
      </c>
      <c r="D1423" t="s">
        <v>172</v>
      </c>
      <c r="E1423">
        <v>14</v>
      </c>
      <c r="F1423">
        <v>20.350000000000001</v>
      </c>
      <c r="G1423">
        <v>10.25</v>
      </c>
      <c r="H1423">
        <v>27.34</v>
      </c>
      <c r="I1423">
        <v>1.1200000000000001</v>
      </c>
      <c r="J1423">
        <v>346.71</v>
      </c>
      <c r="K1423">
        <f t="shared" si="201"/>
        <v>4853.9399999999996</v>
      </c>
      <c r="L1423">
        <f t="shared" si="207"/>
        <v>0</v>
      </c>
      <c r="M1423">
        <f t="shared" si="199"/>
        <v>0</v>
      </c>
      <c r="N1423">
        <f t="shared" si="202"/>
        <v>0</v>
      </c>
      <c r="O1423">
        <f t="shared" si="203"/>
        <v>2920.2250000000004</v>
      </c>
      <c r="P1423">
        <f t="shared" si="204"/>
        <v>730.05625000000009</v>
      </c>
      <c r="Q1423">
        <f t="shared" si="205"/>
        <v>744.94939750000003</v>
      </c>
      <c r="R1423">
        <f t="shared" si="206"/>
        <v>428.69120000000004</v>
      </c>
      <c r="S1423">
        <f t="shared" si="200"/>
        <v>4853.9399999999996</v>
      </c>
    </row>
    <row r="1424" spans="1:19" x14ac:dyDescent="0.25">
      <c r="A1424">
        <v>1554</v>
      </c>
      <c r="B1424">
        <v>1363</v>
      </c>
      <c r="C1424" t="s">
        <v>35</v>
      </c>
      <c r="D1424" t="s">
        <v>172</v>
      </c>
      <c r="E1424">
        <v>14</v>
      </c>
      <c r="F1424">
        <v>18.59</v>
      </c>
      <c r="G1424">
        <v>10.94</v>
      </c>
      <c r="H1424">
        <v>24.67</v>
      </c>
      <c r="I1424">
        <v>0.95</v>
      </c>
      <c r="J1424">
        <v>330.41</v>
      </c>
      <c r="K1424">
        <f t="shared" si="201"/>
        <v>4625.7400000000007</v>
      </c>
      <c r="L1424">
        <f t="shared" si="207"/>
        <v>0</v>
      </c>
      <c r="M1424">
        <f t="shared" si="199"/>
        <v>0</v>
      </c>
      <c r="N1424">
        <f t="shared" si="202"/>
        <v>0</v>
      </c>
      <c r="O1424">
        <f t="shared" si="203"/>
        <v>2847.2444</v>
      </c>
      <c r="P1424">
        <f t="shared" si="204"/>
        <v>711.81110000000001</v>
      </c>
      <c r="Q1424">
        <f t="shared" si="205"/>
        <v>726.33204644</v>
      </c>
      <c r="R1424">
        <f t="shared" si="206"/>
        <v>328.11099999999999</v>
      </c>
      <c r="S1424">
        <f t="shared" si="200"/>
        <v>4625.7400000000007</v>
      </c>
    </row>
    <row r="1425" spans="1:19" x14ac:dyDescent="0.25">
      <c r="A1425">
        <v>1555</v>
      </c>
      <c r="B1425">
        <v>1363</v>
      </c>
      <c r="C1425" t="s">
        <v>35</v>
      </c>
      <c r="D1425" t="s">
        <v>172</v>
      </c>
      <c r="E1425">
        <v>9</v>
      </c>
      <c r="F1425">
        <v>21.31</v>
      </c>
      <c r="G1425">
        <v>10.68</v>
      </c>
      <c r="H1425">
        <v>27.48</v>
      </c>
      <c r="I1425">
        <v>0.99</v>
      </c>
      <c r="J1425">
        <v>370.92</v>
      </c>
      <c r="K1425">
        <f t="shared" si="201"/>
        <v>3338.28</v>
      </c>
      <c r="L1425">
        <f t="shared" si="207"/>
        <v>0</v>
      </c>
      <c r="M1425">
        <f t="shared" si="199"/>
        <v>0</v>
      </c>
      <c r="N1425">
        <f t="shared" si="202"/>
        <v>0</v>
      </c>
      <c r="O1425">
        <f t="shared" si="203"/>
        <v>2048.3172</v>
      </c>
      <c r="P1425">
        <f t="shared" si="204"/>
        <v>512.07929999999999</v>
      </c>
      <c r="Q1425">
        <f t="shared" si="205"/>
        <v>522.52571771999999</v>
      </c>
      <c r="R1425">
        <f t="shared" si="206"/>
        <v>244.8468</v>
      </c>
      <c r="S1425">
        <f t="shared" si="200"/>
        <v>3338.28</v>
      </c>
    </row>
    <row r="1426" spans="1:19" x14ac:dyDescent="0.25">
      <c r="A1426">
        <v>1556</v>
      </c>
      <c r="B1426">
        <v>1363</v>
      </c>
      <c r="C1426" t="s">
        <v>35</v>
      </c>
      <c r="D1426" t="s">
        <v>172</v>
      </c>
      <c r="E1426">
        <v>16</v>
      </c>
      <c r="F1426">
        <v>19.64</v>
      </c>
      <c r="G1426">
        <v>10.85</v>
      </c>
      <c r="H1426">
        <v>31.46</v>
      </c>
      <c r="I1426">
        <v>0.99</v>
      </c>
      <c r="J1426">
        <v>354.04</v>
      </c>
      <c r="K1426">
        <f t="shared" si="201"/>
        <v>5664.64</v>
      </c>
      <c r="L1426">
        <f t="shared" si="207"/>
        <v>0</v>
      </c>
      <c r="M1426">
        <f t="shared" si="199"/>
        <v>0</v>
      </c>
      <c r="N1426">
        <f t="shared" si="202"/>
        <v>0</v>
      </c>
      <c r="O1426">
        <f t="shared" si="203"/>
        <v>3409.5039999999999</v>
      </c>
      <c r="P1426">
        <f t="shared" si="204"/>
        <v>852.37599999999998</v>
      </c>
      <c r="Q1426">
        <f t="shared" si="205"/>
        <v>869.76447039999994</v>
      </c>
      <c r="R1426">
        <f t="shared" si="206"/>
        <v>498.32640000000004</v>
      </c>
      <c r="S1426">
        <f t="shared" si="200"/>
        <v>5664.64</v>
      </c>
    </row>
    <row r="1427" spans="1:19" x14ac:dyDescent="0.25">
      <c r="A1427">
        <v>1557</v>
      </c>
      <c r="B1427">
        <v>1363</v>
      </c>
      <c r="C1427" t="s">
        <v>35</v>
      </c>
      <c r="D1427" t="s">
        <v>173</v>
      </c>
      <c r="E1427">
        <v>35</v>
      </c>
      <c r="F1427">
        <v>15.52</v>
      </c>
      <c r="G1427">
        <v>2.93</v>
      </c>
      <c r="H1427">
        <v>33.450000000000003</v>
      </c>
      <c r="I1427">
        <v>0.81</v>
      </c>
      <c r="J1427">
        <v>92.33</v>
      </c>
      <c r="K1427">
        <f t="shared" si="201"/>
        <v>3231.5499999999997</v>
      </c>
      <c r="L1427">
        <f t="shared" si="207"/>
        <v>3231.5499999999997</v>
      </c>
      <c r="M1427">
        <f t="shared" si="199"/>
        <v>1591.576</v>
      </c>
      <c r="N1427">
        <f t="shared" si="202"/>
        <v>397.89400000000001</v>
      </c>
      <c r="O1427">
        <f t="shared" si="203"/>
        <v>1591.576</v>
      </c>
      <c r="P1427">
        <f t="shared" si="204"/>
        <v>397.89400000000001</v>
      </c>
      <c r="Q1427">
        <f t="shared" si="205"/>
        <v>406.01103760000001</v>
      </c>
      <c r="R1427">
        <f t="shared" si="206"/>
        <v>948.30750000000012</v>
      </c>
      <c r="S1427">
        <f t="shared" si="200"/>
        <v>3231.5499999999997</v>
      </c>
    </row>
    <row r="1428" spans="1:19" x14ac:dyDescent="0.25">
      <c r="A1428">
        <v>1558</v>
      </c>
      <c r="B1428">
        <v>1363</v>
      </c>
      <c r="C1428" t="s">
        <v>35</v>
      </c>
      <c r="D1428" t="s">
        <v>172</v>
      </c>
      <c r="E1428">
        <v>10</v>
      </c>
      <c r="F1428">
        <v>19.78</v>
      </c>
      <c r="G1428">
        <v>10.27</v>
      </c>
      <c r="H1428">
        <v>29.79</v>
      </c>
      <c r="I1428">
        <v>0.97</v>
      </c>
      <c r="J1428">
        <v>336.56</v>
      </c>
      <c r="K1428">
        <f t="shared" si="201"/>
        <v>3365.6</v>
      </c>
      <c r="L1428">
        <f t="shared" si="207"/>
        <v>0</v>
      </c>
      <c r="M1428">
        <f t="shared" si="199"/>
        <v>0</v>
      </c>
      <c r="N1428">
        <f t="shared" si="202"/>
        <v>0</v>
      </c>
      <c r="O1428">
        <f t="shared" si="203"/>
        <v>2031.4059999999999</v>
      </c>
      <c r="P1428">
        <f t="shared" si="204"/>
        <v>507.85149999999999</v>
      </c>
      <c r="Q1428">
        <f>PRODUCT(O1428,0.2551)</f>
        <v>518.21167059999993</v>
      </c>
      <c r="R1428">
        <f t="shared" si="206"/>
        <v>288.96299999999997</v>
      </c>
      <c r="S1428">
        <f t="shared" si="200"/>
        <v>3365.6</v>
      </c>
    </row>
    <row r="1429" spans="1:19" x14ac:dyDescent="0.25">
      <c r="A1429">
        <v>1559</v>
      </c>
      <c r="B1429">
        <v>1363</v>
      </c>
      <c r="C1429" t="s">
        <v>35</v>
      </c>
      <c r="D1429" t="s">
        <v>173</v>
      </c>
      <c r="E1429">
        <v>15</v>
      </c>
      <c r="F1429">
        <v>14.68</v>
      </c>
      <c r="G1429">
        <v>2.98</v>
      </c>
      <c r="H1429">
        <v>29.32</v>
      </c>
      <c r="I1429">
        <v>0.78</v>
      </c>
      <c r="J1429">
        <v>85.31</v>
      </c>
      <c r="K1429">
        <f t="shared" si="201"/>
        <v>1279.6500000000001</v>
      </c>
      <c r="L1429">
        <f t="shared" si="207"/>
        <v>1279.6500000000001</v>
      </c>
      <c r="M1429">
        <f t="shared" si="199"/>
        <v>656.19600000000003</v>
      </c>
      <c r="N1429">
        <f t="shared" si="202"/>
        <v>164.04900000000001</v>
      </c>
      <c r="O1429">
        <f t="shared" si="203"/>
        <v>656.19600000000003</v>
      </c>
      <c r="P1429">
        <f t="shared" si="204"/>
        <v>164.04900000000001</v>
      </c>
      <c r="Q1429">
        <f t="shared" si="205"/>
        <v>167.3955996</v>
      </c>
      <c r="R1429">
        <f t="shared" si="206"/>
        <v>343.04400000000004</v>
      </c>
      <c r="S1429">
        <f t="shared" si="200"/>
        <v>1279.6500000000001</v>
      </c>
    </row>
    <row r="1430" spans="1:19" x14ac:dyDescent="0.25">
      <c r="A1430">
        <v>1560</v>
      </c>
      <c r="B1430">
        <v>1363</v>
      </c>
      <c r="C1430" t="s">
        <v>35</v>
      </c>
      <c r="D1430" t="s">
        <v>172</v>
      </c>
      <c r="E1430">
        <v>24</v>
      </c>
      <c r="F1430">
        <v>18.75</v>
      </c>
      <c r="G1430">
        <v>10.43</v>
      </c>
      <c r="H1430">
        <v>31.41</v>
      </c>
      <c r="I1430">
        <v>1.01</v>
      </c>
      <c r="J1430">
        <v>328.65</v>
      </c>
      <c r="K1430">
        <f t="shared" si="201"/>
        <v>7887.5999999999995</v>
      </c>
      <c r="L1430">
        <f t="shared" si="207"/>
        <v>0</v>
      </c>
      <c r="M1430">
        <f t="shared" si="199"/>
        <v>0</v>
      </c>
      <c r="N1430">
        <f t="shared" si="202"/>
        <v>0</v>
      </c>
      <c r="O1430">
        <f t="shared" si="203"/>
        <v>4693.5</v>
      </c>
      <c r="P1430">
        <f t="shared" si="204"/>
        <v>1173.375</v>
      </c>
      <c r="Q1430">
        <f t="shared" si="205"/>
        <v>1197.31185</v>
      </c>
      <c r="R1430">
        <f t="shared" si="206"/>
        <v>761.37840000000006</v>
      </c>
      <c r="S1430">
        <f t="shared" si="200"/>
        <v>7887.5999999999995</v>
      </c>
    </row>
    <row r="1431" spans="1:19" x14ac:dyDescent="0.25">
      <c r="A1431">
        <v>1561</v>
      </c>
      <c r="B1431">
        <v>1363</v>
      </c>
      <c r="C1431" t="s">
        <v>35</v>
      </c>
      <c r="D1431" t="s">
        <v>172</v>
      </c>
      <c r="E1431">
        <v>16</v>
      </c>
      <c r="F1431">
        <v>20.39</v>
      </c>
      <c r="G1431">
        <v>11.21</v>
      </c>
      <c r="H1431">
        <v>28.36</v>
      </c>
      <c r="I1431">
        <v>1.01</v>
      </c>
      <c r="J1431">
        <v>374.09</v>
      </c>
      <c r="K1431">
        <f t="shared" si="201"/>
        <v>5985.44</v>
      </c>
      <c r="L1431">
        <f t="shared" si="207"/>
        <v>0</v>
      </c>
      <c r="M1431">
        <f t="shared" si="199"/>
        <v>0</v>
      </c>
      <c r="N1431">
        <f t="shared" si="202"/>
        <v>0</v>
      </c>
      <c r="O1431">
        <f t="shared" si="203"/>
        <v>3657.1504000000004</v>
      </c>
      <c r="P1431">
        <f t="shared" si="204"/>
        <v>914.28760000000011</v>
      </c>
      <c r="Q1431">
        <f t="shared" si="205"/>
        <v>932.93906704000005</v>
      </c>
      <c r="R1431">
        <f t="shared" si="206"/>
        <v>458.29759999999999</v>
      </c>
      <c r="S1431">
        <f t="shared" si="200"/>
        <v>5985.44</v>
      </c>
    </row>
    <row r="1432" spans="1:19" x14ac:dyDescent="0.25">
      <c r="A1432">
        <v>1562</v>
      </c>
      <c r="B1432">
        <v>1363</v>
      </c>
      <c r="C1432" t="s">
        <v>35</v>
      </c>
      <c r="D1432" t="s">
        <v>173</v>
      </c>
      <c r="E1432">
        <v>14</v>
      </c>
      <c r="F1432">
        <v>13.75</v>
      </c>
      <c r="G1432">
        <v>2.76</v>
      </c>
      <c r="H1432">
        <v>33.119999999999997</v>
      </c>
      <c r="I1432">
        <v>0.77</v>
      </c>
      <c r="J1432">
        <v>80.23</v>
      </c>
      <c r="K1432">
        <f t="shared" si="201"/>
        <v>1123.22</v>
      </c>
      <c r="L1432">
        <f t="shared" si="207"/>
        <v>1123.22</v>
      </c>
      <c r="M1432">
        <f t="shared" si="199"/>
        <v>531.29999999999995</v>
      </c>
      <c r="N1432">
        <f t="shared" si="202"/>
        <v>132.82499999999999</v>
      </c>
      <c r="O1432">
        <f t="shared" si="203"/>
        <v>531.29999999999995</v>
      </c>
      <c r="P1432">
        <f t="shared" si="204"/>
        <v>132.82499999999999</v>
      </c>
      <c r="Q1432">
        <f t="shared" si="205"/>
        <v>135.53462999999999</v>
      </c>
      <c r="R1432">
        <f t="shared" si="206"/>
        <v>357.03360000000004</v>
      </c>
      <c r="S1432">
        <f t="shared" si="200"/>
        <v>1123.22</v>
      </c>
    </row>
    <row r="1433" spans="1:19" x14ac:dyDescent="0.25">
      <c r="A1433">
        <v>1563</v>
      </c>
      <c r="B1433">
        <v>1363</v>
      </c>
      <c r="C1433" t="s">
        <v>35</v>
      </c>
      <c r="D1433" t="s">
        <v>173</v>
      </c>
      <c r="E1433">
        <v>15</v>
      </c>
      <c r="F1433">
        <v>14.6</v>
      </c>
      <c r="G1433">
        <v>2.68</v>
      </c>
      <c r="H1433">
        <v>33.450000000000003</v>
      </c>
      <c r="I1433">
        <v>0.79</v>
      </c>
      <c r="J1433">
        <v>74.58</v>
      </c>
      <c r="K1433">
        <f t="shared" si="201"/>
        <v>1118.7</v>
      </c>
      <c r="L1433">
        <f t="shared" si="207"/>
        <v>1118.7</v>
      </c>
      <c r="M1433">
        <f t="shared" si="199"/>
        <v>586.92000000000007</v>
      </c>
      <c r="N1433">
        <f t="shared" si="202"/>
        <v>146.73000000000002</v>
      </c>
      <c r="O1433">
        <f t="shared" si="203"/>
        <v>586.92000000000007</v>
      </c>
      <c r="P1433">
        <f t="shared" si="204"/>
        <v>146.73000000000002</v>
      </c>
      <c r="Q1433">
        <f t="shared" si="205"/>
        <v>149.72329200000001</v>
      </c>
      <c r="R1433">
        <f t="shared" si="206"/>
        <v>396.38250000000011</v>
      </c>
      <c r="S1433">
        <f t="shared" si="200"/>
        <v>1118.7</v>
      </c>
    </row>
    <row r="1434" spans="1:19" x14ac:dyDescent="0.25">
      <c r="A1434">
        <v>1564</v>
      </c>
      <c r="B1434">
        <v>1363</v>
      </c>
      <c r="C1434" t="s">
        <v>35</v>
      </c>
      <c r="D1434" t="s">
        <v>173</v>
      </c>
      <c r="E1434">
        <v>13</v>
      </c>
      <c r="F1434">
        <v>14.51</v>
      </c>
      <c r="G1434">
        <v>2.79</v>
      </c>
      <c r="H1434">
        <v>31.6</v>
      </c>
      <c r="I1434">
        <v>0.81</v>
      </c>
      <c r="J1434">
        <v>83.82</v>
      </c>
      <c r="K1434">
        <f t="shared" si="201"/>
        <v>1089.6599999999999</v>
      </c>
      <c r="L1434">
        <f t="shared" si="207"/>
        <v>1089.6599999999999</v>
      </c>
      <c r="M1434">
        <f t="shared" si="199"/>
        <v>526.27769999999998</v>
      </c>
      <c r="N1434">
        <f t="shared" si="202"/>
        <v>131.569425</v>
      </c>
      <c r="O1434">
        <f t="shared" si="203"/>
        <v>526.27769999999998</v>
      </c>
      <c r="P1434">
        <f t="shared" si="204"/>
        <v>131.569425</v>
      </c>
      <c r="Q1434">
        <f t="shared" si="205"/>
        <v>134.25344127</v>
      </c>
      <c r="R1434">
        <f t="shared" si="206"/>
        <v>332.74800000000005</v>
      </c>
      <c r="S1434">
        <f t="shared" si="200"/>
        <v>1089.6599999999999</v>
      </c>
    </row>
    <row r="1435" spans="1:19" x14ac:dyDescent="0.25">
      <c r="A1435">
        <v>1565</v>
      </c>
      <c r="B1435">
        <v>1363</v>
      </c>
      <c r="C1435" t="s">
        <v>35</v>
      </c>
      <c r="D1435" t="s">
        <v>172</v>
      </c>
      <c r="E1435">
        <v>10</v>
      </c>
      <c r="F1435">
        <v>19.8</v>
      </c>
      <c r="G1435">
        <v>10.97</v>
      </c>
      <c r="H1435">
        <v>34.43</v>
      </c>
      <c r="I1435">
        <v>1.23</v>
      </c>
      <c r="J1435">
        <v>373.49</v>
      </c>
      <c r="K1435">
        <f t="shared" si="201"/>
        <v>3734.9</v>
      </c>
      <c r="L1435">
        <f t="shared" si="207"/>
        <v>0</v>
      </c>
      <c r="M1435">
        <f t="shared" si="199"/>
        <v>0</v>
      </c>
      <c r="N1435">
        <f t="shared" si="202"/>
        <v>0</v>
      </c>
      <c r="O1435">
        <f t="shared" si="203"/>
        <v>2172.06</v>
      </c>
      <c r="P1435">
        <f t="shared" si="204"/>
        <v>543.01499999999999</v>
      </c>
      <c r="Q1435">
        <f t="shared" si="205"/>
        <v>554.09250599999996</v>
      </c>
      <c r="R1435">
        <f t="shared" si="206"/>
        <v>423.48900000000003</v>
      </c>
      <c r="S1435">
        <f t="shared" si="200"/>
        <v>3734.9</v>
      </c>
    </row>
    <row r="1436" spans="1:19" x14ac:dyDescent="0.25">
      <c r="A1436">
        <v>1566</v>
      </c>
      <c r="B1436">
        <v>1363</v>
      </c>
      <c r="C1436" t="s">
        <v>35</v>
      </c>
      <c r="D1436" t="s">
        <v>173</v>
      </c>
      <c r="E1436">
        <v>9</v>
      </c>
      <c r="F1436">
        <v>15.04</v>
      </c>
      <c r="G1436">
        <v>2.59</v>
      </c>
      <c r="H1436">
        <v>32.17</v>
      </c>
      <c r="I1436">
        <v>0.76</v>
      </c>
      <c r="J1436">
        <v>80.459999999999994</v>
      </c>
      <c r="K1436">
        <f t="shared" si="201"/>
        <v>724.14</v>
      </c>
      <c r="L1436">
        <f t="shared" si="207"/>
        <v>724.14</v>
      </c>
      <c r="M1436">
        <f t="shared" si="199"/>
        <v>350.58239999999995</v>
      </c>
      <c r="N1436">
        <f t="shared" si="202"/>
        <v>87.645599999999988</v>
      </c>
      <c r="O1436">
        <f t="shared" si="203"/>
        <v>350.58239999999995</v>
      </c>
      <c r="P1436">
        <f t="shared" si="204"/>
        <v>87.645599999999988</v>
      </c>
      <c r="Q1436">
        <f t="shared" si="205"/>
        <v>89.43357023999998</v>
      </c>
      <c r="R1436">
        <f t="shared" si="206"/>
        <v>220.0428</v>
      </c>
      <c r="S1436">
        <f t="shared" si="200"/>
        <v>724.14</v>
      </c>
    </row>
    <row r="1437" spans="1:19" x14ac:dyDescent="0.25">
      <c r="A1437">
        <v>1567</v>
      </c>
      <c r="B1437">
        <v>1363</v>
      </c>
      <c r="C1437" t="s">
        <v>35</v>
      </c>
      <c r="D1437" t="s">
        <v>172</v>
      </c>
      <c r="E1437">
        <v>18</v>
      </c>
      <c r="F1437">
        <v>19.59</v>
      </c>
      <c r="G1437">
        <v>11.56</v>
      </c>
      <c r="H1437">
        <v>32.49</v>
      </c>
      <c r="I1437">
        <v>1.03</v>
      </c>
      <c r="J1437">
        <v>376.68</v>
      </c>
      <c r="K1437">
        <f t="shared" si="201"/>
        <v>6780.24</v>
      </c>
      <c r="L1437">
        <f t="shared" si="207"/>
        <v>0</v>
      </c>
      <c r="M1437">
        <f t="shared" si="199"/>
        <v>0</v>
      </c>
      <c r="N1437">
        <f t="shared" si="202"/>
        <v>0</v>
      </c>
      <c r="O1437">
        <f t="shared" si="203"/>
        <v>4076.2872000000002</v>
      </c>
      <c r="P1437">
        <f t="shared" si="204"/>
        <v>1019.0718000000001</v>
      </c>
      <c r="Q1437">
        <f t="shared" si="205"/>
        <v>1039.8608647200001</v>
      </c>
      <c r="R1437">
        <f t="shared" si="206"/>
        <v>602.3646</v>
      </c>
      <c r="S1437">
        <f t="shared" si="200"/>
        <v>6780.24</v>
      </c>
    </row>
    <row r="1438" spans="1:19" x14ac:dyDescent="0.25">
      <c r="A1438">
        <v>1568</v>
      </c>
      <c r="B1438">
        <v>1363</v>
      </c>
      <c r="C1438" t="s">
        <v>35</v>
      </c>
      <c r="D1438" t="s">
        <v>173</v>
      </c>
      <c r="E1438">
        <v>13</v>
      </c>
      <c r="F1438">
        <v>14.79</v>
      </c>
      <c r="G1438">
        <v>2.84</v>
      </c>
      <c r="H1438">
        <v>31.77</v>
      </c>
      <c r="I1438">
        <v>0.81</v>
      </c>
      <c r="J1438">
        <v>86.06</v>
      </c>
      <c r="K1438">
        <f t="shared" si="201"/>
        <v>1118.78</v>
      </c>
      <c r="L1438">
        <f t="shared" si="207"/>
        <v>1118.78</v>
      </c>
      <c r="M1438">
        <f t="shared" si="199"/>
        <v>546.04679999999996</v>
      </c>
      <c r="N1438">
        <f t="shared" si="202"/>
        <v>136.51169999999999</v>
      </c>
      <c r="O1438">
        <f t="shared" si="203"/>
        <v>546.04679999999996</v>
      </c>
      <c r="P1438">
        <f t="shared" si="204"/>
        <v>136.51169999999999</v>
      </c>
      <c r="Q1438">
        <f t="shared" si="205"/>
        <v>139.29653868</v>
      </c>
      <c r="R1438">
        <f t="shared" si="206"/>
        <v>334.53810000000004</v>
      </c>
      <c r="S1438">
        <f t="shared" si="200"/>
        <v>1118.78</v>
      </c>
    </row>
    <row r="1439" spans="1:19" x14ac:dyDescent="0.25">
      <c r="A1439">
        <v>1569</v>
      </c>
      <c r="B1439">
        <v>1363</v>
      </c>
      <c r="C1439" t="s">
        <v>35</v>
      </c>
      <c r="D1439" t="s">
        <v>172</v>
      </c>
      <c r="E1439">
        <v>16</v>
      </c>
      <c r="F1439">
        <v>18.93</v>
      </c>
      <c r="G1439">
        <v>11.51</v>
      </c>
      <c r="H1439">
        <v>29.85</v>
      </c>
      <c r="I1439">
        <v>1.02</v>
      </c>
      <c r="J1439">
        <v>360.34</v>
      </c>
      <c r="K1439">
        <f t="shared" si="201"/>
        <v>5765.44</v>
      </c>
      <c r="L1439">
        <f t="shared" si="207"/>
        <v>0</v>
      </c>
      <c r="M1439">
        <f t="shared" si="199"/>
        <v>0</v>
      </c>
      <c r="N1439">
        <f t="shared" si="202"/>
        <v>0</v>
      </c>
      <c r="O1439">
        <f t="shared" si="203"/>
        <v>3486.1487999999999</v>
      </c>
      <c r="P1439">
        <f t="shared" si="204"/>
        <v>871.53719999999998</v>
      </c>
      <c r="Q1439">
        <f t="shared" si="205"/>
        <v>889.31655888</v>
      </c>
      <c r="R1439">
        <f t="shared" si="206"/>
        <v>487.15200000000004</v>
      </c>
      <c r="S1439">
        <f t="shared" si="200"/>
        <v>5765.44</v>
      </c>
    </row>
    <row r="1440" spans="1:19" x14ac:dyDescent="0.25">
      <c r="A1440">
        <v>1570</v>
      </c>
      <c r="B1440">
        <v>1363</v>
      </c>
      <c r="C1440" t="s">
        <v>35</v>
      </c>
      <c r="D1440" t="s">
        <v>173</v>
      </c>
      <c r="E1440">
        <v>12</v>
      </c>
      <c r="F1440">
        <v>17.21</v>
      </c>
      <c r="G1440">
        <v>3.08</v>
      </c>
      <c r="H1440">
        <v>29.61</v>
      </c>
      <c r="I1440">
        <v>0.79</v>
      </c>
      <c r="J1440">
        <v>98.62</v>
      </c>
      <c r="K1440">
        <f t="shared" si="201"/>
        <v>1183.44</v>
      </c>
      <c r="L1440">
        <f t="shared" si="207"/>
        <v>1183.44</v>
      </c>
      <c r="M1440">
        <f t="shared" si="199"/>
        <v>636.08160000000009</v>
      </c>
      <c r="N1440">
        <f t="shared" si="202"/>
        <v>159.02040000000002</v>
      </c>
      <c r="O1440">
        <f t="shared" si="203"/>
        <v>636.08160000000009</v>
      </c>
      <c r="P1440">
        <f t="shared" si="204"/>
        <v>159.02040000000002</v>
      </c>
      <c r="Q1440">
        <f t="shared" si="205"/>
        <v>162.26441616000002</v>
      </c>
      <c r="R1440">
        <f t="shared" si="206"/>
        <v>280.70280000000002</v>
      </c>
      <c r="S1440">
        <f t="shared" si="200"/>
        <v>1183.44</v>
      </c>
    </row>
    <row r="1441" spans="1:19" x14ac:dyDescent="0.25">
      <c r="A1441">
        <v>1571</v>
      </c>
      <c r="B1441">
        <v>1363</v>
      </c>
      <c r="C1441" t="s">
        <v>35</v>
      </c>
      <c r="D1441" t="s">
        <v>173</v>
      </c>
      <c r="E1441">
        <v>9</v>
      </c>
      <c r="F1441">
        <v>16.02</v>
      </c>
      <c r="G1441">
        <v>2.84</v>
      </c>
      <c r="H1441">
        <v>34.43</v>
      </c>
      <c r="I1441">
        <v>0.79</v>
      </c>
      <c r="J1441">
        <v>92.48</v>
      </c>
      <c r="K1441">
        <f t="shared" si="201"/>
        <v>832.32</v>
      </c>
      <c r="L1441">
        <f t="shared" si="207"/>
        <v>832.32</v>
      </c>
      <c r="M1441">
        <f t="shared" si="199"/>
        <v>409.47119999999995</v>
      </c>
      <c r="N1441">
        <f t="shared" si="202"/>
        <v>102.36779999999999</v>
      </c>
      <c r="O1441">
        <f t="shared" si="203"/>
        <v>409.47119999999995</v>
      </c>
      <c r="P1441">
        <f t="shared" si="204"/>
        <v>102.36779999999999</v>
      </c>
      <c r="Q1441">
        <f t="shared" si="205"/>
        <v>104.45610311999998</v>
      </c>
      <c r="R1441">
        <f t="shared" si="206"/>
        <v>244.79730000000001</v>
      </c>
      <c r="S1441">
        <f t="shared" si="200"/>
        <v>832.32</v>
      </c>
    </row>
    <row r="1442" spans="1:19" x14ac:dyDescent="0.25">
      <c r="A1442">
        <v>1572</v>
      </c>
      <c r="B1442">
        <v>1363</v>
      </c>
      <c r="C1442" t="s">
        <v>35</v>
      </c>
      <c r="D1442" t="s">
        <v>173</v>
      </c>
      <c r="E1442">
        <v>7</v>
      </c>
      <c r="F1442">
        <v>14.28</v>
      </c>
      <c r="G1442">
        <v>2.74</v>
      </c>
      <c r="H1442">
        <v>32.06</v>
      </c>
      <c r="I1442">
        <v>0.84</v>
      </c>
      <c r="J1442">
        <v>83.42</v>
      </c>
      <c r="K1442">
        <f t="shared" si="201"/>
        <v>583.94000000000005</v>
      </c>
      <c r="L1442">
        <f t="shared" si="207"/>
        <v>583.94000000000005</v>
      </c>
      <c r="M1442">
        <f t="shared" si="199"/>
        <v>273.8904</v>
      </c>
      <c r="N1442">
        <f t="shared" si="202"/>
        <v>68.4726</v>
      </c>
      <c r="O1442">
        <f t="shared" si="203"/>
        <v>273.8904</v>
      </c>
      <c r="P1442">
        <f t="shared" si="204"/>
        <v>68.4726</v>
      </c>
      <c r="Q1442">
        <f t="shared" si="205"/>
        <v>69.869441039999998</v>
      </c>
      <c r="R1442">
        <f t="shared" si="206"/>
        <v>188.5128</v>
      </c>
      <c r="S1442">
        <f t="shared" si="200"/>
        <v>583.94000000000005</v>
      </c>
    </row>
    <row r="1443" spans="1:19" x14ac:dyDescent="0.25">
      <c r="A1443">
        <v>1573</v>
      </c>
      <c r="B1443">
        <v>1363</v>
      </c>
      <c r="C1443" t="s">
        <v>35</v>
      </c>
      <c r="D1443" t="s">
        <v>172</v>
      </c>
      <c r="E1443">
        <v>42</v>
      </c>
      <c r="F1443">
        <v>19.54</v>
      </c>
      <c r="G1443">
        <v>10.130000000000001</v>
      </c>
      <c r="H1443">
        <v>25.18</v>
      </c>
      <c r="I1443">
        <v>0.96</v>
      </c>
      <c r="J1443">
        <v>323.2</v>
      </c>
      <c r="K1443">
        <f t="shared" si="201"/>
        <v>13574.4</v>
      </c>
      <c r="L1443">
        <f t="shared" si="207"/>
        <v>0</v>
      </c>
      <c r="M1443">
        <f t="shared" si="199"/>
        <v>0</v>
      </c>
      <c r="N1443">
        <f t="shared" si="202"/>
        <v>0</v>
      </c>
      <c r="O1443">
        <f t="shared" si="203"/>
        <v>8313.4884000000002</v>
      </c>
      <c r="P1443">
        <f t="shared" si="204"/>
        <v>2078.3721</v>
      </c>
      <c r="Q1443">
        <f t="shared" si="205"/>
        <v>2120.77089084</v>
      </c>
      <c r="R1443">
        <f t="shared" si="206"/>
        <v>1015.2576</v>
      </c>
      <c r="S1443">
        <f t="shared" si="200"/>
        <v>13574.4</v>
      </c>
    </row>
    <row r="1444" spans="1:19" x14ac:dyDescent="0.25">
      <c r="A1444">
        <v>1574</v>
      </c>
      <c r="B1444">
        <v>1363</v>
      </c>
      <c r="C1444" t="s">
        <v>35</v>
      </c>
      <c r="D1444" t="s">
        <v>172</v>
      </c>
      <c r="E1444">
        <v>15</v>
      </c>
      <c r="F1444">
        <v>19.41</v>
      </c>
      <c r="G1444">
        <v>9.85</v>
      </c>
      <c r="H1444">
        <v>33.1</v>
      </c>
      <c r="I1444">
        <v>0.93</v>
      </c>
      <c r="J1444">
        <v>321.02</v>
      </c>
      <c r="K1444">
        <f t="shared" si="201"/>
        <v>4815.2999999999993</v>
      </c>
      <c r="L1444">
        <f t="shared" si="207"/>
        <v>0</v>
      </c>
      <c r="M1444">
        <f t="shared" si="199"/>
        <v>0</v>
      </c>
      <c r="N1444">
        <f t="shared" si="202"/>
        <v>0</v>
      </c>
      <c r="O1444">
        <f t="shared" si="203"/>
        <v>2867.8274999999999</v>
      </c>
      <c r="P1444">
        <f t="shared" si="204"/>
        <v>716.95687499999997</v>
      </c>
      <c r="Q1444">
        <f t="shared" si="205"/>
        <v>731.58279525</v>
      </c>
      <c r="R1444">
        <f t="shared" si="206"/>
        <v>461.74500000000006</v>
      </c>
      <c r="S1444">
        <f t="shared" si="200"/>
        <v>4815.2999999999993</v>
      </c>
    </row>
    <row r="1445" spans="1:19" x14ac:dyDescent="0.25">
      <c r="A1445">
        <v>1575</v>
      </c>
      <c r="B1445">
        <v>1363</v>
      </c>
      <c r="C1445" t="s">
        <v>35</v>
      </c>
      <c r="D1445" t="s">
        <v>172</v>
      </c>
      <c r="E1445">
        <v>15</v>
      </c>
      <c r="F1445">
        <v>18.43</v>
      </c>
      <c r="G1445">
        <v>11.99</v>
      </c>
      <c r="H1445">
        <v>34.229999999999997</v>
      </c>
      <c r="I1445">
        <v>1.03</v>
      </c>
      <c r="J1445">
        <v>370.66</v>
      </c>
      <c r="K1445">
        <f t="shared" si="201"/>
        <v>5559.9000000000005</v>
      </c>
      <c r="L1445">
        <f t="shared" si="207"/>
        <v>0</v>
      </c>
      <c r="M1445">
        <f t="shared" si="199"/>
        <v>0</v>
      </c>
      <c r="N1445">
        <f t="shared" si="202"/>
        <v>0</v>
      </c>
      <c r="O1445">
        <f t="shared" si="203"/>
        <v>3314.6354999999999</v>
      </c>
      <c r="P1445">
        <f t="shared" si="204"/>
        <v>828.65887499999997</v>
      </c>
      <c r="Q1445">
        <f t="shared" si="205"/>
        <v>845.56351604999998</v>
      </c>
      <c r="R1445">
        <f t="shared" si="206"/>
        <v>528.85349999999994</v>
      </c>
      <c r="S1445">
        <f t="shared" si="200"/>
        <v>5559.9000000000005</v>
      </c>
    </row>
    <row r="1446" spans="1:19" x14ac:dyDescent="0.25">
      <c r="A1446">
        <v>1576</v>
      </c>
      <c r="B1446">
        <v>1363</v>
      </c>
      <c r="C1446" t="s">
        <v>35</v>
      </c>
      <c r="D1446" t="s">
        <v>173</v>
      </c>
      <c r="E1446">
        <v>13</v>
      </c>
      <c r="F1446">
        <v>14.65</v>
      </c>
      <c r="G1446">
        <v>2.83</v>
      </c>
      <c r="H1446">
        <v>26.23</v>
      </c>
      <c r="I1446">
        <v>0.83</v>
      </c>
      <c r="J1446">
        <v>72.12</v>
      </c>
      <c r="K1446">
        <f t="shared" si="201"/>
        <v>937.56000000000006</v>
      </c>
      <c r="L1446">
        <f t="shared" si="207"/>
        <v>937.56000000000006</v>
      </c>
      <c r="M1446">
        <f t="shared" si="199"/>
        <v>538.97349999999994</v>
      </c>
      <c r="N1446">
        <f t="shared" si="202"/>
        <v>134.74337499999999</v>
      </c>
      <c r="O1446">
        <f t="shared" si="203"/>
        <v>538.97349999999994</v>
      </c>
      <c r="P1446">
        <f t="shared" si="204"/>
        <v>134.74337499999999</v>
      </c>
      <c r="Q1446">
        <f t="shared" si="205"/>
        <v>137.49213984999997</v>
      </c>
      <c r="R1446">
        <f t="shared" si="206"/>
        <v>283.02170000000001</v>
      </c>
      <c r="S1446">
        <f t="shared" si="200"/>
        <v>937.56000000000006</v>
      </c>
    </row>
    <row r="1447" spans="1:19" x14ac:dyDescent="0.25">
      <c r="A1447">
        <v>1577</v>
      </c>
      <c r="B1447">
        <v>1364</v>
      </c>
      <c r="C1447" t="s">
        <v>34</v>
      </c>
      <c r="D1447" t="s">
        <v>173</v>
      </c>
      <c r="E1447">
        <v>8</v>
      </c>
      <c r="F1447">
        <v>14.96</v>
      </c>
      <c r="G1447">
        <v>3.1</v>
      </c>
      <c r="H1447">
        <v>29.56</v>
      </c>
      <c r="I1447">
        <v>0.8</v>
      </c>
      <c r="J1447">
        <v>89.78</v>
      </c>
      <c r="K1447">
        <f t="shared" si="201"/>
        <v>718.24</v>
      </c>
      <c r="L1447">
        <f t="shared" si="207"/>
        <v>718.24</v>
      </c>
      <c r="M1447">
        <f t="shared" si="199"/>
        <v>371.00800000000004</v>
      </c>
      <c r="N1447">
        <f t="shared" si="202"/>
        <v>92.75200000000001</v>
      </c>
      <c r="O1447">
        <f t="shared" si="203"/>
        <v>371.00800000000004</v>
      </c>
      <c r="P1447">
        <f t="shared" si="204"/>
        <v>92.75200000000001</v>
      </c>
      <c r="Q1447">
        <f t="shared" si="205"/>
        <v>94.644140800000002</v>
      </c>
      <c r="R1447">
        <f t="shared" si="206"/>
        <v>189.184</v>
      </c>
      <c r="S1447">
        <f t="shared" si="200"/>
        <v>718.24</v>
      </c>
    </row>
    <row r="1448" spans="1:19" x14ac:dyDescent="0.25">
      <c r="A1448">
        <v>1578</v>
      </c>
      <c r="B1448">
        <v>1364</v>
      </c>
      <c r="C1448" t="s">
        <v>34</v>
      </c>
      <c r="D1448" t="s">
        <v>173</v>
      </c>
      <c r="E1448">
        <v>16</v>
      </c>
      <c r="F1448">
        <v>14.93</v>
      </c>
      <c r="G1448">
        <v>3.11</v>
      </c>
      <c r="H1448">
        <v>28.12</v>
      </c>
      <c r="I1448">
        <v>0.76</v>
      </c>
      <c r="J1448">
        <v>87.35</v>
      </c>
      <c r="K1448">
        <f t="shared" si="201"/>
        <v>1397.6</v>
      </c>
      <c r="L1448">
        <f t="shared" si="207"/>
        <v>1397.6</v>
      </c>
      <c r="M1448">
        <f t="shared" si="199"/>
        <v>742.91679999999997</v>
      </c>
      <c r="N1448">
        <f t="shared" si="202"/>
        <v>185.72919999999999</v>
      </c>
      <c r="O1448">
        <f t="shared" si="203"/>
        <v>742.91679999999997</v>
      </c>
      <c r="P1448">
        <f t="shared" si="204"/>
        <v>185.72919999999999</v>
      </c>
      <c r="Q1448">
        <f t="shared" si="205"/>
        <v>189.51807567999998</v>
      </c>
      <c r="R1448">
        <f t="shared" si="206"/>
        <v>341.93920000000003</v>
      </c>
      <c r="S1448">
        <f t="shared" si="200"/>
        <v>1397.6</v>
      </c>
    </row>
    <row r="1449" spans="1:19" x14ac:dyDescent="0.25">
      <c r="A1449">
        <v>1579</v>
      </c>
      <c r="B1449">
        <v>1364</v>
      </c>
      <c r="C1449" t="s">
        <v>34</v>
      </c>
      <c r="D1449" t="s">
        <v>172</v>
      </c>
      <c r="E1449">
        <v>14</v>
      </c>
      <c r="F1449">
        <v>20.079999999999998</v>
      </c>
      <c r="G1449">
        <v>10.71</v>
      </c>
      <c r="H1449">
        <v>31.59</v>
      </c>
      <c r="I1449">
        <v>1.04</v>
      </c>
      <c r="J1449">
        <v>295.94</v>
      </c>
      <c r="K1449">
        <f t="shared" si="201"/>
        <v>4143.16</v>
      </c>
      <c r="L1449">
        <f t="shared" si="207"/>
        <v>0</v>
      </c>
      <c r="M1449">
        <f t="shared" si="199"/>
        <v>0</v>
      </c>
      <c r="N1449">
        <f t="shared" si="202"/>
        <v>0</v>
      </c>
      <c r="O1449">
        <f t="shared" si="203"/>
        <v>3010.7951999999996</v>
      </c>
      <c r="P1449">
        <f t="shared" si="204"/>
        <v>752.69879999999989</v>
      </c>
      <c r="Q1449">
        <f t="shared" si="205"/>
        <v>768.05385551999984</v>
      </c>
      <c r="R1449">
        <f t="shared" si="206"/>
        <v>459.9504</v>
      </c>
      <c r="S1449">
        <f t="shared" si="200"/>
        <v>4143.16</v>
      </c>
    </row>
    <row r="1450" spans="1:19" x14ac:dyDescent="0.25">
      <c r="A1450">
        <v>1580</v>
      </c>
      <c r="B1450">
        <v>1364</v>
      </c>
      <c r="C1450" t="s">
        <v>34</v>
      </c>
      <c r="D1450" t="s">
        <v>173</v>
      </c>
      <c r="E1450">
        <v>14</v>
      </c>
      <c r="F1450">
        <v>16.010000000000002</v>
      </c>
      <c r="G1450">
        <v>2.69</v>
      </c>
      <c r="H1450">
        <v>26.98</v>
      </c>
      <c r="I1450">
        <v>0.79</v>
      </c>
      <c r="J1450">
        <v>82.66</v>
      </c>
      <c r="K1450">
        <f t="shared" si="201"/>
        <v>1157.24</v>
      </c>
      <c r="L1450">
        <f t="shared" si="207"/>
        <v>1157.24</v>
      </c>
      <c r="M1450">
        <f t="shared" si="199"/>
        <v>602.9366</v>
      </c>
      <c r="N1450">
        <f t="shared" si="202"/>
        <v>150.73415</v>
      </c>
      <c r="O1450">
        <f t="shared" si="203"/>
        <v>602.9366</v>
      </c>
      <c r="P1450">
        <f t="shared" si="204"/>
        <v>150.73415</v>
      </c>
      <c r="Q1450">
        <f t="shared" si="205"/>
        <v>153.80912666</v>
      </c>
      <c r="R1450">
        <f t="shared" si="206"/>
        <v>298.39879999999999</v>
      </c>
      <c r="S1450">
        <f t="shared" si="200"/>
        <v>1157.24</v>
      </c>
    </row>
    <row r="1451" spans="1:19" x14ac:dyDescent="0.25">
      <c r="A1451">
        <v>1581</v>
      </c>
      <c r="B1451">
        <v>1364</v>
      </c>
      <c r="C1451" t="s">
        <v>34</v>
      </c>
      <c r="D1451" t="s">
        <v>173</v>
      </c>
      <c r="E1451">
        <v>16</v>
      </c>
      <c r="F1451">
        <v>13.46</v>
      </c>
      <c r="G1451">
        <v>2.83</v>
      </c>
      <c r="H1451">
        <v>26.98</v>
      </c>
      <c r="I1451">
        <v>0.83</v>
      </c>
      <c r="J1451">
        <v>77.010000000000005</v>
      </c>
      <c r="K1451">
        <f t="shared" si="201"/>
        <v>1232.1600000000001</v>
      </c>
      <c r="L1451">
        <f t="shared" si="207"/>
        <v>1232.1600000000001</v>
      </c>
      <c r="M1451">
        <f t="shared" si="199"/>
        <v>609.4688000000001</v>
      </c>
      <c r="N1451">
        <f t="shared" si="202"/>
        <v>152.36720000000003</v>
      </c>
      <c r="O1451">
        <f t="shared" si="203"/>
        <v>609.4688000000001</v>
      </c>
      <c r="P1451">
        <f t="shared" si="204"/>
        <v>152.36720000000003</v>
      </c>
      <c r="Q1451">
        <f t="shared" si="205"/>
        <v>155.47549088000002</v>
      </c>
      <c r="R1451">
        <f t="shared" si="206"/>
        <v>358.2944</v>
      </c>
      <c r="S1451">
        <f t="shared" si="200"/>
        <v>1232.1600000000001</v>
      </c>
    </row>
    <row r="1452" spans="1:19" x14ac:dyDescent="0.25">
      <c r="A1452">
        <v>1582</v>
      </c>
      <c r="B1452">
        <v>1364</v>
      </c>
      <c r="C1452" t="s">
        <v>34</v>
      </c>
      <c r="D1452" t="s">
        <v>173</v>
      </c>
      <c r="E1452">
        <v>17</v>
      </c>
      <c r="F1452">
        <v>13.96</v>
      </c>
      <c r="G1452">
        <v>2.61</v>
      </c>
      <c r="H1452">
        <v>30.91</v>
      </c>
      <c r="I1452">
        <v>0.81</v>
      </c>
      <c r="J1452">
        <v>77.64</v>
      </c>
      <c r="K1452">
        <f t="shared" si="201"/>
        <v>1319.88</v>
      </c>
      <c r="L1452">
        <f t="shared" si="207"/>
        <v>1319.88</v>
      </c>
      <c r="M1452">
        <f t="shared" si="199"/>
        <v>619.40520000000004</v>
      </c>
      <c r="N1452">
        <f t="shared" si="202"/>
        <v>154.85130000000001</v>
      </c>
      <c r="O1452">
        <f t="shared" si="203"/>
        <v>619.40520000000004</v>
      </c>
      <c r="P1452">
        <f t="shared" si="204"/>
        <v>154.85130000000001</v>
      </c>
      <c r="Q1452">
        <f t="shared" si="205"/>
        <v>158.01026652000002</v>
      </c>
      <c r="R1452">
        <f t="shared" si="206"/>
        <v>425.63070000000005</v>
      </c>
      <c r="S1452">
        <f t="shared" si="200"/>
        <v>1319.88</v>
      </c>
    </row>
    <row r="1453" spans="1:19" x14ac:dyDescent="0.25">
      <c r="A1453">
        <v>1583</v>
      </c>
      <c r="B1453">
        <v>1364</v>
      </c>
      <c r="C1453" t="s">
        <v>34</v>
      </c>
      <c r="D1453" t="s">
        <v>172</v>
      </c>
      <c r="E1453">
        <v>15</v>
      </c>
      <c r="F1453">
        <v>18.63</v>
      </c>
      <c r="G1453">
        <v>10.68</v>
      </c>
      <c r="H1453">
        <v>37.19</v>
      </c>
      <c r="I1453">
        <v>1.1100000000000001</v>
      </c>
      <c r="J1453">
        <v>345.09</v>
      </c>
      <c r="K1453">
        <f t="shared" si="201"/>
        <v>5176.3499999999995</v>
      </c>
      <c r="L1453">
        <f t="shared" si="207"/>
        <v>0</v>
      </c>
      <c r="M1453">
        <f t="shared" si="199"/>
        <v>0</v>
      </c>
      <c r="N1453">
        <f t="shared" si="202"/>
        <v>0</v>
      </c>
      <c r="O1453">
        <f t="shared" si="203"/>
        <v>2984.5259999999998</v>
      </c>
      <c r="P1453">
        <f t="shared" si="204"/>
        <v>746.13149999999996</v>
      </c>
      <c r="Q1453">
        <f t="shared" si="205"/>
        <v>761.35258259999989</v>
      </c>
      <c r="R1453">
        <f t="shared" si="206"/>
        <v>619.21350000000007</v>
      </c>
      <c r="S1453">
        <f t="shared" si="200"/>
        <v>5176.3499999999995</v>
      </c>
    </row>
    <row r="1454" spans="1:19" x14ac:dyDescent="0.25">
      <c r="A1454">
        <v>1584</v>
      </c>
      <c r="B1454">
        <v>1364</v>
      </c>
      <c r="C1454" t="s">
        <v>34</v>
      </c>
      <c r="D1454" t="s">
        <v>173</v>
      </c>
      <c r="E1454">
        <v>23</v>
      </c>
      <c r="F1454">
        <v>13.2</v>
      </c>
      <c r="G1454">
        <v>2.87</v>
      </c>
      <c r="H1454">
        <v>29.04</v>
      </c>
      <c r="I1454">
        <v>0.8</v>
      </c>
      <c r="J1454">
        <v>69.88</v>
      </c>
      <c r="K1454">
        <f t="shared" si="201"/>
        <v>1607.2399999999998</v>
      </c>
      <c r="L1454">
        <f t="shared" si="207"/>
        <v>1607.2399999999998</v>
      </c>
      <c r="M1454">
        <f t="shared" si="199"/>
        <v>871.33199999999999</v>
      </c>
      <c r="N1454">
        <f t="shared" si="202"/>
        <v>217.833</v>
      </c>
      <c r="O1454">
        <f t="shared" si="203"/>
        <v>871.33199999999999</v>
      </c>
      <c r="P1454">
        <f t="shared" si="204"/>
        <v>217.833</v>
      </c>
      <c r="Q1454">
        <f t="shared" si="205"/>
        <v>222.27679319999999</v>
      </c>
      <c r="R1454">
        <f t="shared" si="206"/>
        <v>534.33600000000001</v>
      </c>
      <c r="S1454">
        <f t="shared" si="200"/>
        <v>1607.2399999999998</v>
      </c>
    </row>
    <row r="1455" spans="1:19" x14ac:dyDescent="0.25">
      <c r="A1455">
        <v>1585</v>
      </c>
      <c r="B1455">
        <v>1364</v>
      </c>
      <c r="C1455" t="s">
        <v>34</v>
      </c>
      <c r="D1455" t="s">
        <v>172</v>
      </c>
      <c r="E1455">
        <v>13</v>
      </c>
      <c r="F1455">
        <v>21.67</v>
      </c>
      <c r="G1455">
        <v>10.81</v>
      </c>
      <c r="H1455">
        <v>30.33</v>
      </c>
      <c r="I1455">
        <v>1.1599999999999999</v>
      </c>
      <c r="J1455">
        <v>390.32</v>
      </c>
      <c r="K1455">
        <f t="shared" si="201"/>
        <v>5074.16</v>
      </c>
      <c r="L1455">
        <f t="shared" si="207"/>
        <v>0</v>
      </c>
      <c r="M1455">
        <f t="shared" si="199"/>
        <v>0</v>
      </c>
      <c r="N1455">
        <f t="shared" si="202"/>
        <v>0</v>
      </c>
      <c r="O1455">
        <f t="shared" si="203"/>
        <v>3045.2851000000001</v>
      </c>
      <c r="P1455">
        <f t="shared" si="204"/>
        <v>761.32127500000001</v>
      </c>
      <c r="Q1455">
        <f t="shared" si="205"/>
        <v>776.85222900999997</v>
      </c>
      <c r="R1455">
        <f t="shared" si="206"/>
        <v>457.37639999999993</v>
      </c>
      <c r="S1455">
        <f t="shared" si="200"/>
        <v>5074.16</v>
      </c>
    </row>
    <row r="1456" spans="1:19" x14ac:dyDescent="0.25">
      <c r="A1456">
        <v>1586</v>
      </c>
      <c r="B1456">
        <v>1364</v>
      </c>
      <c r="C1456" t="s">
        <v>34</v>
      </c>
      <c r="D1456" t="s">
        <v>172</v>
      </c>
      <c r="E1456">
        <v>12</v>
      </c>
      <c r="F1456">
        <v>20.16</v>
      </c>
      <c r="G1456">
        <v>11.03</v>
      </c>
      <c r="H1456">
        <v>30.32</v>
      </c>
      <c r="I1456">
        <v>1.01</v>
      </c>
      <c r="J1456">
        <v>367.21</v>
      </c>
      <c r="K1456">
        <f t="shared" si="201"/>
        <v>4406.5199999999995</v>
      </c>
      <c r="L1456">
        <f t="shared" si="207"/>
        <v>0</v>
      </c>
      <c r="M1456">
        <f t="shared" si="199"/>
        <v>0</v>
      </c>
      <c r="N1456">
        <f t="shared" si="202"/>
        <v>0</v>
      </c>
      <c r="O1456">
        <f t="shared" si="203"/>
        <v>2668.3775999999998</v>
      </c>
      <c r="P1456">
        <f t="shared" si="204"/>
        <v>667.09439999999995</v>
      </c>
      <c r="Q1456">
        <f t="shared" si="205"/>
        <v>680.70312575999992</v>
      </c>
      <c r="R1456">
        <f t="shared" si="206"/>
        <v>367.47840000000002</v>
      </c>
      <c r="S1456">
        <f t="shared" si="200"/>
        <v>4406.5199999999995</v>
      </c>
    </row>
    <row r="1457" spans="1:19" x14ac:dyDescent="0.25">
      <c r="A1457">
        <v>1587</v>
      </c>
      <c r="B1457">
        <v>1364</v>
      </c>
      <c r="C1457" t="s">
        <v>34</v>
      </c>
      <c r="D1457" t="s">
        <v>172</v>
      </c>
      <c r="E1457">
        <v>9</v>
      </c>
      <c r="F1457">
        <v>20.59</v>
      </c>
      <c r="G1457">
        <v>11.5</v>
      </c>
      <c r="H1457">
        <v>31.48</v>
      </c>
      <c r="I1457">
        <v>1.04</v>
      </c>
      <c r="J1457">
        <v>391.18</v>
      </c>
      <c r="K1457">
        <f t="shared" si="201"/>
        <v>3520.62</v>
      </c>
      <c r="L1457">
        <f t="shared" si="207"/>
        <v>0</v>
      </c>
      <c r="M1457">
        <f t="shared" si="199"/>
        <v>0</v>
      </c>
      <c r="N1457">
        <f t="shared" si="202"/>
        <v>0</v>
      </c>
      <c r="O1457">
        <f t="shared" si="203"/>
        <v>2131.0650000000001</v>
      </c>
      <c r="P1457">
        <f t="shared" si="204"/>
        <v>532.76625000000001</v>
      </c>
      <c r="Q1457">
        <f t="shared" si="205"/>
        <v>543.63468150000006</v>
      </c>
      <c r="R1457">
        <f t="shared" si="206"/>
        <v>294.65280000000001</v>
      </c>
      <c r="S1457">
        <f t="shared" si="200"/>
        <v>3520.62</v>
      </c>
    </row>
    <row r="1458" spans="1:19" x14ac:dyDescent="0.25">
      <c r="A1458">
        <v>1588</v>
      </c>
      <c r="B1458">
        <v>1364</v>
      </c>
      <c r="C1458" t="s">
        <v>34</v>
      </c>
      <c r="D1458" t="s">
        <v>172</v>
      </c>
      <c r="E1458">
        <v>18</v>
      </c>
      <c r="F1458">
        <v>18.45</v>
      </c>
      <c r="G1458">
        <v>10.41</v>
      </c>
      <c r="H1458">
        <v>33.26</v>
      </c>
      <c r="I1458">
        <v>0.98</v>
      </c>
      <c r="J1458">
        <v>324.48</v>
      </c>
      <c r="K1458">
        <f t="shared" si="201"/>
        <v>5840.64</v>
      </c>
      <c r="L1458">
        <f t="shared" si="207"/>
        <v>0</v>
      </c>
      <c r="M1458">
        <f t="shared" si="199"/>
        <v>0</v>
      </c>
      <c r="N1458">
        <f t="shared" si="202"/>
        <v>0</v>
      </c>
      <c r="O1458">
        <f t="shared" si="203"/>
        <v>3457.1609999999996</v>
      </c>
      <c r="P1458">
        <f t="shared" si="204"/>
        <v>864.2902499999999</v>
      </c>
      <c r="Q1458">
        <f t="shared" si="205"/>
        <v>881.92177109999989</v>
      </c>
      <c r="R1458">
        <f t="shared" si="206"/>
        <v>586.70640000000003</v>
      </c>
      <c r="S1458">
        <f t="shared" si="200"/>
        <v>5840.64</v>
      </c>
    </row>
    <row r="1459" spans="1:19" x14ac:dyDescent="0.25">
      <c r="A1459">
        <v>1589</v>
      </c>
      <c r="B1459">
        <v>1364</v>
      </c>
      <c r="C1459" t="s">
        <v>34</v>
      </c>
      <c r="D1459" t="s">
        <v>173</v>
      </c>
      <c r="E1459">
        <v>15</v>
      </c>
      <c r="F1459">
        <v>13.32</v>
      </c>
      <c r="G1459">
        <v>2.86</v>
      </c>
      <c r="H1459">
        <v>33.83</v>
      </c>
      <c r="I1459">
        <v>0.79</v>
      </c>
      <c r="J1459">
        <v>81.78</v>
      </c>
      <c r="K1459">
        <f t="shared" si="201"/>
        <v>1226.7</v>
      </c>
      <c r="L1459">
        <f t="shared" si="207"/>
        <v>1226.7</v>
      </c>
      <c r="M1459">
        <f t="shared" si="199"/>
        <v>571.428</v>
      </c>
      <c r="N1459">
        <f t="shared" si="202"/>
        <v>142.857</v>
      </c>
      <c r="O1459">
        <f t="shared" si="203"/>
        <v>571.428</v>
      </c>
      <c r="P1459">
        <f t="shared" si="204"/>
        <v>142.857</v>
      </c>
      <c r="Q1459">
        <f t="shared" si="205"/>
        <v>145.77128279999999</v>
      </c>
      <c r="R1459">
        <f t="shared" si="206"/>
        <v>400.88550000000004</v>
      </c>
      <c r="S1459">
        <f t="shared" si="200"/>
        <v>1226.7</v>
      </c>
    </row>
    <row r="1460" spans="1:19" x14ac:dyDescent="0.25">
      <c r="A1460">
        <v>1590</v>
      </c>
      <c r="B1460">
        <v>1364</v>
      </c>
      <c r="C1460" t="s">
        <v>34</v>
      </c>
      <c r="D1460" t="s">
        <v>172</v>
      </c>
      <c r="E1460">
        <v>15</v>
      </c>
      <c r="F1460">
        <v>18.5</v>
      </c>
      <c r="G1460">
        <v>11.72</v>
      </c>
      <c r="H1460">
        <v>35.200000000000003</v>
      </c>
      <c r="I1460">
        <v>0.95</v>
      </c>
      <c r="J1460">
        <v>362.31</v>
      </c>
      <c r="K1460">
        <f t="shared" si="201"/>
        <v>5434.65</v>
      </c>
      <c r="L1460">
        <f t="shared" si="207"/>
        <v>0</v>
      </c>
      <c r="M1460">
        <f t="shared" si="199"/>
        <v>0</v>
      </c>
      <c r="N1460">
        <f t="shared" si="202"/>
        <v>0</v>
      </c>
      <c r="O1460">
        <f t="shared" si="203"/>
        <v>3252.3</v>
      </c>
      <c r="P1460">
        <f t="shared" si="204"/>
        <v>813.07500000000005</v>
      </c>
      <c r="Q1460">
        <f t="shared" si="205"/>
        <v>829.66173000000003</v>
      </c>
      <c r="R1460">
        <f t="shared" si="206"/>
        <v>501.6</v>
      </c>
      <c r="S1460">
        <f t="shared" si="200"/>
        <v>5434.65</v>
      </c>
    </row>
    <row r="1461" spans="1:19" x14ac:dyDescent="0.25">
      <c r="A1461">
        <v>1591</v>
      </c>
      <c r="B1461">
        <v>1365</v>
      </c>
      <c r="C1461" t="s">
        <v>34</v>
      </c>
      <c r="D1461" t="s">
        <v>173</v>
      </c>
      <c r="E1461">
        <v>20</v>
      </c>
      <c r="F1461">
        <v>14.83</v>
      </c>
      <c r="G1461">
        <v>3.02</v>
      </c>
      <c r="H1461">
        <v>29.92</v>
      </c>
      <c r="I1461">
        <v>0.78</v>
      </c>
      <c r="J1461">
        <v>77.73</v>
      </c>
      <c r="K1461">
        <f t="shared" si="201"/>
        <v>1554.6000000000001</v>
      </c>
      <c r="L1461">
        <f t="shared" si="207"/>
        <v>1554.6000000000001</v>
      </c>
      <c r="M1461">
        <f t="shared" si="199"/>
        <v>895.73199999999997</v>
      </c>
      <c r="N1461">
        <f t="shared" si="202"/>
        <v>223.93299999999999</v>
      </c>
      <c r="O1461">
        <f t="shared" si="203"/>
        <v>895.73199999999997</v>
      </c>
      <c r="P1461">
        <f t="shared" si="204"/>
        <v>223.93299999999999</v>
      </c>
      <c r="Q1461">
        <f t="shared" si="205"/>
        <v>228.50123319999997</v>
      </c>
      <c r="R1461">
        <f t="shared" si="206"/>
        <v>466.75200000000007</v>
      </c>
      <c r="S1461">
        <f t="shared" si="200"/>
        <v>1554.6000000000001</v>
      </c>
    </row>
    <row r="1462" spans="1:19" x14ac:dyDescent="0.25">
      <c r="A1462">
        <v>1592</v>
      </c>
      <c r="B1462">
        <v>1365</v>
      </c>
      <c r="C1462" t="s">
        <v>34</v>
      </c>
      <c r="D1462" t="s">
        <v>172</v>
      </c>
      <c r="E1462">
        <v>27</v>
      </c>
      <c r="F1462">
        <v>18.66</v>
      </c>
      <c r="G1462">
        <v>11.71</v>
      </c>
      <c r="H1462">
        <v>32.85</v>
      </c>
      <c r="I1462">
        <v>0.94</v>
      </c>
      <c r="J1462">
        <v>361.78</v>
      </c>
      <c r="K1462">
        <f t="shared" si="201"/>
        <v>9768.06</v>
      </c>
      <c r="L1462">
        <f t="shared" si="207"/>
        <v>0</v>
      </c>
      <c r="M1462">
        <f t="shared" si="199"/>
        <v>0</v>
      </c>
      <c r="N1462">
        <f t="shared" si="202"/>
        <v>0</v>
      </c>
      <c r="O1462">
        <f t="shared" si="203"/>
        <v>5899.7322000000004</v>
      </c>
      <c r="P1462">
        <f t="shared" si="204"/>
        <v>1474.9330500000001</v>
      </c>
      <c r="Q1462">
        <f t="shared" si="205"/>
        <v>1505.02168422</v>
      </c>
      <c r="R1462">
        <f t="shared" si="206"/>
        <v>833.73299999999995</v>
      </c>
      <c r="S1462">
        <f t="shared" si="200"/>
        <v>9768.06</v>
      </c>
    </row>
    <row r="1463" spans="1:19" x14ac:dyDescent="0.25">
      <c r="A1463">
        <v>1593</v>
      </c>
      <c r="B1463">
        <v>1365</v>
      </c>
      <c r="C1463" t="s">
        <v>34</v>
      </c>
      <c r="D1463" t="s">
        <v>172</v>
      </c>
      <c r="E1463">
        <v>21</v>
      </c>
      <c r="F1463">
        <v>21.56</v>
      </c>
      <c r="G1463">
        <v>12.29</v>
      </c>
      <c r="H1463">
        <v>25.1</v>
      </c>
      <c r="I1463">
        <v>1.06</v>
      </c>
      <c r="J1463">
        <v>425.81</v>
      </c>
      <c r="K1463">
        <f t="shared" si="201"/>
        <v>8942.01</v>
      </c>
      <c r="L1463">
        <f t="shared" si="207"/>
        <v>0</v>
      </c>
      <c r="M1463">
        <f t="shared" si="199"/>
        <v>0</v>
      </c>
      <c r="N1463">
        <f t="shared" si="202"/>
        <v>0</v>
      </c>
      <c r="O1463">
        <f t="shared" si="203"/>
        <v>5564.4203999999991</v>
      </c>
      <c r="P1463">
        <f t="shared" si="204"/>
        <v>1391.1050999999998</v>
      </c>
      <c r="Q1463">
        <f t="shared" si="205"/>
        <v>1419.4836440399997</v>
      </c>
      <c r="R1463">
        <f t="shared" si="206"/>
        <v>558.72600000000011</v>
      </c>
      <c r="S1463">
        <f t="shared" si="200"/>
        <v>8942.01</v>
      </c>
    </row>
    <row r="1464" spans="1:19" x14ac:dyDescent="0.25">
      <c r="A1464">
        <v>1594</v>
      </c>
      <c r="B1464">
        <v>1365</v>
      </c>
      <c r="C1464" t="s">
        <v>34</v>
      </c>
      <c r="D1464" t="s">
        <v>172</v>
      </c>
      <c r="E1464">
        <v>31</v>
      </c>
      <c r="F1464">
        <v>18.52</v>
      </c>
      <c r="G1464">
        <v>10.75</v>
      </c>
      <c r="H1464">
        <v>29.96</v>
      </c>
      <c r="I1464">
        <v>1.08</v>
      </c>
      <c r="J1464">
        <v>334.65</v>
      </c>
      <c r="K1464">
        <f t="shared" si="201"/>
        <v>10374.15</v>
      </c>
      <c r="L1464">
        <f t="shared" si="207"/>
        <v>0</v>
      </c>
      <c r="M1464">
        <f t="shared" si="199"/>
        <v>0</v>
      </c>
      <c r="N1464">
        <f t="shared" si="202"/>
        <v>0</v>
      </c>
      <c r="O1464">
        <f t="shared" si="203"/>
        <v>6171.79</v>
      </c>
      <c r="P1464">
        <f t="shared" si="204"/>
        <v>1542.9475</v>
      </c>
      <c r="Q1464">
        <f t="shared" si="205"/>
        <v>1574.4236289999999</v>
      </c>
      <c r="R1464">
        <f t="shared" si="206"/>
        <v>1003.0608000000002</v>
      </c>
      <c r="S1464">
        <f t="shared" si="200"/>
        <v>10374.15</v>
      </c>
    </row>
    <row r="1465" spans="1:19" x14ac:dyDescent="0.25">
      <c r="A1465">
        <v>1595</v>
      </c>
      <c r="B1465">
        <v>1365</v>
      </c>
      <c r="C1465" t="s">
        <v>34</v>
      </c>
      <c r="D1465" t="s">
        <v>172</v>
      </c>
      <c r="E1465">
        <v>16</v>
      </c>
      <c r="F1465">
        <v>18.55</v>
      </c>
      <c r="G1465">
        <v>11.49</v>
      </c>
      <c r="H1465">
        <v>27.98</v>
      </c>
      <c r="I1465">
        <v>1.05</v>
      </c>
      <c r="J1465">
        <v>352.01</v>
      </c>
      <c r="K1465">
        <f t="shared" si="201"/>
        <v>5632.16</v>
      </c>
      <c r="L1465">
        <f t="shared" si="207"/>
        <v>0</v>
      </c>
      <c r="M1465">
        <f t="shared" si="199"/>
        <v>0</v>
      </c>
      <c r="N1465">
        <f t="shared" si="202"/>
        <v>0</v>
      </c>
      <c r="O1465">
        <f t="shared" si="203"/>
        <v>3410.232</v>
      </c>
      <c r="P1465">
        <f t="shared" si="204"/>
        <v>852.55799999999999</v>
      </c>
      <c r="Q1465">
        <f t="shared" si="205"/>
        <v>869.95018319999997</v>
      </c>
      <c r="R1465">
        <f t="shared" si="206"/>
        <v>470.06400000000002</v>
      </c>
      <c r="S1465">
        <f t="shared" si="200"/>
        <v>5632.16</v>
      </c>
    </row>
    <row r="1466" spans="1:19" x14ac:dyDescent="0.25">
      <c r="A1466">
        <v>1596</v>
      </c>
      <c r="B1466">
        <v>1365</v>
      </c>
      <c r="C1466" t="s">
        <v>34</v>
      </c>
      <c r="D1466" t="s">
        <v>172</v>
      </c>
      <c r="E1466">
        <v>16</v>
      </c>
      <c r="F1466">
        <v>19.260000000000002</v>
      </c>
      <c r="G1466">
        <v>11.71</v>
      </c>
      <c r="H1466">
        <v>26.03</v>
      </c>
      <c r="I1466">
        <v>1.1000000000000001</v>
      </c>
      <c r="J1466">
        <v>369.56</v>
      </c>
      <c r="K1466">
        <f t="shared" si="201"/>
        <v>5912.96</v>
      </c>
      <c r="L1466">
        <f t="shared" si="207"/>
        <v>0</v>
      </c>
      <c r="M1466">
        <f t="shared" si="199"/>
        <v>0</v>
      </c>
      <c r="N1466">
        <f t="shared" si="202"/>
        <v>0</v>
      </c>
      <c r="O1466">
        <f t="shared" si="203"/>
        <v>3608.5536000000006</v>
      </c>
      <c r="P1466">
        <f t="shared" si="204"/>
        <v>902.13840000000016</v>
      </c>
      <c r="Q1466">
        <f t="shared" si="205"/>
        <v>920.54202336000014</v>
      </c>
      <c r="R1466">
        <f t="shared" si="206"/>
        <v>458.12800000000004</v>
      </c>
      <c r="S1466">
        <f t="shared" si="200"/>
        <v>5912.96</v>
      </c>
    </row>
    <row r="1467" spans="1:19" x14ac:dyDescent="0.25">
      <c r="A1467">
        <v>1597</v>
      </c>
      <c r="B1467">
        <v>1365</v>
      </c>
      <c r="C1467" t="s">
        <v>34</v>
      </c>
      <c r="D1467" t="s">
        <v>172</v>
      </c>
      <c r="E1467">
        <v>16</v>
      </c>
      <c r="F1467">
        <v>19.940000000000001</v>
      </c>
      <c r="G1467">
        <v>10.24</v>
      </c>
      <c r="H1467">
        <v>30.6</v>
      </c>
      <c r="I1467">
        <v>1.01</v>
      </c>
      <c r="J1467">
        <v>340.5</v>
      </c>
      <c r="K1467">
        <f t="shared" si="201"/>
        <v>5448</v>
      </c>
      <c r="L1467">
        <f t="shared" si="207"/>
        <v>0</v>
      </c>
      <c r="M1467">
        <f t="shared" si="199"/>
        <v>0</v>
      </c>
      <c r="N1467">
        <f t="shared" si="202"/>
        <v>0</v>
      </c>
      <c r="O1467">
        <f t="shared" si="203"/>
        <v>3266.9696000000004</v>
      </c>
      <c r="P1467">
        <f t="shared" si="204"/>
        <v>816.74240000000009</v>
      </c>
      <c r="Q1467">
        <f t="shared" si="205"/>
        <v>833.4039449600001</v>
      </c>
      <c r="R1467">
        <f t="shared" si="206"/>
        <v>494.49600000000004</v>
      </c>
      <c r="S1467">
        <f t="shared" si="200"/>
        <v>5448</v>
      </c>
    </row>
    <row r="1468" spans="1:19" x14ac:dyDescent="0.25">
      <c r="A1468">
        <v>1598</v>
      </c>
      <c r="B1468">
        <v>1365</v>
      </c>
      <c r="C1468" t="s">
        <v>34</v>
      </c>
      <c r="D1468" t="s">
        <v>172</v>
      </c>
      <c r="E1468">
        <v>31</v>
      </c>
      <c r="F1468">
        <v>20.260000000000002</v>
      </c>
      <c r="G1468">
        <v>10.95</v>
      </c>
      <c r="H1468">
        <v>34.979999999999997</v>
      </c>
      <c r="I1468">
        <v>1.1000000000000001</v>
      </c>
      <c r="J1468">
        <v>375.79</v>
      </c>
      <c r="K1468">
        <f t="shared" si="201"/>
        <v>11649.49</v>
      </c>
      <c r="L1468">
        <f t="shared" si="207"/>
        <v>0</v>
      </c>
      <c r="M1468">
        <f t="shared" si="199"/>
        <v>0</v>
      </c>
      <c r="N1468">
        <f t="shared" si="202"/>
        <v>0</v>
      </c>
      <c r="O1468">
        <f t="shared" si="203"/>
        <v>6877.2570000000005</v>
      </c>
      <c r="P1468">
        <f t="shared" si="204"/>
        <v>1719.3142500000001</v>
      </c>
      <c r="Q1468">
        <f t="shared" si="205"/>
        <v>1754.3882607</v>
      </c>
      <c r="R1468">
        <f t="shared" si="206"/>
        <v>1192.818</v>
      </c>
      <c r="S1468">
        <f t="shared" si="200"/>
        <v>11649.49</v>
      </c>
    </row>
    <row r="1469" spans="1:19" x14ac:dyDescent="0.25">
      <c r="A1469">
        <v>1599</v>
      </c>
      <c r="B1469">
        <v>1366</v>
      </c>
      <c r="C1469" t="s">
        <v>32</v>
      </c>
      <c r="D1469" t="s">
        <v>173</v>
      </c>
      <c r="E1469">
        <v>14</v>
      </c>
      <c r="F1469">
        <v>16.28</v>
      </c>
      <c r="G1469">
        <v>3.03</v>
      </c>
      <c r="H1469">
        <v>31.95</v>
      </c>
      <c r="I1469">
        <v>0.81</v>
      </c>
      <c r="J1469">
        <v>96.29</v>
      </c>
      <c r="K1469">
        <f t="shared" si="201"/>
        <v>1348.0600000000002</v>
      </c>
      <c r="L1469">
        <f t="shared" si="207"/>
        <v>1348.0600000000002</v>
      </c>
      <c r="M1469">
        <f t="shared" si="199"/>
        <v>690.59759999999994</v>
      </c>
      <c r="N1469">
        <f t="shared" si="202"/>
        <v>172.64939999999999</v>
      </c>
      <c r="O1469">
        <f t="shared" si="203"/>
        <v>690.59759999999994</v>
      </c>
      <c r="P1469">
        <f t="shared" si="204"/>
        <v>172.64939999999999</v>
      </c>
      <c r="Q1469">
        <f t="shared" si="205"/>
        <v>176.17144775999998</v>
      </c>
      <c r="R1469">
        <f t="shared" si="206"/>
        <v>362.31299999999999</v>
      </c>
      <c r="S1469">
        <f t="shared" si="200"/>
        <v>1348.0600000000002</v>
      </c>
    </row>
    <row r="1470" spans="1:19" x14ac:dyDescent="0.25">
      <c r="A1470">
        <v>1600</v>
      </c>
      <c r="B1470">
        <v>1366</v>
      </c>
      <c r="C1470" t="s">
        <v>32</v>
      </c>
      <c r="D1470" t="s">
        <v>172</v>
      </c>
      <c r="E1470">
        <v>16</v>
      </c>
      <c r="F1470">
        <v>20.14</v>
      </c>
      <c r="G1470">
        <v>10.119999999999999</v>
      </c>
      <c r="H1470">
        <v>32.61</v>
      </c>
      <c r="I1470">
        <v>1.03</v>
      </c>
      <c r="J1470">
        <v>343.15</v>
      </c>
      <c r="K1470">
        <f t="shared" si="201"/>
        <v>5490.4</v>
      </c>
      <c r="L1470">
        <f t="shared" si="207"/>
        <v>0</v>
      </c>
      <c r="M1470">
        <f t="shared" si="199"/>
        <v>0</v>
      </c>
      <c r="N1470">
        <f t="shared" si="202"/>
        <v>0</v>
      </c>
      <c r="O1470">
        <f t="shared" si="203"/>
        <v>3261.0688</v>
      </c>
      <c r="P1470">
        <f t="shared" si="204"/>
        <v>815.2672</v>
      </c>
      <c r="Q1470">
        <f t="shared" si="205"/>
        <v>831.89865087999999</v>
      </c>
      <c r="R1470">
        <f t="shared" si="206"/>
        <v>537.41280000000006</v>
      </c>
      <c r="S1470">
        <f t="shared" si="200"/>
        <v>5490.4</v>
      </c>
    </row>
    <row r="1471" spans="1:19" x14ac:dyDescent="0.25">
      <c r="A1471">
        <v>1601</v>
      </c>
      <c r="B1471">
        <v>1366</v>
      </c>
      <c r="C1471" t="s">
        <v>32</v>
      </c>
      <c r="D1471" t="s">
        <v>172</v>
      </c>
      <c r="E1471">
        <v>9</v>
      </c>
      <c r="F1471">
        <v>20.350000000000001</v>
      </c>
      <c r="G1471">
        <v>9.83</v>
      </c>
      <c r="H1471">
        <v>28.22</v>
      </c>
      <c r="I1471">
        <v>0.94</v>
      </c>
      <c r="J1471">
        <v>329.13</v>
      </c>
      <c r="K1471">
        <f t="shared" si="201"/>
        <v>2962.17</v>
      </c>
      <c r="L1471">
        <f t="shared" si="207"/>
        <v>0</v>
      </c>
      <c r="M1471">
        <f t="shared" si="199"/>
        <v>0</v>
      </c>
      <c r="N1471">
        <f t="shared" si="202"/>
        <v>0</v>
      </c>
      <c r="O1471">
        <f t="shared" si="203"/>
        <v>1800.3645000000001</v>
      </c>
      <c r="P1471">
        <f t="shared" si="204"/>
        <v>450.09112500000003</v>
      </c>
      <c r="Q1471">
        <f t="shared" si="205"/>
        <v>459.27298395000003</v>
      </c>
      <c r="R1471">
        <f t="shared" si="206"/>
        <v>238.74119999999996</v>
      </c>
      <c r="S1471">
        <f t="shared" si="200"/>
        <v>2962.17</v>
      </c>
    </row>
    <row r="1472" spans="1:19" x14ac:dyDescent="0.25">
      <c r="A1472">
        <v>1602</v>
      </c>
      <c r="B1472">
        <v>1366</v>
      </c>
      <c r="C1472" t="s">
        <v>32</v>
      </c>
      <c r="D1472" t="s">
        <v>172</v>
      </c>
      <c r="E1472">
        <v>30</v>
      </c>
      <c r="F1472">
        <v>18.32</v>
      </c>
      <c r="G1472">
        <v>10.58</v>
      </c>
      <c r="H1472">
        <v>31.85</v>
      </c>
      <c r="I1472">
        <v>0.93</v>
      </c>
      <c r="J1472">
        <v>323.56</v>
      </c>
      <c r="K1472">
        <f t="shared" si="201"/>
        <v>9706.7999999999993</v>
      </c>
      <c r="L1472">
        <f t="shared" si="207"/>
        <v>0</v>
      </c>
      <c r="M1472">
        <f t="shared" si="199"/>
        <v>0</v>
      </c>
      <c r="N1472">
        <f t="shared" si="202"/>
        <v>0</v>
      </c>
      <c r="O1472">
        <f t="shared" si="203"/>
        <v>5814.768</v>
      </c>
      <c r="P1472">
        <f t="shared" si="204"/>
        <v>1453.692</v>
      </c>
      <c r="Q1472">
        <f t="shared" si="205"/>
        <v>1483.3473168</v>
      </c>
      <c r="R1472">
        <f t="shared" si="206"/>
        <v>888.61500000000012</v>
      </c>
      <c r="S1472">
        <f t="shared" si="200"/>
        <v>9706.7999999999993</v>
      </c>
    </row>
    <row r="1473" spans="1:19" x14ac:dyDescent="0.25">
      <c r="A1473">
        <v>1603</v>
      </c>
      <c r="B1473">
        <v>1366</v>
      </c>
      <c r="C1473" t="s">
        <v>32</v>
      </c>
      <c r="D1473" t="s">
        <v>173</v>
      </c>
      <c r="E1473">
        <v>17</v>
      </c>
      <c r="F1473">
        <v>14.91</v>
      </c>
      <c r="G1473">
        <v>2.88</v>
      </c>
      <c r="H1473">
        <v>34.270000000000003</v>
      </c>
      <c r="I1473">
        <v>0.79</v>
      </c>
      <c r="J1473">
        <v>88.82</v>
      </c>
      <c r="K1473">
        <f t="shared" si="201"/>
        <v>1509.9399999999998</v>
      </c>
      <c r="L1473">
        <f t="shared" si="207"/>
        <v>1509.9399999999998</v>
      </c>
      <c r="M1473">
        <f t="shared" si="199"/>
        <v>729.99360000000001</v>
      </c>
      <c r="N1473">
        <f t="shared" si="202"/>
        <v>182.4984</v>
      </c>
      <c r="O1473">
        <f t="shared" si="203"/>
        <v>729.99360000000001</v>
      </c>
      <c r="P1473">
        <f t="shared" si="204"/>
        <v>182.4984</v>
      </c>
      <c r="Q1473">
        <f t="shared" si="205"/>
        <v>186.22136735999999</v>
      </c>
      <c r="R1473">
        <f t="shared" si="206"/>
        <v>460.24610000000001</v>
      </c>
      <c r="S1473">
        <f t="shared" si="200"/>
        <v>1509.9399999999998</v>
      </c>
    </row>
    <row r="1474" spans="1:19" x14ac:dyDescent="0.25">
      <c r="A1474">
        <v>1604</v>
      </c>
      <c r="B1474">
        <v>1366</v>
      </c>
      <c r="C1474" t="s">
        <v>32</v>
      </c>
      <c r="D1474" t="s">
        <v>173</v>
      </c>
      <c r="E1474">
        <v>42</v>
      </c>
      <c r="F1474">
        <v>14.18</v>
      </c>
      <c r="G1474">
        <v>2.59</v>
      </c>
      <c r="H1474">
        <v>35.14</v>
      </c>
      <c r="I1474">
        <v>0.8</v>
      </c>
      <c r="J1474">
        <v>73.28</v>
      </c>
      <c r="K1474">
        <f t="shared" si="201"/>
        <v>3077.76</v>
      </c>
      <c r="L1474">
        <f t="shared" si="207"/>
        <v>3077.76</v>
      </c>
      <c r="M1474">
        <f t="shared" ref="M1474:M1537" si="208">IF(D1474="SHOES",O1474,0)</f>
        <v>1542.5003999999999</v>
      </c>
      <c r="N1474">
        <f t="shared" si="202"/>
        <v>385.62509999999997</v>
      </c>
      <c r="O1474">
        <f t="shared" si="203"/>
        <v>1542.5003999999999</v>
      </c>
      <c r="P1474">
        <f t="shared" si="204"/>
        <v>385.62509999999997</v>
      </c>
      <c r="Q1474">
        <f t="shared" si="205"/>
        <v>393.49185203999997</v>
      </c>
      <c r="R1474">
        <f t="shared" si="206"/>
        <v>1180.7040000000002</v>
      </c>
      <c r="S1474">
        <f t="shared" ref="S1474:S1537" si="209">PRODUCT(J1474,E1474)</f>
        <v>3077.76</v>
      </c>
    </row>
    <row r="1475" spans="1:19" x14ac:dyDescent="0.25">
      <c r="A1475">
        <v>1605</v>
      </c>
      <c r="B1475">
        <v>1366</v>
      </c>
      <c r="C1475" t="s">
        <v>32</v>
      </c>
      <c r="D1475" t="s">
        <v>173</v>
      </c>
      <c r="E1475">
        <v>12</v>
      </c>
      <c r="F1475">
        <v>15.74</v>
      </c>
      <c r="G1475">
        <v>2.59</v>
      </c>
      <c r="H1475">
        <v>32.04</v>
      </c>
      <c r="I1475">
        <v>0.8</v>
      </c>
      <c r="J1475">
        <v>84.25</v>
      </c>
      <c r="K1475">
        <f t="shared" ref="K1475:K1538" si="210">E1475*J1475</f>
        <v>1011</v>
      </c>
      <c r="L1475">
        <f t="shared" si="207"/>
        <v>1011</v>
      </c>
      <c r="M1475">
        <f t="shared" si="208"/>
        <v>489.19919999999996</v>
      </c>
      <c r="N1475">
        <f t="shared" ref="N1475:N1538" si="211">IF(D1475="SHOES",P1475,0)</f>
        <v>122.29979999999999</v>
      </c>
      <c r="O1475">
        <f t="shared" ref="O1475:O1538" si="212">PRODUCT(E1475,G1475,F1475)</f>
        <v>489.19919999999996</v>
      </c>
      <c r="P1475">
        <f t="shared" ref="P1475:P1538" si="213">PRODUCT(O1475,0.25)</f>
        <v>122.29979999999999</v>
      </c>
      <c r="Q1475">
        <f t="shared" ref="Q1475:Q1538" si="214">PRODUCT(O1475,0.2551)</f>
        <v>124.79471591999999</v>
      </c>
      <c r="R1475">
        <f t="shared" si="206"/>
        <v>307.58400000000006</v>
      </c>
      <c r="S1475">
        <f t="shared" si="209"/>
        <v>1011</v>
      </c>
    </row>
    <row r="1476" spans="1:19" x14ac:dyDescent="0.25">
      <c r="A1476">
        <v>1606</v>
      </c>
      <c r="B1476">
        <v>1366</v>
      </c>
      <c r="C1476" t="s">
        <v>32</v>
      </c>
      <c r="D1476" t="s">
        <v>172</v>
      </c>
      <c r="E1476">
        <v>8</v>
      </c>
      <c r="F1476">
        <v>19</v>
      </c>
      <c r="G1476">
        <v>10.61</v>
      </c>
      <c r="H1476">
        <v>31.82</v>
      </c>
      <c r="I1476">
        <v>1.03</v>
      </c>
      <c r="J1476">
        <v>338.87</v>
      </c>
      <c r="K1476">
        <f t="shared" si="210"/>
        <v>2710.96</v>
      </c>
      <c r="L1476">
        <f t="shared" si="207"/>
        <v>0</v>
      </c>
      <c r="M1476">
        <f t="shared" si="208"/>
        <v>0</v>
      </c>
      <c r="N1476">
        <f t="shared" si="211"/>
        <v>0</v>
      </c>
      <c r="O1476">
        <f t="shared" si="212"/>
        <v>1612.7199999999998</v>
      </c>
      <c r="P1476">
        <f t="shared" si="213"/>
        <v>403.17999999999995</v>
      </c>
      <c r="Q1476">
        <f t="shared" si="214"/>
        <v>411.40487199999995</v>
      </c>
      <c r="R1476">
        <f t="shared" ref="R1476:R1539" si="215">PRODUCT(E1476,I1476,H1476)</f>
        <v>262.1968</v>
      </c>
      <c r="S1476">
        <f t="shared" si="209"/>
        <v>2710.96</v>
      </c>
    </row>
    <row r="1477" spans="1:19" x14ac:dyDescent="0.25">
      <c r="A1477">
        <v>1607</v>
      </c>
      <c r="B1477">
        <v>1366</v>
      </c>
      <c r="C1477" t="s">
        <v>32</v>
      </c>
      <c r="D1477" t="s">
        <v>172</v>
      </c>
      <c r="E1477">
        <v>15</v>
      </c>
      <c r="F1477">
        <v>20.57</v>
      </c>
      <c r="G1477">
        <v>11.83</v>
      </c>
      <c r="H1477">
        <v>26.28</v>
      </c>
      <c r="I1477">
        <v>1.03</v>
      </c>
      <c r="J1477">
        <v>394.19</v>
      </c>
      <c r="K1477">
        <f t="shared" si="210"/>
        <v>5912.85</v>
      </c>
      <c r="L1477">
        <f t="shared" si="207"/>
        <v>0</v>
      </c>
      <c r="M1477">
        <f t="shared" si="208"/>
        <v>0</v>
      </c>
      <c r="N1477">
        <f t="shared" si="211"/>
        <v>0</v>
      </c>
      <c r="O1477">
        <f t="shared" si="212"/>
        <v>3650.1464999999998</v>
      </c>
      <c r="P1477">
        <f t="shared" si="213"/>
        <v>912.53662499999996</v>
      </c>
      <c r="Q1477">
        <f t="shared" si="214"/>
        <v>931.15237214999991</v>
      </c>
      <c r="R1477">
        <f t="shared" si="215"/>
        <v>406.02600000000007</v>
      </c>
      <c r="S1477">
        <f t="shared" si="209"/>
        <v>5912.85</v>
      </c>
    </row>
    <row r="1478" spans="1:19" x14ac:dyDescent="0.25">
      <c r="A1478">
        <v>1608</v>
      </c>
      <c r="B1478">
        <v>1366</v>
      </c>
      <c r="C1478" t="s">
        <v>32</v>
      </c>
      <c r="D1478" t="s">
        <v>173</v>
      </c>
      <c r="E1478">
        <v>19</v>
      </c>
      <c r="F1478">
        <v>15.97</v>
      </c>
      <c r="G1478">
        <v>2.98</v>
      </c>
      <c r="H1478">
        <v>29.75</v>
      </c>
      <c r="I1478">
        <v>0.79</v>
      </c>
      <c r="J1478">
        <v>91.29</v>
      </c>
      <c r="K1478">
        <f t="shared" si="210"/>
        <v>1734.5100000000002</v>
      </c>
      <c r="L1478">
        <f t="shared" si="207"/>
        <v>1734.5100000000002</v>
      </c>
      <c r="M1478">
        <f t="shared" si="208"/>
        <v>904.22140000000002</v>
      </c>
      <c r="N1478">
        <f t="shared" si="211"/>
        <v>226.05535</v>
      </c>
      <c r="O1478">
        <f t="shared" si="212"/>
        <v>904.22140000000002</v>
      </c>
      <c r="P1478">
        <f t="shared" si="213"/>
        <v>226.05535</v>
      </c>
      <c r="Q1478">
        <f t="shared" si="214"/>
        <v>230.66687913999999</v>
      </c>
      <c r="R1478">
        <f t="shared" si="215"/>
        <v>446.54750000000007</v>
      </c>
      <c r="S1478">
        <f t="shared" si="209"/>
        <v>1734.5100000000002</v>
      </c>
    </row>
    <row r="1479" spans="1:19" x14ac:dyDescent="0.25">
      <c r="A1479">
        <v>1609</v>
      </c>
      <c r="B1479">
        <v>1366</v>
      </c>
      <c r="C1479" t="s">
        <v>32</v>
      </c>
      <c r="D1479" t="s">
        <v>172</v>
      </c>
      <c r="E1479">
        <v>14</v>
      </c>
      <c r="F1479">
        <v>19.309999999999999</v>
      </c>
      <c r="G1479">
        <v>10.45</v>
      </c>
      <c r="H1479">
        <v>33.090000000000003</v>
      </c>
      <c r="I1479">
        <v>1.02</v>
      </c>
      <c r="J1479">
        <v>340.33</v>
      </c>
      <c r="K1479">
        <f t="shared" si="210"/>
        <v>4764.62</v>
      </c>
      <c r="L1479">
        <f t="shared" ref="L1479:L1542" si="216">IF(D1479="SHOES",E1479*J1479,0)</f>
        <v>0</v>
      </c>
      <c r="M1479">
        <f t="shared" si="208"/>
        <v>0</v>
      </c>
      <c r="N1479">
        <f t="shared" si="211"/>
        <v>0</v>
      </c>
      <c r="O1479">
        <f t="shared" si="212"/>
        <v>2825.0529999999994</v>
      </c>
      <c r="P1479">
        <f t="shared" si="213"/>
        <v>706.26324999999986</v>
      </c>
      <c r="Q1479">
        <f t="shared" si="214"/>
        <v>720.67102029999978</v>
      </c>
      <c r="R1479">
        <f t="shared" si="215"/>
        <v>472.5252000000001</v>
      </c>
      <c r="S1479">
        <f t="shared" si="209"/>
        <v>4764.62</v>
      </c>
    </row>
    <row r="1480" spans="1:19" x14ac:dyDescent="0.25">
      <c r="A1480">
        <v>1610</v>
      </c>
      <c r="B1480">
        <v>1366</v>
      </c>
      <c r="C1480" t="s">
        <v>32</v>
      </c>
      <c r="D1480" t="s">
        <v>173</v>
      </c>
      <c r="E1480">
        <v>146</v>
      </c>
      <c r="F1480">
        <v>14.8</v>
      </c>
      <c r="G1480">
        <v>2.84</v>
      </c>
      <c r="H1480">
        <v>29.09</v>
      </c>
      <c r="I1480">
        <v>0.8</v>
      </c>
      <c r="J1480">
        <v>83.39</v>
      </c>
      <c r="K1480">
        <f t="shared" si="210"/>
        <v>12174.94</v>
      </c>
      <c r="L1480">
        <f t="shared" si="216"/>
        <v>12174.94</v>
      </c>
      <c r="M1480">
        <f t="shared" si="208"/>
        <v>6136.6720000000005</v>
      </c>
      <c r="N1480">
        <f t="shared" si="211"/>
        <v>1534.1680000000001</v>
      </c>
      <c r="O1480">
        <f t="shared" si="212"/>
        <v>6136.6720000000005</v>
      </c>
      <c r="P1480">
        <f t="shared" si="213"/>
        <v>1534.1680000000001</v>
      </c>
      <c r="Q1480">
        <f t="shared" si="214"/>
        <v>1565.4650272000001</v>
      </c>
      <c r="R1480">
        <f t="shared" si="215"/>
        <v>3397.7120000000004</v>
      </c>
      <c r="S1480">
        <f t="shared" si="209"/>
        <v>12174.94</v>
      </c>
    </row>
    <row r="1481" spans="1:19" x14ac:dyDescent="0.25">
      <c r="A1481">
        <v>1611</v>
      </c>
      <c r="B1481">
        <v>1366</v>
      </c>
      <c r="C1481" t="s">
        <v>32</v>
      </c>
      <c r="D1481" t="s">
        <v>173</v>
      </c>
      <c r="E1481">
        <v>10</v>
      </c>
      <c r="F1481">
        <v>14.18</v>
      </c>
      <c r="G1481">
        <v>2.54</v>
      </c>
      <c r="H1481">
        <v>29.62</v>
      </c>
      <c r="I1481">
        <v>0.78</v>
      </c>
      <c r="J1481">
        <v>74.94</v>
      </c>
      <c r="K1481">
        <f t="shared" si="210"/>
        <v>749.4</v>
      </c>
      <c r="L1481">
        <f t="shared" si="216"/>
        <v>749.4</v>
      </c>
      <c r="M1481">
        <f t="shared" si="208"/>
        <v>360.17199999999997</v>
      </c>
      <c r="N1481">
        <f t="shared" si="211"/>
        <v>90.042999999999992</v>
      </c>
      <c r="O1481">
        <f t="shared" si="212"/>
        <v>360.17199999999997</v>
      </c>
      <c r="P1481">
        <f t="shared" si="213"/>
        <v>90.042999999999992</v>
      </c>
      <c r="Q1481">
        <f t="shared" si="214"/>
        <v>91.879877199999996</v>
      </c>
      <c r="R1481">
        <f t="shared" si="215"/>
        <v>231.03600000000003</v>
      </c>
      <c r="S1481">
        <f t="shared" si="209"/>
        <v>749.4</v>
      </c>
    </row>
    <row r="1482" spans="1:19" x14ac:dyDescent="0.25">
      <c r="A1482">
        <v>1612</v>
      </c>
      <c r="B1482">
        <v>1366</v>
      </c>
      <c r="C1482" t="s">
        <v>32</v>
      </c>
      <c r="D1482" t="s">
        <v>172</v>
      </c>
      <c r="E1482">
        <v>22</v>
      </c>
      <c r="F1482">
        <v>18.899999999999999</v>
      </c>
      <c r="G1482">
        <v>11.06</v>
      </c>
      <c r="H1482">
        <v>29.42</v>
      </c>
      <c r="I1482">
        <v>1.05</v>
      </c>
      <c r="J1482">
        <v>281.08</v>
      </c>
      <c r="K1482">
        <f t="shared" si="210"/>
        <v>6183.7599999999993</v>
      </c>
      <c r="L1482">
        <f t="shared" si="216"/>
        <v>0</v>
      </c>
      <c r="M1482">
        <f t="shared" si="208"/>
        <v>0</v>
      </c>
      <c r="N1482">
        <f t="shared" si="211"/>
        <v>0</v>
      </c>
      <c r="O1482">
        <f t="shared" si="212"/>
        <v>4598.7480000000005</v>
      </c>
      <c r="P1482">
        <f t="shared" si="213"/>
        <v>1149.6870000000001</v>
      </c>
      <c r="Q1482">
        <f t="shared" si="214"/>
        <v>1173.1406148000001</v>
      </c>
      <c r="R1482">
        <f t="shared" si="215"/>
        <v>679.60200000000009</v>
      </c>
      <c r="S1482">
        <f t="shared" si="209"/>
        <v>6183.7599999999993</v>
      </c>
    </row>
    <row r="1483" spans="1:19" x14ac:dyDescent="0.25">
      <c r="A1483">
        <v>1613</v>
      </c>
      <c r="B1483">
        <v>1366</v>
      </c>
      <c r="C1483" t="s">
        <v>32</v>
      </c>
      <c r="D1483" t="s">
        <v>173</v>
      </c>
      <c r="E1483">
        <v>29</v>
      </c>
      <c r="F1483">
        <v>15.13</v>
      </c>
      <c r="G1483">
        <v>3</v>
      </c>
      <c r="H1483">
        <v>34.909999999999997</v>
      </c>
      <c r="I1483">
        <v>0.8</v>
      </c>
      <c r="J1483">
        <v>93.13</v>
      </c>
      <c r="K1483">
        <f t="shared" si="210"/>
        <v>2700.77</v>
      </c>
      <c r="L1483">
        <f t="shared" si="216"/>
        <v>2700.77</v>
      </c>
      <c r="M1483">
        <f t="shared" si="208"/>
        <v>1316.3100000000002</v>
      </c>
      <c r="N1483">
        <f t="shared" si="211"/>
        <v>329.07750000000004</v>
      </c>
      <c r="O1483">
        <f t="shared" si="212"/>
        <v>1316.3100000000002</v>
      </c>
      <c r="P1483">
        <f t="shared" si="213"/>
        <v>329.07750000000004</v>
      </c>
      <c r="Q1483">
        <f t="shared" si="214"/>
        <v>335.79068100000006</v>
      </c>
      <c r="R1483">
        <f t="shared" si="215"/>
        <v>809.91200000000003</v>
      </c>
      <c r="S1483">
        <f t="shared" si="209"/>
        <v>2700.77</v>
      </c>
    </row>
    <row r="1484" spans="1:19" x14ac:dyDescent="0.25">
      <c r="A1484">
        <v>1614</v>
      </c>
      <c r="B1484">
        <v>1366</v>
      </c>
      <c r="C1484" t="s">
        <v>32</v>
      </c>
      <c r="D1484" t="s">
        <v>173</v>
      </c>
      <c r="E1484">
        <v>67</v>
      </c>
      <c r="F1484">
        <v>15.51</v>
      </c>
      <c r="G1484">
        <v>3.01</v>
      </c>
      <c r="H1484">
        <v>33.229999999999997</v>
      </c>
      <c r="I1484">
        <v>0.78</v>
      </c>
      <c r="J1484">
        <v>92.7</v>
      </c>
      <c r="K1484">
        <f t="shared" si="210"/>
        <v>6210.9000000000005</v>
      </c>
      <c r="L1484">
        <f t="shared" si="216"/>
        <v>6210.9000000000005</v>
      </c>
      <c r="M1484">
        <f t="shared" si="208"/>
        <v>3127.9016999999999</v>
      </c>
      <c r="N1484">
        <f t="shared" si="211"/>
        <v>781.97542499999997</v>
      </c>
      <c r="O1484">
        <f t="shared" si="212"/>
        <v>3127.9016999999999</v>
      </c>
      <c r="P1484">
        <f t="shared" si="213"/>
        <v>781.97542499999997</v>
      </c>
      <c r="Q1484">
        <f t="shared" si="214"/>
        <v>797.92772366999998</v>
      </c>
      <c r="R1484">
        <f t="shared" si="215"/>
        <v>1736.5998</v>
      </c>
      <c r="S1484">
        <f t="shared" si="209"/>
        <v>6210.9000000000005</v>
      </c>
    </row>
    <row r="1485" spans="1:19" x14ac:dyDescent="0.25">
      <c r="A1485">
        <v>1615</v>
      </c>
      <c r="B1485">
        <v>1367</v>
      </c>
      <c r="C1485" t="s">
        <v>33</v>
      </c>
      <c r="D1485" t="s">
        <v>173</v>
      </c>
      <c r="E1485">
        <v>17</v>
      </c>
      <c r="F1485">
        <v>14.94</v>
      </c>
      <c r="G1485">
        <v>2.59</v>
      </c>
      <c r="H1485">
        <v>30.27</v>
      </c>
      <c r="I1485">
        <v>0.78</v>
      </c>
      <c r="J1485">
        <v>79.180000000000007</v>
      </c>
      <c r="K1485">
        <f t="shared" si="210"/>
        <v>1346.0600000000002</v>
      </c>
      <c r="L1485">
        <f t="shared" si="216"/>
        <v>1346.0600000000002</v>
      </c>
      <c r="M1485">
        <f t="shared" si="208"/>
        <v>657.80819999999994</v>
      </c>
      <c r="N1485">
        <f t="shared" si="211"/>
        <v>164.45204999999999</v>
      </c>
      <c r="O1485">
        <f t="shared" si="212"/>
        <v>657.80819999999994</v>
      </c>
      <c r="P1485">
        <f t="shared" si="213"/>
        <v>164.45204999999999</v>
      </c>
      <c r="Q1485">
        <f t="shared" si="214"/>
        <v>167.80687181999997</v>
      </c>
      <c r="R1485">
        <f t="shared" si="215"/>
        <v>401.3802</v>
      </c>
      <c r="S1485">
        <f t="shared" si="209"/>
        <v>1346.0600000000002</v>
      </c>
    </row>
    <row r="1486" spans="1:19" x14ac:dyDescent="0.25">
      <c r="A1486">
        <v>1616</v>
      </c>
      <c r="B1486">
        <v>1367</v>
      </c>
      <c r="C1486" t="s">
        <v>33</v>
      </c>
      <c r="D1486" t="s">
        <v>172</v>
      </c>
      <c r="E1486">
        <v>19</v>
      </c>
      <c r="F1486">
        <v>17.46</v>
      </c>
      <c r="G1486">
        <v>11.51</v>
      </c>
      <c r="H1486">
        <v>41.04</v>
      </c>
      <c r="I1486">
        <v>0.97</v>
      </c>
      <c r="J1486">
        <v>346.31</v>
      </c>
      <c r="K1486">
        <f t="shared" si="210"/>
        <v>6579.89</v>
      </c>
      <c r="L1486">
        <f t="shared" si="216"/>
        <v>0</v>
      </c>
      <c r="M1486">
        <f t="shared" si="208"/>
        <v>0</v>
      </c>
      <c r="N1486">
        <f t="shared" si="211"/>
        <v>0</v>
      </c>
      <c r="O1486">
        <f t="shared" si="212"/>
        <v>3818.3274000000001</v>
      </c>
      <c r="P1486">
        <f t="shared" si="213"/>
        <v>954.58185000000003</v>
      </c>
      <c r="Q1486">
        <f t="shared" si="214"/>
        <v>974.05531973999996</v>
      </c>
      <c r="R1486">
        <f t="shared" si="215"/>
        <v>756.36720000000003</v>
      </c>
      <c r="S1486">
        <f t="shared" si="209"/>
        <v>6579.89</v>
      </c>
    </row>
    <row r="1487" spans="1:19" x14ac:dyDescent="0.25">
      <c r="A1487">
        <v>1617</v>
      </c>
      <c r="B1487">
        <v>1367</v>
      </c>
      <c r="C1487" t="s">
        <v>33</v>
      </c>
      <c r="D1487" t="s">
        <v>173</v>
      </c>
      <c r="E1487">
        <v>10</v>
      </c>
      <c r="F1487">
        <v>17.75</v>
      </c>
      <c r="G1487">
        <v>2.69</v>
      </c>
      <c r="H1487">
        <v>28.91</v>
      </c>
      <c r="I1487">
        <v>0.8</v>
      </c>
      <c r="J1487">
        <v>91.09</v>
      </c>
      <c r="K1487">
        <f t="shared" si="210"/>
        <v>910.90000000000009</v>
      </c>
      <c r="L1487">
        <f t="shared" si="216"/>
        <v>910.90000000000009</v>
      </c>
      <c r="M1487">
        <f t="shared" si="208"/>
        <v>477.47499999999997</v>
      </c>
      <c r="N1487">
        <f t="shared" si="211"/>
        <v>119.36874999999999</v>
      </c>
      <c r="O1487">
        <f t="shared" si="212"/>
        <v>477.47499999999997</v>
      </c>
      <c r="P1487">
        <f t="shared" si="213"/>
        <v>119.36874999999999</v>
      </c>
      <c r="Q1487">
        <f t="shared" si="214"/>
        <v>121.80387249999998</v>
      </c>
      <c r="R1487">
        <f t="shared" si="215"/>
        <v>231.28</v>
      </c>
      <c r="S1487">
        <f t="shared" si="209"/>
        <v>910.90000000000009</v>
      </c>
    </row>
    <row r="1488" spans="1:19" x14ac:dyDescent="0.25">
      <c r="A1488">
        <v>1618</v>
      </c>
      <c r="B1488">
        <v>1367</v>
      </c>
      <c r="C1488" t="s">
        <v>33</v>
      </c>
      <c r="D1488" t="s">
        <v>173</v>
      </c>
      <c r="E1488">
        <v>14</v>
      </c>
      <c r="F1488">
        <v>15.91</v>
      </c>
      <c r="G1488">
        <v>3.24</v>
      </c>
      <c r="H1488">
        <v>33.049999999999997</v>
      </c>
      <c r="I1488">
        <v>0.8</v>
      </c>
      <c r="J1488">
        <v>99.96</v>
      </c>
      <c r="K1488">
        <f t="shared" si="210"/>
        <v>1399.4399999999998</v>
      </c>
      <c r="L1488">
        <f t="shared" si="216"/>
        <v>1399.4399999999998</v>
      </c>
      <c r="M1488">
        <f t="shared" si="208"/>
        <v>721.67759999999998</v>
      </c>
      <c r="N1488">
        <f t="shared" si="211"/>
        <v>180.4194</v>
      </c>
      <c r="O1488">
        <f t="shared" si="212"/>
        <v>721.67759999999998</v>
      </c>
      <c r="P1488">
        <f t="shared" si="213"/>
        <v>180.4194</v>
      </c>
      <c r="Q1488">
        <f t="shared" si="214"/>
        <v>184.09995576</v>
      </c>
      <c r="R1488">
        <f t="shared" si="215"/>
        <v>370.16</v>
      </c>
      <c r="S1488">
        <f t="shared" si="209"/>
        <v>1399.4399999999998</v>
      </c>
    </row>
    <row r="1489" spans="1:19" x14ac:dyDescent="0.25">
      <c r="A1489">
        <v>1619</v>
      </c>
      <c r="B1489">
        <v>1367</v>
      </c>
      <c r="C1489" t="s">
        <v>33</v>
      </c>
      <c r="D1489" t="s">
        <v>173</v>
      </c>
      <c r="E1489">
        <v>18</v>
      </c>
      <c r="F1489">
        <v>14.06</v>
      </c>
      <c r="G1489">
        <v>2.81</v>
      </c>
      <c r="H1489">
        <v>28.94</v>
      </c>
      <c r="I1489">
        <v>0.76</v>
      </c>
      <c r="J1489">
        <v>78.52</v>
      </c>
      <c r="K1489">
        <f t="shared" si="210"/>
        <v>1413.36</v>
      </c>
      <c r="L1489">
        <f t="shared" si="216"/>
        <v>1413.36</v>
      </c>
      <c r="M1489">
        <f t="shared" si="208"/>
        <v>711.15480000000002</v>
      </c>
      <c r="N1489">
        <f t="shared" si="211"/>
        <v>177.78870000000001</v>
      </c>
      <c r="O1489">
        <f t="shared" si="212"/>
        <v>711.15480000000002</v>
      </c>
      <c r="P1489">
        <f t="shared" si="213"/>
        <v>177.78870000000001</v>
      </c>
      <c r="Q1489">
        <f t="shared" si="214"/>
        <v>181.41558947999999</v>
      </c>
      <c r="R1489">
        <f t="shared" si="215"/>
        <v>395.89920000000001</v>
      </c>
      <c r="S1489">
        <f t="shared" si="209"/>
        <v>1413.36</v>
      </c>
    </row>
    <row r="1490" spans="1:19" x14ac:dyDescent="0.25">
      <c r="A1490">
        <v>1620</v>
      </c>
      <c r="B1490">
        <v>1367</v>
      </c>
      <c r="C1490" t="s">
        <v>33</v>
      </c>
      <c r="D1490" t="s">
        <v>173</v>
      </c>
      <c r="E1490">
        <v>14</v>
      </c>
      <c r="F1490">
        <v>14.28</v>
      </c>
      <c r="G1490">
        <v>2.87</v>
      </c>
      <c r="H1490">
        <v>35.130000000000003</v>
      </c>
      <c r="I1490">
        <v>0.81</v>
      </c>
      <c r="J1490">
        <v>87.65</v>
      </c>
      <c r="K1490">
        <f t="shared" si="210"/>
        <v>1227.1000000000001</v>
      </c>
      <c r="L1490">
        <f t="shared" si="216"/>
        <v>1227.1000000000001</v>
      </c>
      <c r="M1490">
        <f t="shared" si="208"/>
        <v>573.7704</v>
      </c>
      <c r="N1490">
        <f t="shared" si="211"/>
        <v>143.4426</v>
      </c>
      <c r="O1490">
        <f t="shared" si="212"/>
        <v>573.7704</v>
      </c>
      <c r="P1490">
        <f t="shared" si="213"/>
        <v>143.4426</v>
      </c>
      <c r="Q1490">
        <f t="shared" si="214"/>
        <v>146.36882904000001</v>
      </c>
      <c r="R1490">
        <f t="shared" si="215"/>
        <v>398.37420000000003</v>
      </c>
      <c r="S1490">
        <f t="shared" si="209"/>
        <v>1227.1000000000001</v>
      </c>
    </row>
    <row r="1491" spans="1:19" x14ac:dyDescent="0.25">
      <c r="A1491">
        <v>1621</v>
      </c>
      <c r="B1491">
        <v>1367</v>
      </c>
      <c r="C1491" t="s">
        <v>33</v>
      </c>
      <c r="D1491" t="s">
        <v>173</v>
      </c>
      <c r="E1491">
        <v>16</v>
      </c>
      <c r="F1491">
        <v>15.39</v>
      </c>
      <c r="G1491">
        <v>2.69</v>
      </c>
      <c r="H1491">
        <v>28.17</v>
      </c>
      <c r="I1491">
        <v>0.8</v>
      </c>
      <c r="J1491">
        <v>73.540000000000006</v>
      </c>
      <c r="K1491">
        <f t="shared" si="210"/>
        <v>1176.6400000000001</v>
      </c>
      <c r="L1491">
        <f t="shared" si="216"/>
        <v>1176.6400000000001</v>
      </c>
      <c r="M1491">
        <f t="shared" si="208"/>
        <v>662.38560000000007</v>
      </c>
      <c r="N1491">
        <f t="shared" si="211"/>
        <v>165.59640000000002</v>
      </c>
      <c r="O1491">
        <f t="shared" si="212"/>
        <v>662.38560000000007</v>
      </c>
      <c r="P1491">
        <f t="shared" si="213"/>
        <v>165.59640000000002</v>
      </c>
      <c r="Q1491">
        <f t="shared" si="214"/>
        <v>168.97456656</v>
      </c>
      <c r="R1491">
        <f t="shared" si="215"/>
        <v>360.57600000000002</v>
      </c>
      <c r="S1491">
        <f t="shared" si="209"/>
        <v>1176.6400000000001</v>
      </c>
    </row>
    <row r="1492" spans="1:19" x14ac:dyDescent="0.25">
      <c r="A1492">
        <v>1622</v>
      </c>
      <c r="B1492">
        <v>1367</v>
      </c>
      <c r="C1492" t="s">
        <v>33</v>
      </c>
      <c r="D1492" t="s">
        <v>173</v>
      </c>
      <c r="E1492">
        <v>12</v>
      </c>
      <c r="F1492">
        <v>14.86</v>
      </c>
      <c r="G1492">
        <v>2.67</v>
      </c>
      <c r="H1492">
        <v>34.869999999999997</v>
      </c>
      <c r="I1492">
        <v>0.78</v>
      </c>
      <c r="J1492">
        <v>84.47</v>
      </c>
      <c r="K1492">
        <f t="shared" si="210"/>
        <v>1013.64</v>
      </c>
      <c r="L1492">
        <f t="shared" si="216"/>
        <v>1013.64</v>
      </c>
      <c r="M1492">
        <f t="shared" si="208"/>
        <v>476.11439999999999</v>
      </c>
      <c r="N1492">
        <f t="shared" si="211"/>
        <v>119.0286</v>
      </c>
      <c r="O1492">
        <f t="shared" si="212"/>
        <v>476.11439999999999</v>
      </c>
      <c r="P1492">
        <f t="shared" si="213"/>
        <v>119.0286</v>
      </c>
      <c r="Q1492">
        <f t="shared" si="214"/>
        <v>121.45678344</v>
      </c>
      <c r="R1492">
        <f t="shared" si="215"/>
        <v>326.38319999999993</v>
      </c>
      <c r="S1492">
        <f t="shared" si="209"/>
        <v>1013.64</v>
      </c>
    </row>
    <row r="1493" spans="1:19" x14ac:dyDescent="0.25">
      <c r="A1493">
        <v>1623</v>
      </c>
      <c r="B1493">
        <v>1368</v>
      </c>
      <c r="C1493" t="s">
        <v>33</v>
      </c>
      <c r="D1493" t="s">
        <v>173</v>
      </c>
      <c r="E1493">
        <v>13</v>
      </c>
      <c r="F1493">
        <v>14.35</v>
      </c>
      <c r="G1493">
        <v>2.99</v>
      </c>
      <c r="H1493">
        <v>26.7</v>
      </c>
      <c r="I1493">
        <v>0.8</v>
      </c>
      <c r="J1493">
        <v>82.49</v>
      </c>
      <c r="K1493">
        <f t="shared" si="210"/>
        <v>1072.3699999999999</v>
      </c>
      <c r="L1493">
        <f t="shared" si="216"/>
        <v>1072.3699999999999</v>
      </c>
      <c r="M1493">
        <f t="shared" si="208"/>
        <v>557.78450000000009</v>
      </c>
      <c r="N1493">
        <f t="shared" si="211"/>
        <v>139.44612500000002</v>
      </c>
      <c r="O1493">
        <f t="shared" si="212"/>
        <v>557.78450000000009</v>
      </c>
      <c r="P1493">
        <f t="shared" si="213"/>
        <v>139.44612500000002</v>
      </c>
      <c r="Q1493">
        <f t="shared" si="214"/>
        <v>142.29082595000003</v>
      </c>
      <c r="R1493">
        <f t="shared" si="215"/>
        <v>277.68</v>
      </c>
      <c r="S1493">
        <f t="shared" si="209"/>
        <v>1072.3699999999999</v>
      </c>
    </row>
    <row r="1494" spans="1:19" x14ac:dyDescent="0.25">
      <c r="A1494">
        <v>1624</v>
      </c>
      <c r="B1494">
        <v>1368</v>
      </c>
      <c r="C1494" t="s">
        <v>33</v>
      </c>
      <c r="D1494" t="s">
        <v>173</v>
      </c>
      <c r="E1494">
        <v>13</v>
      </c>
      <c r="F1494">
        <v>11.52</v>
      </c>
      <c r="G1494">
        <v>3.08</v>
      </c>
      <c r="H1494">
        <v>30.66</v>
      </c>
      <c r="I1494">
        <v>0.8</v>
      </c>
      <c r="J1494">
        <v>75.77</v>
      </c>
      <c r="K1494">
        <f t="shared" si="210"/>
        <v>985.01</v>
      </c>
      <c r="L1494">
        <f t="shared" si="216"/>
        <v>985.01</v>
      </c>
      <c r="M1494">
        <f t="shared" si="208"/>
        <v>461.26079999999996</v>
      </c>
      <c r="N1494">
        <f t="shared" si="211"/>
        <v>115.31519999999999</v>
      </c>
      <c r="O1494">
        <f t="shared" si="212"/>
        <v>461.26079999999996</v>
      </c>
      <c r="P1494">
        <f t="shared" si="213"/>
        <v>115.31519999999999</v>
      </c>
      <c r="Q1494">
        <f t="shared" si="214"/>
        <v>117.66763007999998</v>
      </c>
      <c r="R1494">
        <f t="shared" si="215"/>
        <v>318.86400000000003</v>
      </c>
      <c r="S1494">
        <f t="shared" si="209"/>
        <v>985.01</v>
      </c>
    </row>
    <row r="1495" spans="1:19" x14ac:dyDescent="0.25">
      <c r="A1495">
        <v>1625</v>
      </c>
      <c r="B1495">
        <v>1368</v>
      </c>
      <c r="C1495" t="s">
        <v>33</v>
      </c>
      <c r="D1495" t="s">
        <v>172</v>
      </c>
      <c r="E1495">
        <v>27</v>
      </c>
      <c r="F1495">
        <v>18.93</v>
      </c>
      <c r="G1495">
        <v>10.63</v>
      </c>
      <c r="H1495">
        <v>34.200000000000003</v>
      </c>
      <c r="I1495">
        <v>1.1000000000000001</v>
      </c>
      <c r="J1495">
        <v>344.09</v>
      </c>
      <c r="K1495">
        <f t="shared" si="210"/>
        <v>9290.4299999999985</v>
      </c>
      <c r="L1495">
        <f t="shared" si="216"/>
        <v>0</v>
      </c>
      <c r="M1495">
        <f t="shared" si="208"/>
        <v>0</v>
      </c>
      <c r="N1495">
        <f t="shared" si="211"/>
        <v>0</v>
      </c>
      <c r="O1495">
        <f t="shared" si="212"/>
        <v>5433.0993000000008</v>
      </c>
      <c r="P1495">
        <f t="shared" si="213"/>
        <v>1358.2748250000002</v>
      </c>
      <c r="Q1495">
        <f t="shared" si="214"/>
        <v>1385.9836314300001</v>
      </c>
      <c r="R1495">
        <f t="shared" si="215"/>
        <v>1015.7400000000002</v>
      </c>
      <c r="S1495">
        <f t="shared" si="209"/>
        <v>9290.4299999999985</v>
      </c>
    </row>
    <row r="1496" spans="1:19" x14ac:dyDescent="0.25">
      <c r="A1496">
        <v>1626</v>
      </c>
      <c r="B1496">
        <v>1368</v>
      </c>
      <c r="C1496" t="s">
        <v>33</v>
      </c>
      <c r="D1496" t="s">
        <v>172</v>
      </c>
      <c r="E1496">
        <v>63</v>
      </c>
      <c r="F1496">
        <v>19.07</v>
      </c>
      <c r="G1496">
        <v>10.73</v>
      </c>
      <c r="H1496">
        <v>34.630000000000003</v>
      </c>
      <c r="I1496">
        <v>1.02</v>
      </c>
      <c r="J1496">
        <v>346.41</v>
      </c>
      <c r="K1496">
        <f t="shared" si="210"/>
        <v>21823.83</v>
      </c>
      <c r="L1496">
        <f t="shared" si="216"/>
        <v>0</v>
      </c>
      <c r="M1496">
        <f t="shared" si="208"/>
        <v>0</v>
      </c>
      <c r="N1496">
        <f t="shared" si="211"/>
        <v>0</v>
      </c>
      <c r="O1496">
        <f t="shared" si="212"/>
        <v>12891.129300000001</v>
      </c>
      <c r="P1496">
        <f t="shared" si="213"/>
        <v>3222.7823250000001</v>
      </c>
      <c r="Q1496">
        <f t="shared" si="214"/>
        <v>3288.5270844299998</v>
      </c>
      <c r="R1496">
        <f t="shared" si="215"/>
        <v>2225.3238000000001</v>
      </c>
      <c r="S1496">
        <f t="shared" si="209"/>
        <v>21823.83</v>
      </c>
    </row>
    <row r="1497" spans="1:19" x14ac:dyDescent="0.25">
      <c r="A1497">
        <v>1627</v>
      </c>
      <c r="B1497">
        <v>1368</v>
      </c>
      <c r="C1497" t="s">
        <v>33</v>
      </c>
      <c r="D1497" t="s">
        <v>172</v>
      </c>
      <c r="E1497">
        <v>14</v>
      </c>
      <c r="F1497">
        <v>19.18</v>
      </c>
      <c r="G1497">
        <v>9.84</v>
      </c>
      <c r="H1497">
        <v>34.950000000000003</v>
      </c>
      <c r="I1497">
        <v>0.98</v>
      </c>
      <c r="J1497">
        <v>321.5</v>
      </c>
      <c r="K1497">
        <f t="shared" si="210"/>
        <v>4501</v>
      </c>
      <c r="L1497">
        <f t="shared" si="216"/>
        <v>0</v>
      </c>
      <c r="M1497">
        <f t="shared" si="208"/>
        <v>0</v>
      </c>
      <c r="N1497">
        <f t="shared" si="211"/>
        <v>0</v>
      </c>
      <c r="O1497">
        <f t="shared" si="212"/>
        <v>2642.2367999999997</v>
      </c>
      <c r="P1497">
        <f t="shared" si="213"/>
        <v>660.55919999999992</v>
      </c>
      <c r="Q1497">
        <f t="shared" si="214"/>
        <v>674.03460767999991</v>
      </c>
      <c r="R1497">
        <f t="shared" si="215"/>
        <v>479.51400000000001</v>
      </c>
      <c r="S1497">
        <f t="shared" si="209"/>
        <v>4501</v>
      </c>
    </row>
    <row r="1498" spans="1:19" x14ac:dyDescent="0.25">
      <c r="A1498">
        <v>1628</v>
      </c>
      <c r="B1498">
        <v>1368</v>
      </c>
      <c r="C1498" t="s">
        <v>33</v>
      </c>
      <c r="D1498" t="s">
        <v>172</v>
      </c>
      <c r="E1498">
        <v>14</v>
      </c>
      <c r="F1498">
        <v>20.05</v>
      </c>
      <c r="G1498">
        <v>10.64</v>
      </c>
      <c r="H1498">
        <v>34.9</v>
      </c>
      <c r="I1498">
        <v>1.01</v>
      </c>
      <c r="J1498">
        <v>359.28</v>
      </c>
      <c r="K1498">
        <f t="shared" si="210"/>
        <v>5029.92</v>
      </c>
      <c r="L1498">
        <f t="shared" si="216"/>
        <v>0</v>
      </c>
      <c r="M1498">
        <f t="shared" si="208"/>
        <v>0</v>
      </c>
      <c r="N1498">
        <f t="shared" si="211"/>
        <v>0</v>
      </c>
      <c r="O1498">
        <f t="shared" si="212"/>
        <v>2986.6480000000001</v>
      </c>
      <c r="P1498">
        <f t="shared" si="213"/>
        <v>746.66200000000003</v>
      </c>
      <c r="Q1498">
        <f t="shared" si="214"/>
        <v>761.89390479999997</v>
      </c>
      <c r="R1498">
        <f t="shared" si="215"/>
        <v>493.48599999999999</v>
      </c>
      <c r="S1498">
        <f t="shared" si="209"/>
        <v>5029.92</v>
      </c>
    </row>
    <row r="1499" spans="1:19" x14ac:dyDescent="0.25">
      <c r="A1499">
        <v>1629</v>
      </c>
      <c r="B1499">
        <v>1368</v>
      </c>
      <c r="C1499" t="s">
        <v>33</v>
      </c>
      <c r="D1499" t="s">
        <v>172</v>
      </c>
      <c r="E1499">
        <v>52</v>
      </c>
      <c r="F1499">
        <v>22</v>
      </c>
      <c r="G1499">
        <v>10.62</v>
      </c>
      <c r="H1499">
        <v>32.28</v>
      </c>
      <c r="I1499">
        <v>1.01</v>
      </c>
      <c r="J1499">
        <v>386.34</v>
      </c>
      <c r="K1499">
        <f t="shared" si="210"/>
        <v>20089.68</v>
      </c>
      <c r="L1499">
        <f t="shared" si="216"/>
        <v>0</v>
      </c>
      <c r="M1499">
        <f t="shared" si="208"/>
        <v>0</v>
      </c>
      <c r="N1499">
        <f t="shared" si="211"/>
        <v>0</v>
      </c>
      <c r="O1499">
        <f t="shared" si="212"/>
        <v>12149.28</v>
      </c>
      <c r="P1499">
        <f t="shared" si="213"/>
        <v>3037.32</v>
      </c>
      <c r="Q1499">
        <f t="shared" si="214"/>
        <v>3099.281328</v>
      </c>
      <c r="R1499">
        <f t="shared" si="215"/>
        <v>1695.3456000000001</v>
      </c>
      <c r="S1499">
        <f t="shared" si="209"/>
        <v>20089.68</v>
      </c>
    </row>
    <row r="1500" spans="1:19" x14ac:dyDescent="0.25">
      <c r="A1500">
        <v>1630</v>
      </c>
      <c r="B1500">
        <v>1368</v>
      </c>
      <c r="C1500" t="s">
        <v>33</v>
      </c>
      <c r="D1500" t="s">
        <v>173</v>
      </c>
      <c r="E1500">
        <v>12</v>
      </c>
      <c r="F1500">
        <v>15.56</v>
      </c>
      <c r="G1500">
        <v>2.84</v>
      </c>
      <c r="H1500">
        <v>28.54</v>
      </c>
      <c r="I1500">
        <v>0.81</v>
      </c>
      <c r="J1500">
        <v>77.569999999999993</v>
      </c>
      <c r="K1500">
        <f t="shared" si="210"/>
        <v>930.83999999999992</v>
      </c>
      <c r="L1500">
        <f t="shared" si="216"/>
        <v>930.83999999999992</v>
      </c>
      <c r="M1500">
        <f t="shared" si="208"/>
        <v>530.28480000000002</v>
      </c>
      <c r="N1500">
        <f t="shared" si="211"/>
        <v>132.5712</v>
      </c>
      <c r="O1500">
        <f t="shared" si="212"/>
        <v>530.28480000000002</v>
      </c>
      <c r="P1500">
        <f t="shared" si="213"/>
        <v>132.5712</v>
      </c>
      <c r="Q1500">
        <f t="shared" si="214"/>
        <v>135.27565247999999</v>
      </c>
      <c r="R1500">
        <f t="shared" si="215"/>
        <v>277.40879999999999</v>
      </c>
      <c r="S1500">
        <f t="shared" si="209"/>
        <v>930.83999999999992</v>
      </c>
    </row>
    <row r="1501" spans="1:19" x14ac:dyDescent="0.25">
      <c r="A1501">
        <v>1631</v>
      </c>
      <c r="B1501">
        <v>1369</v>
      </c>
      <c r="C1501" t="s">
        <v>32</v>
      </c>
      <c r="D1501" t="s">
        <v>172</v>
      </c>
      <c r="E1501">
        <v>24</v>
      </c>
      <c r="F1501">
        <v>19.98</v>
      </c>
      <c r="G1501">
        <v>11.49</v>
      </c>
      <c r="H1501">
        <v>34.97</v>
      </c>
      <c r="I1501">
        <v>1.1200000000000001</v>
      </c>
      <c r="J1501">
        <v>388.09</v>
      </c>
      <c r="K1501">
        <f t="shared" si="210"/>
        <v>9314.16</v>
      </c>
      <c r="L1501">
        <f t="shared" si="216"/>
        <v>0</v>
      </c>
      <c r="M1501">
        <f t="shared" si="208"/>
        <v>0</v>
      </c>
      <c r="N1501">
        <f t="shared" si="211"/>
        <v>0</v>
      </c>
      <c r="O1501">
        <f t="shared" si="212"/>
        <v>5509.6848</v>
      </c>
      <c r="P1501">
        <f t="shared" si="213"/>
        <v>1377.4212</v>
      </c>
      <c r="Q1501">
        <f t="shared" si="214"/>
        <v>1405.52059248</v>
      </c>
      <c r="R1501">
        <f t="shared" si="215"/>
        <v>939.99360000000001</v>
      </c>
      <c r="S1501">
        <f t="shared" si="209"/>
        <v>9314.16</v>
      </c>
    </row>
    <row r="1502" spans="1:19" x14ac:dyDescent="0.25">
      <c r="A1502">
        <v>1632</v>
      </c>
      <c r="B1502">
        <v>1369</v>
      </c>
      <c r="C1502" t="s">
        <v>32</v>
      </c>
      <c r="D1502" t="s">
        <v>172</v>
      </c>
      <c r="E1502">
        <v>17</v>
      </c>
      <c r="F1502">
        <v>20.21</v>
      </c>
      <c r="G1502">
        <v>11.18</v>
      </c>
      <c r="H1502">
        <v>29.27</v>
      </c>
      <c r="I1502">
        <v>1.01</v>
      </c>
      <c r="J1502">
        <v>371.28</v>
      </c>
      <c r="K1502">
        <f t="shared" si="210"/>
        <v>6311.7599999999993</v>
      </c>
      <c r="L1502">
        <f t="shared" si="216"/>
        <v>0</v>
      </c>
      <c r="M1502">
        <f t="shared" si="208"/>
        <v>0</v>
      </c>
      <c r="N1502">
        <f t="shared" si="211"/>
        <v>0</v>
      </c>
      <c r="O1502">
        <f t="shared" si="212"/>
        <v>3841.1126000000004</v>
      </c>
      <c r="P1502">
        <f t="shared" si="213"/>
        <v>960.2781500000001</v>
      </c>
      <c r="Q1502">
        <f t="shared" si="214"/>
        <v>979.86782426000002</v>
      </c>
      <c r="R1502">
        <f t="shared" si="215"/>
        <v>502.56590000000006</v>
      </c>
      <c r="S1502">
        <f t="shared" si="209"/>
        <v>6311.7599999999993</v>
      </c>
    </row>
    <row r="1503" spans="1:19" x14ac:dyDescent="0.25">
      <c r="A1503">
        <v>1633</v>
      </c>
      <c r="B1503">
        <v>1369</v>
      </c>
      <c r="C1503" t="s">
        <v>32</v>
      </c>
      <c r="D1503" t="s">
        <v>173</v>
      </c>
      <c r="E1503">
        <v>24</v>
      </c>
      <c r="F1503">
        <v>14.75</v>
      </c>
      <c r="G1503">
        <v>2.54</v>
      </c>
      <c r="H1503">
        <v>28.16</v>
      </c>
      <c r="I1503">
        <v>0.81</v>
      </c>
      <c r="J1503">
        <v>76.599999999999994</v>
      </c>
      <c r="K1503">
        <f t="shared" si="210"/>
        <v>1838.3999999999999</v>
      </c>
      <c r="L1503">
        <f t="shared" si="216"/>
        <v>1838.3999999999999</v>
      </c>
      <c r="M1503">
        <f t="shared" si="208"/>
        <v>899.16</v>
      </c>
      <c r="N1503">
        <f t="shared" si="211"/>
        <v>224.79</v>
      </c>
      <c r="O1503">
        <f t="shared" si="212"/>
        <v>899.16</v>
      </c>
      <c r="P1503">
        <f t="shared" si="213"/>
        <v>224.79</v>
      </c>
      <c r="Q1503">
        <f t="shared" si="214"/>
        <v>229.37571599999998</v>
      </c>
      <c r="R1503">
        <f t="shared" si="215"/>
        <v>547.43040000000008</v>
      </c>
      <c r="S1503">
        <f t="shared" si="209"/>
        <v>1838.3999999999999</v>
      </c>
    </row>
    <row r="1504" spans="1:19" x14ac:dyDescent="0.25">
      <c r="A1504">
        <v>1634</v>
      </c>
      <c r="B1504">
        <v>1369</v>
      </c>
      <c r="C1504" t="s">
        <v>32</v>
      </c>
      <c r="D1504" t="s">
        <v>172</v>
      </c>
      <c r="E1504">
        <v>51</v>
      </c>
      <c r="F1504">
        <v>20.02</v>
      </c>
      <c r="G1504">
        <v>11.98</v>
      </c>
      <c r="H1504">
        <v>34</v>
      </c>
      <c r="I1504">
        <v>1.02</v>
      </c>
      <c r="J1504">
        <v>398.03</v>
      </c>
      <c r="K1504">
        <f t="shared" si="210"/>
        <v>20299.53</v>
      </c>
      <c r="L1504">
        <f t="shared" si="216"/>
        <v>0</v>
      </c>
      <c r="M1504">
        <f t="shared" si="208"/>
        <v>0</v>
      </c>
      <c r="N1504">
        <f t="shared" si="211"/>
        <v>0</v>
      </c>
      <c r="O1504">
        <f t="shared" si="212"/>
        <v>12231.819600000001</v>
      </c>
      <c r="P1504">
        <f t="shared" si="213"/>
        <v>3057.9549000000002</v>
      </c>
      <c r="Q1504">
        <f t="shared" si="214"/>
        <v>3120.33717996</v>
      </c>
      <c r="R1504">
        <f t="shared" si="215"/>
        <v>1768.68</v>
      </c>
      <c r="S1504">
        <f t="shared" si="209"/>
        <v>20299.53</v>
      </c>
    </row>
    <row r="1505" spans="1:19" x14ac:dyDescent="0.25">
      <c r="A1505">
        <v>1635</v>
      </c>
      <c r="B1505">
        <v>1369</v>
      </c>
      <c r="C1505" t="s">
        <v>32</v>
      </c>
      <c r="D1505" t="s">
        <v>172</v>
      </c>
      <c r="E1505">
        <v>9</v>
      </c>
      <c r="F1505">
        <v>19.04</v>
      </c>
      <c r="G1505">
        <v>11.58</v>
      </c>
      <c r="H1505">
        <v>31.32</v>
      </c>
      <c r="I1505">
        <v>0.97</v>
      </c>
      <c r="J1505">
        <v>364.12</v>
      </c>
      <c r="K1505">
        <f t="shared" si="210"/>
        <v>3277.08</v>
      </c>
      <c r="L1505">
        <f t="shared" si="216"/>
        <v>0</v>
      </c>
      <c r="M1505">
        <f t="shared" si="208"/>
        <v>0</v>
      </c>
      <c r="N1505">
        <f t="shared" si="211"/>
        <v>0</v>
      </c>
      <c r="O1505">
        <f t="shared" si="212"/>
        <v>1984.3488</v>
      </c>
      <c r="P1505">
        <f t="shared" si="213"/>
        <v>496.0872</v>
      </c>
      <c r="Q1505">
        <f t="shared" si="214"/>
        <v>506.20737887999996</v>
      </c>
      <c r="R1505">
        <f t="shared" si="215"/>
        <v>273.42360000000002</v>
      </c>
      <c r="S1505">
        <f t="shared" si="209"/>
        <v>3277.08</v>
      </c>
    </row>
    <row r="1506" spans="1:19" x14ac:dyDescent="0.25">
      <c r="A1506">
        <v>1636</v>
      </c>
      <c r="B1506">
        <v>1369</v>
      </c>
      <c r="C1506" t="s">
        <v>32</v>
      </c>
      <c r="D1506" t="s">
        <v>172</v>
      </c>
      <c r="E1506">
        <v>62</v>
      </c>
      <c r="F1506">
        <v>19.579999999999998</v>
      </c>
      <c r="G1506">
        <v>10.83</v>
      </c>
      <c r="H1506">
        <v>28.99</v>
      </c>
      <c r="I1506">
        <v>1.0900000000000001</v>
      </c>
      <c r="J1506">
        <v>353.03</v>
      </c>
      <c r="K1506">
        <f t="shared" si="210"/>
        <v>21887.859999999997</v>
      </c>
      <c r="L1506">
        <f t="shared" si="216"/>
        <v>0</v>
      </c>
      <c r="M1506">
        <f t="shared" si="208"/>
        <v>0</v>
      </c>
      <c r="N1506">
        <f t="shared" si="211"/>
        <v>0</v>
      </c>
      <c r="O1506">
        <f t="shared" si="212"/>
        <v>13147.186799999999</v>
      </c>
      <c r="P1506">
        <f t="shared" si="213"/>
        <v>3286.7966999999999</v>
      </c>
      <c r="Q1506">
        <f t="shared" si="214"/>
        <v>3353.8473526799999</v>
      </c>
      <c r="R1506">
        <f t="shared" si="215"/>
        <v>1959.1442</v>
      </c>
      <c r="S1506">
        <f t="shared" si="209"/>
        <v>21887.859999999997</v>
      </c>
    </row>
    <row r="1507" spans="1:19" x14ac:dyDescent="0.25">
      <c r="A1507">
        <v>1637</v>
      </c>
      <c r="B1507">
        <v>1369</v>
      </c>
      <c r="C1507" t="s">
        <v>32</v>
      </c>
      <c r="D1507" t="s">
        <v>172</v>
      </c>
      <c r="E1507">
        <v>14</v>
      </c>
      <c r="F1507">
        <v>19.850000000000001</v>
      </c>
      <c r="G1507">
        <v>12.15</v>
      </c>
      <c r="H1507">
        <v>30.2</v>
      </c>
      <c r="I1507">
        <v>0.92</v>
      </c>
      <c r="J1507">
        <v>391.82</v>
      </c>
      <c r="K1507">
        <f t="shared" si="210"/>
        <v>5485.48</v>
      </c>
      <c r="L1507">
        <f t="shared" si="216"/>
        <v>0</v>
      </c>
      <c r="M1507">
        <f t="shared" si="208"/>
        <v>0</v>
      </c>
      <c r="N1507">
        <f t="shared" si="211"/>
        <v>0</v>
      </c>
      <c r="O1507">
        <f t="shared" si="212"/>
        <v>3376.4850000000001</v>
      </c>
      <c r="P1507">
        <f t="shared" si="213"/>
        <v>844.12125000000003</v>
      </c>
      <c r="Q1507">
        <f t="shared" si="214"/>
        <v>861.34132350000004</v>
      </c>
      <c r="R1507">
        <f t="shared" si="215"/>
        <v>388.976</v>
      </c>
      <c r="S1507">
        <f t="shared" si="209"/>
        <v>5485.48</v>
      </c>
    </row>
    <row r="1508" spans="1:19" x14ac:dyDescent="0.25">
      <c r="A1508">
        <v>1638</v>
      </c>
      <c r="B1508">
        <v>1370</v>
      </c>
      <c r="C1508" t="s">
        <v>32</v>
      </c>
      <c r="D1508" t="s">
        <v>172</v>
      </c>
      <c r="E1508">
        <v>8</v>
      </c>
      <c r="F1508">
        <v>19.670000000000002</v>
      </c>
      <c r="G1508">
        <v>11.58</v>
      </c>
      <c r="H1508">
        <v>27.53</v>
      </c>
      <c r="I1508">
        <v>0.98</v>
      </c>
      <c r="J1508">
        <v>370.93</v>
      </c>
      <c r="K1508">
        <f t="shared" si="210"/>
        <v>2967.44</v>
      </c>
      <c r="L1508">
        <f t="shared" si="216"/>
        <v>0</v>
      </c>
      <c r="M1508">
        <f t="shared" si="208"/>
        <v>0</v>
      </c>
      <c r="N1508">
        <f t="shared" si="211"/>
        <v>0</v>
      </c>
      <c r="O1508">
        <f t="shared" si="212"/>
        <v>1822.2288000000001</v>
      </c>
      <c r="P1508">
        <f t="shared" si="213"/>
        <v>455.55720000000002</v>
      </c>
      <c r="Q1508">
        <f t="shared" si="214"/>
        <v>464.85056688000003</v>
      </c>
      <c r="R1508">
        <f t="shared" si="215"/>
        <v>215.83520000000001</v>
      </c>
      <c r="S1508">
        <f t="shared" si="209"/>
        <v>2967.44</v>
      </c>
    </row>
    <row r="1509" spans="1:19" x14ac:dyDescent="0.25">
      <c r="A1509">
        <v>1639</v>
      </c>
      <c r="B1509">
        <v>1370</v>
      </c>
      <c r="C1509" t="s">
        <v>32</v>
      </c>
      <c r="D1509" t="s">
        <v>172</v>
      </c>
      <c r="E1509">
        <v>24</v>
      </c>
      <c r="F1509">
        <v>20.14</v>
      </c>
      <c r="G1509">
        <v>11.19</v>
      </c>
      <c r="H1509">
        <v>31.7</v>
      </c>
      <c r="I1509">
        <v>1.02</v>
      </c>
      <c r="J1509">
        <v>373.71</v>
      </c>
      <c r="K1509">
        <f t="shared" si="210"/>
        <v>8969.0399999999991</v>
      </c>
      <c r="L1509">
        <f t="shared" si="216"/>
        <v>0</v>
      </c>
      <c r="M1509">
        <f t="shared" si="208"/>
        <v>0</v>
      </c>
      <c r="N1509">
        <f t="shared" si="211"/>
        <v>0</v>
      </c>
      <c r="O1509">
        <f t="shared" si="212"/>
        <v>5408.7984000000006</v>
      </c>
      <c r="P1509">
        <f t="shared" si="213"/>
        <v>1352.1996000000001</v>
      </c>
      <c r="Q1509">
        <f t="shared" si="214"/>
        <v>1379.7844718400002</v>
      </c>
      <c r="R1509">
        <f t="shared" si="215"/>
        <v>776.01599999999996</v>
      </c>
      <c r="S1509">
        <f t="shared" si="209"/>
        <v>8969.0399999999991</v>
      </c>
    </row>
    <row r="1510" spans="1:19" x14ac:dyDescent="0.25">
      <c r="A1510">
        <v>1640</v>
      </c>
      <c r="B1510">
        <v>1370</v>
      </c>
      <c r="C1510" t="s">
        <v>32</v>
      </c>
      <c r="D1510" t="s">
        <v>172</v>
      </c>
      <c r="E1510">
        <v>166</v>
      </c>
      <c r="F1510">
        <v>19.41</v>
      </c>
      <c r="G1510">
        <v>11.02</v>
      </c>
      <c r="H1510">
        <v>33.79</v>
      </c>
      <c r="I1510">
        <v>1.01</v>
      </c>
      <c r="J1510">
        <v>358.79</v>
      </c>
      <c r="K1510">
        <f t="shared" si="210"/>
        <v>59559.140000000007</v>
      </c>
      <c r="L1510">
        <f t="shared" si="216"/>
        <v>0</v>
      </c>
      <c r="M1510">
        <f t="shared" si="208"/>
        <v>0</v>
      </c>
      <c r="N1510">
        <f t="shared" si="211"/>
        <v>0</v>
      </c>
      <c r="O1510">
        <f t="shared" si="212"/>
        <v>35507.101199999997</v>
      </c>
      <c r="P1510">
        <f t="shared" si="213"/>
        <v>8876.7752999999993</v>
      </c>
      <c r="Q1510">
        <f t="shared" si="214"/>
        <v>9057.8615161199996</v>
      </c>
      <c r="R1510">
        <f t="shared" si="215"/>
        <v>5665.2313999999997</v>
      </c>
      <c r="S1510">
        <f t="shared" si="209"/>
        <v>59559.140000000007</v>
      </c>
    </row>
    <row r="1511" spans="1:19" x14ac:dyDescent="0.25">
      <c r="A1511">
        <v>1641</v>
      </c>
      <c r="B1511">
        <v>1370</v>
      </c>
      <c r="C1511" t="s">
        <v>32</v>
      </c>
      <c r="D1511" t="s">
        <v>172</v>
      </c>
      <c r="E1511">
        <v>12</v>
      </c>
      <c r="F1511">
        <v>20.149999999999999</v>
      </c>
      <c r="G1511">
        <v>12.05</v>
      </c>
      <c r="H1511">
        <v>35.82</v>
      </c>
      <c r="I1511">
        <v>0.94</v>
      </c>
      <c r="J1511">
        <v>401.24</v>
      </c>
      <c r="K1511">
        <f t="shared" si="210"/>
        <v>4814.88</v>
      </c>
      <c r="L1511">
        <f t="shared" si="216"/>
        <v>0</v>
      </c>
      <c r="M1511">
        <f t="shared" si="208"/>
        <v>0</v>
      </c>
      <c r="N1511">
        <f t="shared" si="211"/>
        <v>0</v>
      </c>
      <c r="O1511">
        <f t="shared" si="212"/>
        <v>2913.69</v>
      </c>
      <c r="P1511">
        <f t="shared" si="213"/>
        <v>728.42250000000001</v>
      </c>
      <c r="Q1511">
        <f t="shared" si="214"/>
        <v>743.28231900000003</v>
      </c>
      <c r="R1511">
        <f t="shared" si="215"/>
        <v>404.0496</v>
      </c>
      <c r="S1511">
        <f t="shared" si="209"/>
        <v>4814.88</v>
      </c>
    </row>
    <row r="1512" spans="1:19" x14ac:dyDescent="0.25">
      <c r="A1512">
        <v>1642</v>
      </c>
      <c r="B1512">
        <v>1370</v>
      </c>
      <c r="C1512" t="s">
        <v>32</v>
      </c>
      <c r="D1512" t="s">
        <v>173</v>
      </c>
      <c r="E1512">
        <v>13</v>
      </c>
      <c r="F1512">
        <v>14.23</v>
      </c>
      <c r="G1512">
        <v>3</v>
      </c>
      <c r="H1512">
        <v>32.6</v>
      </c>
      <c r="I1512">
        <v>0.81</v>
      </c>
      <c r="J1512">
        <v>78.97</v>
      </c>
      <c r="K1512">
        <f t="shared" si="210"/>
        <v>1026.6099999999999</v>
      </c>
      <c r="L1512">
        <f t="shared" si="216"/>
        <v>1026.6099999999999</v>
      </c>
      <c r="M1512">
        <f t="shared" si="208"/>
        <v>554.97</v>
      </c>
      <c r="N1512">
        <f t="shared" si="211"/>
        <v>138.74250000000001</v>
      </c>
      <c r="O1512">
        <f t="shared" si="212"/>
        <v>554.97</v>
      </c>
      <c r="P1512">
        <f t="shared" si="213"/>
        <v>138.74250000000001</v>
      </c>
      <c r="Q1512">
        <f t="shared" si="214"/>
        <v>141.572847</v>
      </c>
      <c r="R1512">
        <f t="shared" si="215"/>
        <v>343.27800000000008</v>
      </c>
      <c r="S1512">
        <f t="shared" si="209"/>
        <v>1026.6099999999999</v>
      </c>
    </row>
    <row r="1513" spans="1:19" x14ac:dyDescent="0.25">
      <c r="A1513">
        <v>1643</v>
      </c>
      <c r="B1513">
        <v>1370</v>
      </c>
      <c r="C1513" t="s">
        <v>32</v>
      </c>
      <c r="D1513" t="s">
        <v>172</v>
      </c>
      <c r="E1513">
        <v>14</v>
      </c>
      <c r="F1513">
        <v>18.34</v>
      </c>
      <c r="G1513">
        <v>11.35</v>
      </c>
      <c r="H1513">
        <v>30.53</v>
      </c>
      <c r="I1513">
        <v>1</v>
      </c>
      <c r="J1513">
        <v>345.97</v>
      </c>
      <c r="K1513">
        <f t="shared" si="210"/>
        <v>4843.58</v>
      </c>
      <c r="L1513">
        <f t="shared" si="216"/>
        <v>0</v>
      </c>
      <c r="M1513">
        <f t="shared" si="208"/>
        <v>0</v>
      </c>
      <c r="N1513">
        <f t="shared" si="211"/>
        <v>0</v>
      </c>
      <c r="O1513">
        <f t="shared" si="212"/>
        <v>2914.2260000000001</v>
      </c>
      <c r="P1513">
        <f t="shared" si="213"/>
        <v>728.55650000000003</v>
      </c>
      <c r="Q1513">
        <f t="shared" si="214"/>
        <v>743.41905259999999</v>
      </c>
      <c r="R1513">
        <f t="shared" si="215"/>
        <v>427.42</v>
      </c>
      <c r="S1513">
        <f t="shared" si="209"/>
        <v>4843.58</v>
      </c>
    </row>
    <row r="1514" spans="1:19" x14ac:dyDescent="0.25">
      <c r="A1514">
        <v>1644</v>
      </c>
      <c r="B1514">
        <v>1370</v>
      </c>
      <c r="C1514" t="s">
        <v>32</v>
      </c>
      <c r="D1514" t="s">
        <v>172</v>
      </c>
      <c r="E1514">
        <v>11</v>
      </c>
      <c r="F1514">
        <v>20.059999999999999</v>
      </c>
      <c r="G1514">
        <v>11.1</v>
      </c>
      <c r="H1514">
        <v>30.8</v>
      </c>
      <c r="I1514">
        <v>0.91</v>
      </c>
      <c r="J1514">
        <v>364.57</v>
      </c>
      <c r="K1514">
        <f t="shared" si="210"/>
        <v>4010.27</v>
      </c>
      <c r="L1514">
        <f t="shared" si="216"/>
        <v>0</v>
      </c>
      <c r="M1514">
        <f t="shared" si="208"/>
        <v>0</v>
      </c>
      <c r="N1514">
        <f t="shared" si="211"/>
        <v>0</v>
      </c>
      <c r="O1514">
        <f t="shared" si="212"/>
        <v>2449.3259999999996</v>
      </c>
      <c r="P1514">
        <f t="shared" si="213"/>
        <v>612.33149999999989</v>
      </c>
      <c r="Q1514">
        <f t="shared" si="214"/>
        <v>624.82306259999984</v>
      </c>
      <c r="R1514">
        <f t="shared" si="215"/>
        <v>308.30799999999999</v>
      </c>
      <c r="S1514">
        <f t="shared" si="209"/>
        <v>4010.27</v>
      </c>
    </row>
    <row r="1515" spans="1:19" x14ac:dyDescent="0.25">
      <c r="A1515">
        <v>1645</v>
      </c>
      <c r="B1515">
        <v>1371</v>
      </c>
      <c r="C1515" t="s">
        <v>32</v>
      </c>
      <c r="D1515" t="s">
        <v>172</v>
      </c>
      <c r="E1515">
        <v>16</v>
      </c>
      <c r="F1515">
        <v>19.23</v>
      </c>
      <c r="G1515">
        <v>11.67</v>
      </c>
      <c r="H1515">
        <v>30.32</v>
      </c>
      <c r="I1515">
        <v>1.08</v>
      </c>
      <c r="J1515">
        <v>301.36</v>
      </c>
      <c r="K1515">
        <f t="shared" si="210"/>
        <v>4821.76</v>
      </c>
      <c r="L1515">
        <f t="shared" si="216"/>
        <v>0</v>
      </c>
      <c r="M1515">
        <f t="shared" si="208"/>
        <v>0</v>
      </c>
      <c r="N1515">
        <f t="shared" si="211"/>
        <v>0</v>
      </c>
      <c r="O1515">
        <f t="shared" si="212"/>
        <v>3590.6255999999998</v>
      </c>
      <c r="P1515">
        <f t="shared" si="213"/>
        <v>897.65639999999996</v>
      </c>
      <c r="Q1515">
        <f t="shared" si="214"/>
        <v>915.96859055999994</v>
      </c>
      <c r="R1515">
        <f t="shared" si="215"/>
        <v>523.92960000000005</v>
      </c>
      <c r="S1515">
        <f t="shared" si="209"/>
        <v>4821.76</v>
      </c>
    </row>
    <row r="1516" spans="1:19" x14ac:dyDescent="0.25">
      <c r="A1516">
        <v>1646</v>
      </c>
      <c r="B1516">
        <v>1371</v>
      </c>
      <c r="C1516" t="s">
        <v>32</v>
      </c>
      <c r="D1516" t="s">
        <v>172</v>
      </c>
      <c r="E1516">
        <v>12</v>
      </c>
      <c r="F1516">
        <v>19.64</v>
      </c>
      <c r="G1516">
        <v>12.02</v>
      </c>
      <c r="H1516">
        <v>30.63</v>
      </c>
      <c r="I1516">
        <v>1.02</v>
      </c>
      <c r="J1516">
        <v>388.34</v>
      </c>
      <c r="K1516">
        <f t="shared" si="210"/>
        <v>4660.08</v>
      </c>
      <c r="L1516">
        <f t="shared" si="216"/>
        <v>0</v>
      </c>
      <c r="M1516">
        <f t="shared" si="208"/>
        <v>0</v>
      </c>
      <c r="N1516">
        <f t="shared" si="211"/>
        <v>0</v>
      </c>
      <c r="O1516">
        <f t="shared" si="212"/>
        <v>2832.8736000000004</v>
      </c>
      <c r="P1516">
        <f t="shared" si="213"/>
        <v>708.21840000000009</v>
      </c>
      <c r="Q1516">
        <f t="shared" si="214"/>
        <v>722.66605536000009</v>
      </c>
      <c r="R1516">
        <f t="shared" si="215"/>
        <v>374.91120000000001</v>
      </c>
      <c r="S1516">
        <f t="shared" si="209"/>
        <v>4660.08</v>
      </c>
    </row>
    <row r="1517" spans="1:19" x14ac:dyDescent="0.25">
      <c r="A1517">
        <v>1647</v>
      </c>
      <c r="B1517">
        <v>1371</v>
      </c>
      <c r="C1517" t="s">
        <v>32</v>
      </c>
      <c r="D1517" t="s">
        <v>173</v>
      </c>
      <c r="E1517">
        <v>12</v>
      </c>
      <c r="F1517">
        <v>14.42</v>
      </c>
      <c r="G1517">
        <v>3.01</v>
      </c>
      <c r="H1517">
        <v>34.06</v>
      </c>
      <c r="I1517">
        <v>0.78</v>
      </c>
      <c r="J1517">
        <v>88.9</v>
      </c>
      <c r="K1517">
        <f t="shared" si="210"/>
        <v>1066.8000000000002</v>
      </c>
      <c r="L1517">
        <f t="shared" si="216"/>
        <v>1066.8000000000002</v>
      </c>
      <c r="M1517">
        <f t="shared" si="208"/>
        <v>520.85039999999992</v>
      </c>
      <c r="N1517">
        <f t="shared" si="211"/>
        <v>130.21259999999998</v>
      </c>
      <c r="O1517">
        <f t="shared" si="212"/>
        <v>520.85039999999992</v>
      </c>
      <c r="P1517">
        <f t="shared" si="213"/>
        <v>130.21259999999998</v>
      </c>
      <c r="Q1517">
        <f t="shared" si="214"/>
        <v>132.86893703999996</v>
      </c>
      <c r="R1517">
        <f t="shared" si="215"/>
        <v>318.80160000000001</v>
      </c>
      <c r="S1517">
        <f t="shared" si="209"/>
        <v>1066.8000000000002</v>
      </c>
    </row>
    <row r="1518" spans="1:19" x14ac:dyDescent="0.25">
      <c r="A1518">
        <v>1648</v>
      </c>
      <c r="B1518">
        <v>1371</v>
      </c>
      <c r="C1518" t="s">
        <v>32</v>
      </c>
      <c r="D1518" t="s">
        <v>173</v>
      </c>
      <c r="E1518">
        <v>27</v>
      </c>
      <c r="F1518">
        <v>15.35</v>
      </c>
      <c r="G1518">
        <v>2.99</v>
      </c>
      <c r="H1518">
        <v>27.92</v>
      </c>
      <c r="I1518">
        <v>0.78</v>
      </c>
      <c r="J1518">
        <v>87.06</v>
      </c>
      <c r="K1518">
        <f t="shared" si="210"/>
        <v>2350.62</v>
      </c>
      <c r="L1518">
        <f t="shared" si="216"/>
        <v>2350.62</v>
      </c>
      <c r="M1518">
        <f t="shared" si="208"/>
        <v>1239.2055</v>
      </c>
      <c r="N1518">
        <f t="shared" si="211"/>
        <v>309.80137500000001</v>
      </c>
      <c r="O1518">
        <f t="shared" si="212"/>
        <v>1239.2055</v>
      </c>
      <c r="P1518">
        <f t="shared" si="213"/>
        <v>309.80137500000001</v>
      </c>
      <c r="Q1518">
        <f t="shared" si="214"/>
        <v>316.12132305</v>
      </c>
      <c r="R1518">
        <f t="shared" si="215"/>
        <v>587.99520000000007</v>
      </c>
      <c r="S1518">
        <f t="shared" si="209"/>
        <v>2350.62</v>
      </c>
    </row>
    <row r="1519" spans="1:19" x14ac:dyDescent="0.25">
      <c r="A1519">
        <v>1649</v>
      </c>
      <c r="B1519">
        <v>1371</v>
      </c>
      <c r="C1519" t="s">
        <v>32</v>
      </c>
      <c r="D1519" t="s">
        <v>173</v>
      </c>
      <c r="E1519">
        <v>10</v>
      </c>
      <c r="F1519">
        <v>14.91</v>
      </c>
      <c r="G1519">
        <v>2.72</v>
      </c>
      <c r="H1519">
        <v>30.6</v>
      </c>
      <c r="I1519">
        <v>0.79</v>
      </c>
      <c r="J1519">
        <v>82.35</v>
      </c>
      <c r="K1519">
        <f t="shared" si="210"/>
        <v>823.5</v>
      </c>
      <c r="L1519">
        <f t="shared" si="216"/>
        <v>823.5</v>
      </c>
      <c r="M1519">
        <f t="shared" si="208"/>
        <v>405.55200000000002</v>
      </c>
      <c r="N1519">
        <f t="shared" si="211"/>
        <v>101.38800000000001</v>
      </c>
      <c r="O1519">
        <f t="shared" si="212"/>
        <v>405.55200000000002</v>
      </c>
      <c r="P1519">
        <f t="shared" si="213"/>
        <v>101.38800000000001</v>
      </c>
      <c r="Q1519">
        <f t="shared" si="214"/>
        <v>103.45631520000001</v>
      </c>
      <c r="R1519">
        <f t="shared" si="215"/>
        <v>241.74</v>
      </c>
      <c r="S1519">
        <f t="shared" si="209"/>
        <v>823.5</v>
      </c>
    </row>
    <row r="1520" spans="1:19" x14ac:dyDescent="0.25">
      <c r="A1520">
        <v>1650</v>
      </c>
      <c r="B1520">
        <v>1371</v>
      </c>
      <c r="C1520" t="s">
        <v>32</v>
      </c>
      <c r="D1520" t="s">
        <v>173</v>
      </c>
      <c r="E1520">
        <v>10</v>
      </c>
      <c r="F1520">
        <v>14.32</v>
      </c>
      <c r="G1520">
        <v>3.07</v>
      </c>
      <c r="H1520">
        <v>30.81</v>
      </c>
      <c r="I1520">
        <v>0.8</v>
      </c>
      <c r="J1520">
        <v>87.56</v>
      </c>
      <c r="K1520">
        <f t="shared" si="210"/>
        <v>875.6</v>
      </c>
      <c r="L1520">
        <f t="shared" si="216"/>
        <v>875.6</v>
      </c>
      <c r="M1520">
        <f t="shared" si="208"/>
        <v>439.62400000000002</v>
      </c>
      <c r="N1520">
        <f t="shared" si="211"/>
        <v>109.90600000000001</v>
      </c>
      <c r="O1520">
        <f t="shared" si="212"/>
        <v>439.62400000000002</v>
      </c>
      <c r="P1520">
        <f t="shared" si="213"/>
        <v>109.90600000000001</v>
      </c>
      <c r="Q1520">
        <f t="shared" si="214"/>
        <v>112.14808240000001</v>
      </c>
      <c r="R1520">
        <f t="shared" si="215"/>
        <v>246.48</v>
      </c>
      <c r="S1520">
        <f t="shared" si="209"/>
        <v>875.6</v>
      </c>
    </row>
    <row r="1521" spans="1:19" x14ac:dyDescent="0.25">
      <c r="A1521">
        <v>1651</v>
      </c>
      <c r="B1521">
        <v>1371</v>
      </c>
      <c r="C1521" t="s">
        <v>32</v>
      </c>
      <c r="D1521" t="s">
        <v>172</v>
      </c>
      <c r="E1521">
        <v>19</v>
      </c>
      <c r="F1521">
        <v>20.89</v>
      </c>
      <c r="G1521">
        <v>12</v>
      </c>
      <c r="H1521">
        <v>30.49</v>
      </c>
      <c r="I1521">
        <v>1.08</v>
      </c>
      <c r="J1521">
        <v>412.07</v>
      </c>
      <c r="K1521">
        <f t="shared" si="210"/>
        <v>7829.33</v>
      </c>
      <c r="L1521">
        <f t="shared" si="216"/>
        <v>0</v>
      </c>
      <c r="M1521">
        <f t="shared" si="208"/>
        <v>0</v>
      </c>
      <c r="N1521">
        <f t="shared" si="211"/>
        <v>0</v>
      </c>
      <c r="O1521">
        <f t="shared" si="212"/>
        <v>4762.92</v>
      </c>
      <c r="P1521">
        <f t="shared" si="213"/>
        <v>1190.73</v>
      </c>
      <c r="Q1521">
        <f t="shared" si="214"/>
        <v>1215.020892</v>
      </c>
      <c r="R1521">
        <f t="shared" si="215"/>
        <v>625.65480000000002</v>
      </c>
      <c r="S1521">
        <f t="shared" si="209"/>
        <v>7829.33</v>
      </c>
    </row>
    <row r="1522" spans="1:19" x14ac:dyDescent="0.25">
      <c r="A1522">
        <v>1652</v>
      </c>
      <c r="B1522">
        <v>1371</v>
      </c>
      <c r="C1522" t="s">
        <v>32</v>
      </c>
      <c r="D1522" t="s">
        <v>172</v>
      </c>
      <c r="E1522">
        <v>14</v>
      </c>
      <c r="F1522">
        <v>19.399999999999999</v>
      </c>
      <c r="G1522">
        <v>11.13</v>
      </c>
      <c r="H1522">
        <v>28.16</v>
      </c>
      <c r="I1522">
        <v>1.02</v>
      </c>
      <c r="J1522">
        <v>355.36</v>
      </c>
      <c r="K1522">
        <f t="shared" si="210"/>
        <v>4975.04</v>
      </c>
      <c r="L1522">
        <f t="shared" si="216"/>
        <v>0</v>
      </c>
      <c r="M1522">
        <f t="shared" si="208"/>
        <v>0</v>
      </c>
      <c r="N1522">
        <f t="shared" si="211"/>
        <v>0</v>
      </c>
      <c r="O1522">
        <f t="shared" si="212"/>
        <v>3022.9080000000004</v>
      </c>
      <c r="P1522">
        <f t="shared" si="213"/>
        <v>755.72700000000009</v>
      </c>
      <c r="Q1522">
        <f t="shared" si="214"/>
        <v>771.14383080000005</v>
      </c>
      <c r="R1522">
        <f t="shared" si="215"/>
        <v>402.12480000000005</v>
      </c>
      <c r="S1522">
        <f t="shared" si="209"/>
        <v>4975.04</v>
      </c>
    </row>
    <row r="1523" spans="1:19" x14ac:dyDescent="0.25">
      <c r="A1523">
        <v>1653</v>
      </c>
      <c r="B1523">
        <v>1371</v>
      </c>
      <c r="C1523" t="s">
        <v>32</v>
      </c>
      <c r="D1523" t="s">
        <v>172</v>
      </c>
      <c r="E1523">
        <v>13</v>
      </c>
      <c r="F1523">
        <v>19.760000000000002</v>
      </c>
      <c r="G1523">
        <v>11.76</v>
      </c>
      <c r="H1523">
        <v>28.93</v>
      </c>
      <c r="I1523">
        <v>0.91</v>
      </c>
      <c r="J1523">
        <v>376.99</v>
      </c>
      <c r="K1523">
        <f t="shared" si="210"/>
        <v>4900.87</v>
      </c>
      <c r="L1523">
        <f t="shared" si="216"/>
        <v>0</v>
      </c>
      <c r="M1523">
        <f t="shared" si="208"/>
        <v>0</v>
      </c>
      <c r="N1523">
        <f t="shared" si="211"/>
        <v>0</v>
      </c>
      <c r="O1523">
        <f t="shared" si="212"/>
        <v>3020.9088000000002</v>
      </c>
      <c r="P1523">
        <f t="shared" si="213"/>
        <v>755.22720000000004</v>
      </c>
      <c r="Q1523">
        <f t="shared" si="214"/>
        <v>770.63383487999999</v>
      </c>
      <c r="R1523">
        <f t="shared" si="215"/>
        <v>342.24189999999999</v>
      </c>
      <c r="S1523">
        <f t="shared" si="209"/>
        <v>4900.87</v>
      </c>
    </row>
    <row r="1524" spans="1:19" x14ac:dyDescent="0.25">
      <c r="A1524">
        <v>1654</v>
      </c>
      <c r="B1524">
        <v>1371</v>
      </c>
      <c r="C1524" t="s">
        <v>32</v>
      </c>
      <c r="D1524" t="s">
        <v>173</v>
      </c>
      <c r="E1524">
        <v>13</v>
      </c>
      <c r="F1524">
        <v>14.91</v>
      </c>
      <c r="G1524">
        <v>2.91</v>
      </c>
      <c r="H1524">
        <v>28.85</v>
      </c>
      <c r="I1524">
        <v>0.85</v>
      </c>
      <c r="J1524">
        <v>86.63</v>
      </c>
      <c r="K1524">
        <f t="shared" si="210"/>
        <v>1126.19</v>
      </c>
      <c r="L1524">
        <f t="shared" si="216"/>
        <v>1126.19</v>
      </c>
      <c r="M1524">
        <f t="shared" si="208"/>
        <v>564.0453</v>
      </c>
      <c r="N1524">
        <f t="shared" si="211"/>
        <v>141.011325</v>
      </c>
      <c r="O1524">
        <f t="shared" si="212"/>
        <v>564.0453</v>
      </c>
      <c r="P1524">
        <f t="shared" si="213"/>
        <v>141.011325</v>
      </c>
      <c r="Q1524">
        <f t="shared" si="214"/>
        <v>143.88795603</v>
      </c>
      <c r="R1524">
        <f t="shared" si="215"/>
        <v>318.79249999999996</v>
      </c>
      <c r="S1524">
        <f t="shared" si="209"/>
        <v>1126.19</v>
      </c>
    </row>
    <row r="1525" spans="1:19" x14ac:dyDescent="0.25">
      <c r="A1525">
        <v>1655</v>
      </c>
      <c r="B1525">
        <v>1371</v>
      </c>
      <c r="C1525" t="s">
        <v>32</v>
      </c>
      <c r="D1525" t="s">
        <v>173</v>
      </c>
      <c r="E1525">
        <v>16</v>
      </c>
      <c r="F1525">
        <v>13.33</v>
      </c>
      <c r="G1525">
        <v>2.88</v>
      </c>
      <c r="H1525">
        <v>31.23</v>
      </c>
      <c r="I1525">
        <v>0.8</v>
      </c>
      <c r="J1525">
        <v>71.510000000000005</v>
      </c>
      <c r="K1525">
        <f t="shared" si="210"/>
        <v>1144.1600000000001</v>
      </c>
      <c r="L1525">
        <f t="shared" si="216"/>
        <v>1144.1600000000001</v>
      </c>
      <c r="M1525">
        <f t="shared" si="208"/>
        <v>614.24639999999999</v>
      </c>
      <c r="N1525">
        <f t="shared" si="211"/>
        <v>153.5616</v>
      </c>
      <c r="O1525">
        <f t="shared" si="212"/>
        <v>614.24639999999999</v>
      </c>
      <c r="P1525">
        <f t="shared" si="213"/>
        <v>153.5616</v>
      </c>
      <c r="Q1525">
        <f t="shared" si="214"/>
        <v>156.69425663999999</v>
      </c>
      <c r="R1525">
        <f t="shared" si="215"/>
        <v>399.74400000000003</v>
      </c>
      <c r="S1525">
        <f t="shared" si="209"/>
        <v>1144.1600000000001</v>
      </c>
    </row>
    <row r="1526" spans="1:19" x14ac:dyDescent="0.25">
      <c r="A1526">
        <v>1656</v>
      </c>
      <c r="B1526">
        <v>1371</v>
      </c>
      <c r="C1526" t="s">
        <v>32</v>
      </c>
      <c r="D1526" t="s">
        <v>173</v>
      </c>
      <c r="E1526">
        <v>16</v>
      </c>
      <c r="F1526">
        <v>15.12</v>
      </c>
      <c r="G1526">
        <v>2.69</v>
      </c>
      <c r="H1526">
        <v>30.41</v>
      </c>
      <c r="I1526">
        <v>0.79</v>
      </c>
      <c r="J1526">
        <v>82.35</v>
      </c>
      <c r="K1526">
        <f t="shared" si="210"/>
        <v>1317.6</v>
      </c>
      <c r="L1526">
        <f t="shared" si="216"/>
        <v>1317.6</v>
      </c>
      <c r="M1526">
        <f t="shared" si="208"/>
        <v>650.76479999999992</v>
      </c>
      <c r="N1526">
        <f t="shared" si="211"/>
        <v>162.69119999999998</v>
      </c>
      <c r="O1526">
        <f t="shared" si="212"/>
        <v>650.76479999999992</v>
      </c>
      <c r="P1526">
        <f t="shared" si="213"/>
        <v>162.69119999999998</v>
      </c>
      <c r="Q1526">
        <f t="shared" si="214"/>
        <v>166.01010047999998</v>
      </c>
      <c r="R1526">
        <f t="shared" si="215"/>
        <v>384.38240000000002</v>
      </c>
      <c r="S1526">
        <f t="shared" si="209"/>
        <v>1317.6</v>
      </c>
    </row>
    <row r="1527" spans="1:19" x14ac:dyDescent="0.25">
      <c r="A1527">
        <v>1657</v>
      </c>
      <c r="B1527">
        <v>1371</v>
      </c>
      <c r="C1527" t="s">
        <v>32</v>
      </c>
      <c r="D1527" t="s">
        <v>173</v>
      </c>
      <c r="E1527">
        <v>14</v>
      </c>
      <c r="F1527">
        <v>13.63</v>
      </c>
      <c r="G1527">
        <v>2.58</v>
      </c>
      <c r="H1527">
        <v>31.73</v>
      </c>
      <c r="I1527">
        <v>0.78</v>
      </c>
      <c r="J1527">
        <v>75.58</v>
      </c>
      <c r="K1527">
        <f t="shared" si="210"/>
        <v>1058.1199999999999</v>
      </c>
      <c r="L1527">
        <f t="shared" si="216"/>
        <v>1058.1199999999999</v>
      </c>
      <c r="M1527">
        <f t="shared" si="208"/>
        <v>492.31560000000007</v>
      </c>
      <c r="N1527">
        <f t="shared" si="211"/>
        <v>123.07890000000002</v>
      </c>
      <c r="O1527">
        <f t="shared" si="212"/>
        <v>492.31560000000007</v>
      </c>
      <c r="P1527">
        <f t="shared" si="213"/>
        <v>123.07890000000002</v>
      </c>
      <c r="Q1527">
        <f t="shared" si="214"/>
        <v>125.58970956000002</v>
      </c>
      <c r="R1527">
        <f t="shared" si="215"/>
        <v>346.49160000000001</v>
      </c>
      <c r="S1527">
        <f t="shared" si="209"/>
        <v>1058.1199999999999</v>
      </c>
    </row>
    <row r="1528" spans="1:19" x14ac:dyDescent="0.25">
      <c r="A1528">
        <v>1658</v>
      </c>
      <c r="B1528">
        <v>1371</v>
      </c>
      <c r="C1528" t="s">
        <v>32</v>
      </c>
      <c r="D1528" t="s">
        <v>173</v>
      </c>
      <c r="E1528">
        <v>13</v>
      </c>
      <c r="F1528">
        <v>16.39</v>
      </c>
      <c r="G1528">
        <v>2.68</v>
      </c>
      <c r="H1528">
        <v>31.2</v>
      </c>
      <c r="I1528">
        <v>0.77</v>
      </c>
      <c r="J1528">
        <v>77.349999999999994</v>
      </c>
      <c r="K1528">
        <f t="shared" si="210"/>
        <v>1005.55</v>
      </c>
      <c r="L1528">
        <f t="shared" si="216"/>
        <v>1005.55</v>
      </c>
      <c r="M1528">
        <f t="shared" si="208"/>
        <v>571.02760000000012</v>
      </c>
      <c r="N1528">
        <f t="shared" si="211"/>
        <v>142.75690000000003</v>
      </c>
      <c r="O1528">
        <f t="shared" si="212"/>
        <v>571.02760000000012</v>
      </c>
      <c r="P1528">
        <f t="shared" si="213"/>
        <v>142.75690000000003</v>
      </c>
      <c r="Q1528">
        <f t="shared" si="214"/>
        <v>145.66914076000003</v>
      </c>
      <c r="R1528">
        <f t="shared" si="215"/>
        <v>312.31200000000001</v>
      </c>
      <c r="S1528">
        <f t="shared" si="209"/>
        <v>1005.55</v>
      </c>
    </row>
    <row r="1529" spans="1:19" x14ac:dyDescent="0.25">
      <c r="A1529">
        <v>1659</v>
      </c>
      <c r="B1529">
        <v>1371</v>
      </c>
      <c r="C1529" t="s">
        <v>32</v>
      </c>
      <c r="D1529" t="s">
        <v>172</v>
      </c>
      <c r="E1529">
        <v>9</v>
      </c>
      <c r="F1529">
        <v>19.36</v>
      </c>
      <c r="G1529">
        <v>10.7</v>
      </c>
      <c r="H1529">
        <v>27.61</v>
      </c>
      <c r="I1529">
        <v>0.95</v>
      </c>
      <c r="J1529">
        <v>339.35</v>
      </c>
      <c r="K1529">
        <f t="shared" si="210"/>
        <v>3054.15</v>
      </c>
      <c r="L1529">
        <f t="shared" si="216"/>
        <v>0</v>
      </c>
      <c r="M1529">
        <f t="shared" si="208"/>
        <v>0</v>
      </c>
      <c r="N1529">
        <f t="shared" si="211"/>
        <v>0</v>
      </c>
      <c r="O1529">
        <f t="shared" si="212"/>
        <v>1864.3679999999999</v>
      </c>
      <c r="P1529">
        <f t="shared" si="213"/>
        <v>466.09199999999998</v>
      </c>
      <c r="Q1529">
        <f t="shared" si="214"/>
        <v>475.60027679999996</v>
      </c>
      <c r="R1529">
        <f t="shared" si="215"/>
        <v>236.06549999999996</v>
      </c>
      <c r="S1529">
        <f t="shared" si="209"/>
        <v>3054.15</v>
      </c>
    </row>
    <row r="1530" spans="1:19" x14ac:dyDescent="0.25">
      <c r="A1530">
        <v>1660</v>
      </c>
      <c r="B1530">
        <v>1371</v>
      </c>
      <c r="C1530" t="s">
        <v>32</v>
      </c>
      <c r="D1530" t="s">
        <v>172</v>
      </c>
      <c r="E1530">
        <v>14</v>
      </c>
      <c r="F1530">
        <v>19.23</v>
      </c>
      <c r="G1530">
        <v>10.56</v>
      </c>
      <c r="H1530">
        <v>37.020000000000003</v>
      </c>
      <c r="I1530">
        <v>1.01</v>
      </c>
      <c r="J1530">
        <v>346.56</v>
      </c>
      <c r="K1530">
        <f t="shared" si="210"/>
        <v>4851.84</v>
      </c>
      <c r="L1530">
        <f t="shared" si="216"/>
        <v>0</v>
      </c>
      <c r="M1530">
        <f t="shared" si="208"/>
        <v>0</v>
      </c>
      <c r="N1530">
        <f t="shared" si="211"/>
        <v>0</v>
      </c>
      <c r="O1530">
        <f t="shared" si="212"/>
        <v>2842.9632000000001</v>
      </c>
      <c r="P1530">
        <f t="shared" si="213"/>
        <v>710.74080000000004</v>
      </c>
      <c r="Q1530">
        <f t="shared" si="214"/>
        <v>725.23991232000003</v>
      </c>
      <c r="R1530">
        <f t="shared" si="215"/>
        <v>523.46280000000002</v>
      </c>
      <c r="S1530">
        <f t="shared" si="209"/>
        <v>4851.84</v>
      </c>
    </row>
    <row r="1531" spans="1:19" x14ac:dyDescent="0.25">
      <c r="A1531">
        <v>1661</v>
      </c>
      <c r="B1531">
        <v>1371</v>
      </c>
      <c r="C1531" t="s">
        <v>32</v>
      </c>
      <c r="D1531" t="s">
        <v>172</v>
      </c>
      <c r="E1531">
        <v>14</v>
      </c>
      <c r="F1531">
        <v>19.57</v>
      </c>
      <c r="G1531">
        <v>12.12</v>
      </c>
      <c r="H1531">
        <v>28.19</v>
      </c>
      <c r="I1531">
        <v>0.9</v>
      </c>
      <c r="J1531">
        <v>383.01</v>
      </c>
      <c r="K1531">
        <f t="shared" si="210"/>
        <v>5362.1399999999994</v>
      </c>
      <c r="L1531">
        <f t="shared" si="216"/>
        <v>0</v>
      </c>
      <c r="M1531">
        <f t="shared" si="208"/>
        <v>0</v>
      </c>
      <c r="N1531">
        <f t="shared" si="211"/>
        <v>0</v>
      </c>
      <c r="O1531">
        <f t="shared" si="212"/>
        <v>3320.6375999999996</v>
      </c>
      <c r="P1531">
        <f t="shared" si="213"/>
        <v>830.15939999999989</v>
      </c>
      <c r="Q1531">
        <f t="shared" si="214"/>
        <v>847.09465175999992</v>
      </c>
      <c r="R1531">
        <f t="shared" si="215"/>
        <v>355.19400000000002</v>
      </c>
      <c r="S1531">
        <f t="shared" si="209"/>
        <v>5362.1399999999994</v>
      </c>
    </row>
    <row r="1532" spans="1:19" x14ac:dyDescent="0.25">
      <c r="A1532">
        <v>1662</v>
      </c>
      <c r="B1532">
        <v>1371</v>
      </c>
      <c r="C1532" t="s">
        <v>32</v>
      </c>
      <c r="D1532" t="s">
        <v>172</v>
      </c>
      <c r="E1532">
        <v>9</v>
      </c>
      <c r="F1532">
        <v>18.77</v>
      </c>
      <c r="G1532">
        <v>11.63</v>
      </c>
      <c r="H1532">
        <v>29.62</v>
      </c>
      <c r="I1532">
        <v>1.03</v>
      </c>
      <c r="J1532">
        <v>361.02</v>
      </c>
      <c r="K1532">
        <f t="shared" si="210"/>
        <v>3249.18</v>
      </c>
      <c r="L1532">
        <f t="shared" si="216"/>
        <v>0</v>
      </c>
      <c r="M1532">
        <f t="shared" si="208"/>
        <v>0</v>
      </c>
      <c r="N1532">
        <f t="shared" si="211"/>
        <v>0</v>
      </c>
      <c r="O1532">
        <f t="shared" si="212"/>
        <v>1964.6559</v>
      </c>
      <c r="P1532">
        <f t="shared" si="213"/>
        <v>491.16397499999999</v>
      </c>
      <c r="Q1532">
        <f t="shared" si="214"/>
        <v>501.18372009000001</v>
      </c>
      <c r="R1532">
        <f t="shared" si="215"/>
        <v>274.57740000000001</v>
      </c>
      <c r="S1532">
        <f t="shared" si="209"/>
        <v>3249.18</v>
      </c>
    </row>
    <row r="1533" spans="1:19" x14ac:dyDescent="0.25">
      <c r="A1533">
        <v>1663</v>
      </c>
      <c r="B1533">
        <v>1371</v>
      </c>
      <c r="C1533" t="s">
        <v>32</v>
      </c>
      <c r="D1533" t="s">
        <v>172</v>
      </c>
      <c r="E1533">
        <v>13</v>
      </c>
      <c r="F1533">
        <v>19.97</v>
      </c>
      <c r="G1533">
        <v>11.06</v>
      </c>
      <c r="H1533">
        <v>36.79</v>
      </c>
      <c r="I1533">
        <v>1.01</v>
      </c>
      <c r="J1533">
        <v>372.76</v>
      </c>
      <c r="K1533">
        <f t="shared" si="210"/>
        <v>4845.88</v>
      </c>
      <c r="L1533">
        <f t="shared" si="216"/>
        <v>0</v>
      </c>
      <c r="M1533">
        <f t="shared" si="208"/>
        <v>0</v>
      </c>
      <c r="N1533">
        <f t="shared" si="211"/>
        <v>0</v>
      </c>
      <c r="O1533">
        <f t="shared" si="212"/>
        <v>2871.2865999999999</v>
      </c>
      <c r="P1533">
        <f t="shared" si="213"/>
        <v>717.82164999999998</v>
      </c>
      <c r="Q1533">
        <f t="shared" si="214"/>
        <v>732.46521165999991</v>
      </c>
      <c r="R1533">
        <f t="shared" si="215"/>
        <v>483.05270000000002</v>
      </c>
      <c r="S1533">
        <f t="shared" si="209"/>
        <v>4845.88</v>
      </c>
    </row>
    <row r="1534" spans="1:19" x14ac:dyDescent="0.25">
      <c r="A1534">
        <v>1664</v>
      </c>
      <c r="B1534">
        <v>1371</v>
      </c>
      <c r="C1534" t="s">
        <v>32</v>
      </c>
      <c r="D1534" t="s">
        <v>172</v>
      </c>
      <c r="E1534">
        <v>13</v>
      </c>
      <c r="F1534">
        <v>20.37</v>
      </c>
      <c r="G1534">
        <v>11.38</v>
      </c>
      <c r="H1534">
        <v>28.27</v>
      </c>
      <c r="I1534">
        <v>1.02</v>
      </c>
      <c r="J1534">
        <v>379.13</v>
      </c>
      <c r="K1534">
        <f t="shared" si="210"/>
        <v>4928.6899999999996</v>
      </c>
      <c r="L1534">
        <f t="shared" si="216"/>
        <v>0</v>
      </c>
      <c r="M1534">
        <f t="shared" si="208"/>
        <v>0</v>
      </c>
      <c r="N1534">
        <f t="shared" si="211"/>
        <v>0</v>
      </c>
      <c r="O1534">
        <f t="shared" si="212"/>
        <v>3013.5378000000001</v>
      </c>
      <c r="P1534">
        <f t="shared" si="213"/>
        <v>753.38445000000002</v>
      </c>
      <c r="Q1534">
        <f t="shared" si="214"/>
        <v>768.75349277999999</v>
      </c>
      <c r="R1534">
        <f t="shared" si="215"/>
        <v>374.86019999999996</v>
      </c>
      <c r="S1534">
        <f t="shared" si="209"/>
        <v>4928.6899999999996</v>
      </c>
    </row>
    <row r="1535" spans="1:19" x14ac:dyDescent="0.25">
      <c r="A1535">
        <v>1665</v>
      </c>
      <c r="B1535">
        <v>1371</v>
      </c>
      <c r="C1535" t="s">
        <v>32</v>
      </c>
      <c r="D1535" t="s">
        <v>173</v>
      </c>
      <c r="E1535">
        <v>10</v>
      </c>
      <c r="F1535">
        <v>15.3</v>
      </c>
      <c r="G1535">
        <v>3.12</v>
      </c>
      <c r="H1535">
        <v>31.27</v>
      </c>
      <c r="I1535">
        <v>0.83</v>
      </c>
      <c r="J1535">
        <v>94.19</v>
      </c>
      <c r="K1535">
        <f t="shared" si="210"/>
        <v>941.9</v>
      </c>
      <c r="L1535">
        <f t="shared" si="216"/>
        <v>941.9</v>
      </c>
      <c r="M1535">
        <f t="shared" si="208"/>
        <v>477.36000000000007</v>
      </c>
      <c r="N1535">
        <f t="shared" si="211"/>
        <v>119.34000000000002</v>
      </c>
      <c r="O1535">
        <f t="shared" si="212"/>
        <v>477.36000000000007</v>
      </c>
      <c r="P1535">
        <f t="shared" si="213"/>
        <v>119.34000000000002</v>
      </c>
      <c r="Q1535">
        <f t="shared" si="214"/>
        <v>121.77453600000001</v>
      </c>
      <c r="R1535">
        <f t="shared" si="215"/>
        <v>259.54099999999994</v>
      </c>
      <c r="S1535">
        <f t="shared" si="209"/>
        <v>941.9</v>
      </c>
    </row>
    <row r="1536" spans="1:19" x14ac:dyDescent="0.25">
      <c r="A1536">
        <v>1666</v>
      </c>
      <c r="B1536">
        <v>1371</v>
      </c>
      <c r="C1536" t="s">
        <v>32</v>
      </c>
      <c r="D1536" t="s">
        <v>172</v>
      </c>
      <c r="E1536">
        <v>11</v>
      </c>
      <c r="F1536">
        <v>19.55</v>
      </c>
      <c r="G1536">
        <v>10.42</v>
      </c>
      <c r="H1536">
        <v>35.32</v>
      </c>
      <c r="I1536">
        <v>1.02</v>
      </c>
      <c r="J1536">
        <v>345.89</v>
      </c>
      <c r="K1536">
        <f t="shared" si="210"/>
        <v>3804.79</v>
      </c>
      <c r="L1536">
        <f t="shared" si="216"/>
        <v>0</v>
      </c>
      <c r="M1536">
        <f t="shared" si="208"/>
        <v>0</v>
      </c>
      <c r="N1536">
        <f t="shared" si="211"/>
        <v>0</v>
      </c>
      <c r="O1536">
        <f t="shared" si="212"/>
        <v>2240.8210000000004</v>
      </c>
      <c r="P1536">
        <f t="shared" si="213"/>
        <v>560.20525000000009</v>
      </c>
      <c r="Q1536">
        <f t="shared" si="214"/>
        <v>571.63343710000004</v>
      </c>
      <c r="R1536">
        <f t="shared" si="215"/>
        <v>396.29040000000003</v>
      </c>
      <c r="S1536">
        <f t="shared" si="209"/>
        <v>3804.79</v>
      </c>
    </row>
    <row r="1537" spans="1:19" x14ac:dyDescent="0.25">
      <c r="A1537">
        <v>1667</v>
      </c>
      <c r="B1537">
        <v>1371</v>
      </c>
      <c r="C1537" t="s">
        <v>32</v>
      </c>
      <c r="D1537" t="s">
        <v>173</v>
      </c>
      <c r="E1537">
        <v>6</v>
      </c>
      <c r="F1537">
        <v>13.85</v>
      </c>
      <c r="G1537">
        <v>2.68</v>
      </c>
      <c r="H1537">
        <v>35.85</v>
      </c>
      <c r="I1537">
        <v>0.77</v>
      </c>
      <c r="J1537">
        <v>81.400000000000006</v>
      </c>
      <c r="K1537">
        <f t="shared" si="210"/>
        <v>488.40000000000003</v>
      </c>
      <c r="L1537">
        <f t="shared" si="216"/>
        <v>488.40000000000003</v>
      </c>
      <c r="M1537">
        <f t="shared" si="208"/>
        <v>222.70800000000003</v>
      </c>
      <c r="N1537">
        <f t="shared" si="211"/>
        <v>55.677000000000007</v>
      </c>
      <c r="O1537">
        <f t="shared" si="212"/>
        <v>222.70800000000003</v>
      </c>
      <c r="P1537">
        <f t="shared" si="213"/>
        <v>55.677000000000007</v>
      </c>
      <c r="Q1537">
        <f t="shared" si="214"/>
        <v>56.812810800000008</v>
      </c>
      <c r="R1537">
        <f t="shared" si="215"/>
        <v>165.62700000000001</v>
      </c>
      <c r="S1537">
        <f t="shared" si="209"/>
        <v>488.40000000000003</v>
      </c>
    </row>
    <row r="1538" spans="1:19" x14ac:dyDescent="0.25">
      <c r="A1538">
        <v>1668</v>
      </c>
      <c r="B1538">
        <v>1371</v>
      </c>
      <c r="C1538" t="s">
        <v>32</v>
      </c>
      <c r="D1538" t="s">
        <v>173</v>
      </c>
      <c r="E1538">
        <v>21</v>
      </c>
      <c r="F1538">
        <v>14.09</v>
      </c>
      <c r="G1538">
        <v>3.14</v>
      </c>
      <c r="H1538">
        <v>31.53</v>
      </c>
      <c r="I1538">
        <v>0.78</v>
      </c>
      <c r="J1538">
        <v>87.89</v>
      </c>
      <c r="K1538">
        <f t="shared" si="210"/>
        <v>1845.69</v>
      </c>
      <c r="L1538">
        <f t="shared" si="216"/>
        <v>1845.69</v>
      </c>
      <c r="M1538">
        <f t="shared" ref="M1538:M1601" si="217">IF(D1538="SHOES",O1538,0)</f>
        <v>929.09460000000001</v>
      </c>
      <c r="N1538">
        <f t="shared" si="211"/>
        <v>232.27365</v>
      </c>
      <c r="O1538">
        <f t="shared" si="212"/>
        <v>929.09460000000001</v>
      </c>
      <c r="P1538">
        <f t="shared" si="213"/>
        <v>232.27365</v>
      </c>
      <c r="Q1538">
        <f t="shared" si="214"/>
        <v>237.01203246</v>
      </c>
      <c r="R1538">
        <f t="shared" si="215"/>
        <v>516.46140000000003</v>
      </c>
      <c r="S1538">
        <f t="shared" ref="S1538:S1601" si="218">PRODUCT(J1538,E1538)</f>
        <v>1845.69</v>
      </c>
    </row>
    <row r="1539" spans="1:19" x14ac:dyDescent="0.25">
      <c r="A1539">
        <v>1669</v>
      </c>
      <c r="B1539">
        <v>1371</v>
      </c>
      <c r="C1539" t="s">
        <v>32</v>
      </c>
      <c r="D1539" t="s">
        <v>173</v>
      </c>
      <c r="E1539">
        <v>16</v>
      </c>
      <c r="F1539">
        <v>15.05</v>
      </c>
      <c r="G1539">
        <v>3.03</v>
      </c>
      <c r="H1539">
        <v>34.75</v>
      </c>
      <c r="I1539">
        <v>0.78</v>
      </c>
      <c r="J1539">
        <v>92.52</v>
      </c>
      <c r="K1539">
        <f t="shared" ref="K1539:K1602" si="219">E1539*J1539</f>
        <v>1480.32</v>
      </c>
      <c r="L1539">
        <f t="shared" si="216"/>
        <v>1480.32</v>
      </c>
      <c r="M1539">
        <f t="shared" si="217"/>
        <v>729.62400000000002</v>
      </c>
      <c r="N1539">
        <f t="shared" ref="N1539:N1602" si="220">IF(D1539="SHOES",P1539,0)</f>
        <v>182.40600000000001</v>
      </c>
      <c r="O1539">
        <f t="shared" ref="O1539:O1602" si="221">PRODUCT(E1539,G1539,F1539)</f>
        <v>729.62400000000002</v>
      </c>
      <c r="P1539">
        <f t="shared" ref="P1539:P1602" si="222">PRODUCT(O1539,0.25)</f>
        <v>182.40600000000001</v>
      </c>
      <c r="Q1539">
        <f t="shared" ref="Q1539:Q1602" si="223">PRODUCT(O1539,0.2551)</f>
        <v>186.12708240000001</v>
      </c>
      <c r="R1539">
        <f t="shared" si="215"/>
        <v>433.68</v>
      </c>
      <c r="S1539">
        <f t="shared" si="218"/>
        <v>1480.32</v>
      </c>
    </row>
    <row r="1540" spans="1:19" x14ac:dyDescent="0.25">
      <c r="A1540">
        <v>1670</v>
      </c>
      <c r="B1540">
        <v>1371</v>
      </c>
      <c r="C1540" t="s">
        <v>32</v>
      </c>
      <c r="D1540" t="s">
        <v>172</v>
      </c>
      <c r="E1540">
        <v>15</v>
      </c>
      <c r="F1540">
        <v>20.29</v>
      </c>
      <c r="G1540">
        <v>10.64</v>
      </c>
      <c r="H1540">
        <v>38.89</v>
      </c>
      <c r="I1540">
        <v>1.03</v>
      </c>
      <c r="J1540">
        <v>368.8</v>
      </c>
      <c r="K1540">
        <f t="shared" si="219"/>
        <v>5532</v>
      </c>
      <c r="L1540">
        <f t="shared" si="216"/>
        <v>0</v>
      </c>
      <c r="M1540">
        <f t="shared" si="217"/>
        <v>0</v>
      </c>
      <c r="N1540">
        <f t="shared" si="220"/>
        <v>0</v>
      </c>
      <c r="O1540">
        <f t="shared" si="221"/>
        <v>3238.2840000000001</v>
      </c>
      <c r="P1540">
        <f t="shared" si="222"/>
        <v>809.57100000000003</v>
      </c>
      <c r="Q1540">
        <f t="shared" si="223"/>
        <v>826.08624840000004</v>
      </c>
      <c r="R1540">
        <f t="shared" ref="R1540:R1603" si="224">PRODUCT(E1540,I1540,H1540)</f>
        <v>600.85050000000001</v>
      </c>
      <c r="S1540">
        <f t="shared" si="218"/>
        <v>5532</v>
      </c>
    </row>
    <row r="1541" spans="1:19" x14ac:dyDescent="0.25">
      <c r="A1541">
        <v>1671</v>
      </c>
      <c r="B1541">
        <v>1371</v>
      </c>
      <c r="C1541" t="s">
        <v>32</v>
      </c>
      <c r="D1541" t="s">
        <v>173</v>
      </c>
      <c r="E1541">
        <v>12</v>
      </c>
      <c r="F1541">
        <v>15.22</v>
      </c>
      <c r="G1541">
        <v>2.8</v>
      </c>
      <c r="H1541">
        <v>32.75</v>
      </c>
      <c r="I1541">
        <v>0.8</v>
      </c>
      <c r="J1541">
        <v>87.42</v>
      </c>
      <c r="K1541">
        <f t="shared" si="219"/>
        <v>1049.04</v>
      </c>
      <c r="L1541">
        <f t="shared" si="216"/>
        <v>1049.04</v>
      </c>
      <c r="M1541">
        <f t="shared" si="217"/>
        <v>511.39199999999994</v>
      </c>
      <c r="N1541">
        <f t="shared" si="220"/>
        <v>127.84799999999998</v>
      </c>
      <c r="O1541">
        <f t="shared" si="221"/>
        <v>511.39199999999994</v>
      </c>
      <c r="P1541">
        <f t="shared" si="222"/>
        <v>127.84799999999998</v>
      </c>
      <c r="Q1541">
        <f t="shared" si="223"/>
        <v>130.45609919999998</v>
      </c>
      <c r="R1541">
        <f t="shared" si="224"/>
        <v>314.40000000000003</v>
      </c>
      <c r="S1541">
        <f t="shared" si="218"/>
        <v>1049.04</v>
      </c>
    </row>
    <row r="1542" spans="1:19" x14ac:dyDescent="0.25">
      <c r="A1542">
        <v>1672</v>
      </c>
      <c r="B1542">
        <v>1371</v>
      </c>
      <c r="C1542" t="s">
        <v>32</v>
      </c>
      <c r="D1542" t="s">
        <v>172</v>
      </c>
      <c r="E1542">
        <v>14</v>
      </c>
      <c r="F1542">
        <v>20.41</v>
      </c>
      <c r="G1542">
        <v>11.25</v>
      </c>
      <c r="H1542">
        <v>35.79</v>
      </c>
      <c r="I1542">
        <v>1.03</v>
      </c>
      <c r="J1542">
        <v>385.42</v>
      </c>
      <c r="K1542">
        <f t="shared" si="219"/>
        <v>5395.88</v>
      </c>
      <c r="L1542">
        <f t="shared" si="216"/>
        <v>0</v>
      </c>
      <c r="M1542">
        <f t="shared" si="217"/>
        <v>0</v>
      </c>
      <c r="N1542">
        <f t="shared" si="220"/>
        <v>0</v>
      </c>
      <c r="O1542">
        <f t="shared" si="221"/>
        <v>3214.5749999999998</v>
      </c>
      <c r="P1542">
        <f t="shared" si="222"/>
        <v>803.64374999999995</v>
      </c>
      <c r="Q1542">
        <f t="shared" si="223"/>
        <v>820.03808249999997</v>
      </c>
      <c r="R1542">
        <f t="shared" si="224"/>
        <v>516.09180000000003</v>
      </c>
      <c r="S1542">
        <f t="shared" si="218"/>
        <v>5395.88</v>
      </c>
    </row>
    <row r="1543" spans="1:19" x14ac:dyDescent="0.25">
      <c r="A1543">
        <v>1673</v>
      </c>
      <c r="B1543">
        <v>1372</v>
      </c>
      <c r="C1543" t="s">
        <v>32</v>
      </c>
      <c r="D1543" t="s">
        <v>173</v>
      </c>
      <c r="E1543">
        <v>36</v>
      </c>
      <c r="F1543">
        <v>14.45</v>
      </c>
      <c r="G1543">
        <v>2.91</v>
      </c>
      <c r="H1543">
        <v>33.1</v>
      </c>
      <c r="I1543">
        <v>0.78</v>
      </c>
      <c r="J1543">
        <v>86.22</v>
      </c>
      <c r="K1543">
        <f t="shared" si="219"/>
        <v>3103.92</v>
      </c>
      <c r="L1543">
        <f t="shared" ref="L1543:L1606" si="225">IF(D1543="SHOES",E1543*J1543,0)</f>
        <v>3103.92</v>
      </c>
      <c r="M1543">
        <f t="shared" si="217"/>
        <v>1513.7819999999999</v>
      </c>
      <c r="N1543">
        <f t="shared" si="220"/>
        <v>378.44549999999998</v>
      </c>
      <c r="O1543">
        <f t="shared" si="221"/>
        <v>1513.7819999999999</v>
      </c>
      <c r="P1543">
        <f t="shared" si="222"/>
        <v>378.44549999999998</v>
      </c>
      <c r="Q1543">
        <f t="shared" si="223"/>
        <v>386.16578819999995</v>
      </c>
      <c r="R1543">
        <f t="shared" si="224"/>
        <v>929.44800000000009</v>
      </c>
      <c r="S1543">
        <f t="shared" si="218"/>
        <v>3103.92</v>
      </c>
    </row>
    <row r="1544" spans="1:19" x14ac:dyDescent="0.25">
      <c r="A1544">
        <v>1674</v>
      </c>
      <c r="B1544">
        <v>1372</v>
      </c>
      <c r="C1544" t="s">
        <v>32</v>
      </c>
      <c r="D1544" t="s">
        <v>172</v>
      </c>
      <c r="E1544">
        <v>21</v>
      </c>
      <c r="F1544">
        <v>19.05</v>
      </c>
      <c r="G1544">
        <v>10.01</v>
      </c>
      <c r="H1544">
        <v>31.98</v>
      </c>
      <c r="I1544">
        <v>1.1200000000000001</v>
      </c>
      <c r="J1544">
        <v>326.27999999999997</v>
      </c>
      <c r="K1544">
        <f t="shared" si="219"/>
        <v>6851.8799999999992</v>
      </c>
      <c r="L1544">
        <f t="shared" si="225"/>
        <v>0</v>
      </c>
      <c r="M1544">
        <f t="shared" si="217"/>
        <v>0</v>
      </c>
      <c r="N1544">
        <f t="shared" si="220"/>
        <v>0</v>
      </c>
      <c r="O1544">
        <f t="shared" si="221"/>
        <v>4004.5005000000001</v>
      </c>
      <c r="P1544">
        <f t="shared" si="222"/>
        <v>1001.125125</v>
      </c>
      <c r="Q1544">
        <f t="shared" si="223"/>
        <v>1021.54807755</v>
      </c>
      <c r="R1544">
        <f t="shared" si="224"/>
        <v>752.16960000000006</v>
      </c>
      <c r="S1544">
        <f t="shared" si="218"/>
        <v>6851.8799999999992</v>
      </c>
    </row>
    <row r="1545" spans="1:19" x14ac:dyDescent="0.25">
      <c r="A1545">
        <v>1675</v>
      </c>
      <c r="B1545">
        <v>1372</v>
      </c>
      <c r="C1545" t="s">
        <v>32</v>
      </c>
      <c r="D1545" t="s">
        <v>172</v>
      </c>
      <c r="E1545">
        <v>28</v>
      </c>
      <c r="F1545">
        <v>16.760000000000002</v>
      </c>
      <c r="G1545">
        <v>11.58</v>
      </c>
      <c r="H1545">
        <v>30.78</v>
      </c>
      <c r="I1545">
        <v>0.98</v>
      </c>
      <c r="J1545">
        <v>324.58999999999997</v>
      </c>
      <c r="K1545">
        <f t="shared" si="219"/>
        <v>9088.5199999999986</v>
      </c>
      <c r="L1545">
        <f t="shared" si="225"/>
        <v>0</v>
      </c>
      <c r="M1545">
        <f t="shared" si="217"/>
        <v>0</v>
      </c>
      <c r="N1545">
        <f t="shared" si="220"/>
        <v>0</v>
      </c>
      <c r="O1545">
        <f t="shared" si="221"/>
        <v>5434.2624000000005</v>
      </c>
      <c r="P1545">
        <f t="shared" si="222"/>
        <v>1358.5656000000001</v>
      </c>
      <c r="Q1545">
        <f t="shared" si="223"/>
        <v>1386.28033824</v>
      </c>
      <c r="R1545">
        <f t="shared" si="224"/>
        <v>844.60320000000002</v>
      </c>
      <c r="S1545">
        <f t="shared" si="218"/>
        <v>9088.5199999999986</v>
      </c>
    </row>
    <row r="1546" spans="1:19" x14ac:dyDescent="0.25">
      <c r="A1546">
        <v>1676</v>
      </c>
      <c r="B1546">
        <v>1372</v>
      </c>
      <c r="C1546" t="s">
        <v>32</v>
      </c>
      <c r="D1546" t="s">
        <v>173</v>
      </c>
      <c r="E1546">
        <v>16</v>
      </c>
      <c r="F1546">
        <v>14.95</v>
      </c>
      <c r="G1546">
        <v>2.76</v>
      </c>
      <c r="H1546">
        <v>34.29</v>
      </c>
      <c r="I1546">
        <v>0.79</v>
      </c>
      <c r="J1546">
        <v>77.88</v>
      </c>
      <c r="K1546">
        <f t="shared" si="219"/>
        <v>1246.08</v>
      </c>
      <c r="L1546">
        <f t="shared" si="225"/>
        <v>1246.08</v>
      </c>
      <c r="M1546">
        <f t="shared" si="217"/>
        <v>660.19199999999989</v>
      </c>
      <c r="N1546">
        <f t="shared" si="220"/>
        <v>165.04799999999997</v>
      </c>
      <c r="O1546">
        <f t="shared" si="221"/>
        <v>660.19199999999989</v>
      </c>
      <c r="P1546">
        <f t="shared" si="222"/>
        <v>165.04799999999997</v>
      </c>
      <c r="Q1546">
        <f t="shared" si="223"/>
        <v>168.41497919999998</v>
      </c>
      <c r="R1546">
        <f t="shared" si="224"/>
        <v>433.42560000000003</v>
      </c>
      <c r="S1546">
        <f t="shared" si="218"/>
        <v>1246.08</v>
      </c>
    </row>
    <row r="1547" spans="1:19" x14ac:dyDescent="0.25">
      <c r="A1547">
        <v>1677</v>
      </c>
      <c r="B1547">
        <v>1372</v>
      </c>
      <c r="C1547" t="s">
        <v>32</v>
      </c>
      <c r="D1547" t="s">
        <v>172</v>
      </c>
      <c r="E1547">
        <v>12</v>
      </c>
      <c r="F1547">
        <v>20.56</v>
      </c>
      <c r="G1547">
        <v>11.37</v>
      </c>
      <c r="H1547">
        <v>31.98</v>
      </c>
      <c r="I1547">
        <v>1.04</v>
      </c>
      <c r="J1547">
        <v>387.31</v>
      </c>
      <c r="K1547">
        <f t="shared" si="219"/>
        <v>4647.72</v>
      </c>
      <c r="L1547">
        <f t="shared" si="225"/>
        <v>0</v>
      </c>
      <c r="M1547">
        <f t="shared" si="217"/>
        <v>0</v>
      </c>
      <c r="N1547">
        <f t="shared" si="220"/>
        <v>0</v>
      </c>
      <c r="O1547">
        <f t="shared" si="221"/>
        <v>2805.2063999999996</v>
      </c>
      <c r="P1547">
        <f t="shared" si="222"/>
        <v>701.30159999999989</v>
      </c>
      <c r="Q1547">
        <f t="shared" si="223"/>
        <v>715.60815263999984</v>
      </c>
      <c r="R1547">
        <f t="shared" si="224"/>
        <v>399.11040000000003</v>
      </c>
      <c r="S1547">
        <f t="shared" si="218"/>
        <v>4647.72</v>
      </c>
    </row>
    <row r="1548" spans="1:19" x14ac:dyDescent="0.25">
      <c r="A1548">
        <v>1678</v>
      </c>
      <c r="B1548">
        <v>1372</v>
      </c>
      <c r="C1548" t="s">
        <v>32</v>
      </c>
      <c r="D1548" t="s">
        <v>172</v>
      </c>
      <c r="E1548">
        <v>20</v>
      </c>
      <c r="F1548">
        <v>18.850000000000001</v>
      </c>
      <c r="G1548">
        <v>10.49</v>
      </c>
      <c r="H1548">
        <v>34.33</v>
      </c>
      <c r="I1548">
        <v>1.0900000000000001</v>
      </c>
      <c r="J1548">
        <v>338.66</v>
      </c>
      <c r="K1548">
        <f t="shared" si="219"/>
        <v>6773.2000000000007</v>
      </c>
      <c r="L1548">
        <f t="shared" si="225"/>
        <v>0</v>
      </c>
      <c r="M1548">
        <f t="shared" si="217"/>
        <v>0</v>
      </c>
      <c r="N1548">
        <f t="shared" si="220"/>
        <v>0</v>
      </c>
      <c r="O1548">
        <f t="shared" si="221"/>
        <v>3954.7300000000005</v>
      </c>
      <c r="P1548">
        <f t="shared" si="222"/>
        <v>988.68250000000012</v>
      </c>
      <c r="Q1548">
        <f t="shared" si="223"/>
        <v>1008.8516230000001</v>
      </c>
      <c r="R1548">
        <f t="shared" si="224"/>
        <v>748.39400000000001</v>
      </c>
      <c r="S1548">
        <f t="shared" si="218"/>
        <v>6773.2000000000007</v>
      </c>
    </row>
    <row r="1549" spans="1:19" x14ac:dyDescent="0.25">
      <c r="A1549">
        <v>1679</v>
      </c>
      <c r="B1549">
        <v>1372</v>
      </c>
      <c r="C1549" t="s">
        <v>32</v>
      </c>
      <c r="D1549" t="s">
        <v>173</v>
      </c>
      <c r="E1549">
        <v>13</v>
      </c>
      <c r="F1549">
        <v>15.66</v>
      </c>
      <c r="G1549">
        <v>3.25</v>
      </c>
      <c r="H1549">
        <v>30.99</v>
      </c>
      <c r="I1549">
        <v>0.8</v>
      </c>
      <c r="J1549">
        <v>97.25</v>
      </c>
      <c r="K1549">
        <f t="shared" si="219"/>
        <v>1264.25</v>
      </c>
      <c r="L1549">
        <f t="shared" si="225"/>
        <v>1264.25</v>
      </c>
      <c r="M1549">
        <f t="shared" si="217"/>
        <v>661.63499999999999</v>
      </c>
      <c r="N1549">
        <f t="shared" si="220"/>
        <v>165.40875</v>
      </c>
      <c r="O1549">
        <f t="shared" si="221"/>
        <v>661.63499999999999</v>
      </c>
      <c r="P1549">
        <f t="shared" si="222"/>
        <v>165.40875</v>
      </c>
      <c r="Q1549">
        <f t="shared" si="223"/>
        <v>168.78308849999999</v>
      </c>
      <c r="R1549">
        <f t="shared" si="224"/>
        <v>322.29599999999999</v>
      </c>
      <c r="S1549">
        <f t="shared" si="218"/>
        <v>1264.25</v>
      </c>
    </row>
    <row r="1550" spans="1:19" x14ac:dyDescent="0.25">
      <c r="A1550">
        <v>1680</v>
      </c>
      <c r="B1550">
        <v>1373</v>
      </c>
      <c r="C1550" t="s">
        <v>32</v>
      </c>
      <c r="D1550" t="s">
        <v>173</v>
      </c>
      <c r="E1550">
        <v>15</v>
      </c>
      <c r="F1550">
        <v>15.59</v>
      </c>
      <c r="G1550">
        <v>2.97</v>
      </c>
      <c r="H1550">
        <v>30.45</v>
      </c>
      <c r="I1550">
        <v>0.8</v>
      </c>
      <c r="J1550">
        <v>90.46</v>
      </c>
      <c r="K1550">
        <f t="shared" si="219"/>
        <v>1356.8999999999999</v>
      </c>
      <c r="L1550">
        <f t="shared" si="225"/>
        <v>1356.8999999999999</v>
      </c>
      <c r="M1550">
        <f t="shared" si="217"/>
        <v>694.53450000000009</v>
      </c>
      <c r="N1550">
        <f t="shared" si="220"/>
        <v>173.63362500000002</v>
      </c>
      <c r="O1550">
        <f t="shared" si="221"/>
        <v>694.53450000000009</v>
      </c>
      <c r="P1550">
        <f t="shared" si="222"/>
        <v>173.63362500000002</v>
      </c>
      <c r="Q1550">
        <f t="shared" si="223"/>
        <v>177.17575095000001</v>
      </c>
      <c r="R1550">
        <f t="shared" si="224"/>
        <v>365.4</v>
      </c>
      <c r="S1550">
        <f t="shared" si="218"/>
        <v>1356.8999999999999</v>
      </c>
    </row>
    <row r="1551" spans="1:19" x14ac:dyDescent="0.25">
      <c r="A1551">
        <v>1681</v>
      </c>
      <c r="B1551">
        <v>1373</v>
      </c>
      <c r="C1551" t="s">
        <v>32</v>
      </c>
      <c r="D1551" t="s">
        <v>173</v>
      </c>
      <c r="E1551">
        <v>19</v>
      </c>
      <c r="F1551">
        <v>15.26</v>
      </c>
      <c r="G1551">
        <v>3.2</v>
      </c>
      <c r="H1551">
        <v>28.46</v>
      </c>
      <c r="I1551">
        <v>0.8</v>
      </c>
      <c r="J1551">
        <v>82.13</v>
      </c>
      <c r="K1551">
        <f t="shared" si="219"/>
        <v>1560.4699999999998</v>
      </c>
      <c r="L1551">
        <f t="shared" si="225"/>
        <v>1560.4699999999998</v>
      </c>
      <c r="M1551">
        <f t="shared" si="217"/>
        <v>927.80800000000011</v>
      </c>
      <c r="N1551">
        <f t="shared" si="220"/>
        <v>231.95200000000003</v>
      </c>
      <c r="O1551">
        <f t="shared" si="221"/>
        <v>927.80800000000011</v>
      </c>
      <c r="P1551">
        <f t="shared" si="222"/>
        <v>231.95200000000003</v>
      </c>
      <c r="Q1551">
        <f t="shared" si="223"/>
        <v>236.68382080000003</v>
      </c>
      <c r="R1551">
        <f t="shared" si="224"/>
        <v>432.59200000000004</v>
      </c>
      <c r="S1551">
        <f t="shared" si="218"/>
        <v>1560.4699999999998</v>
      </c>
    </row>
    <row r="1552" spans="1:19" x14ac:dyDescent="0.25">
      <c r="A1552">
        <v>1682</v>
      </c>
      <c r="B1552">
        <v>1373</v>
      </c>
      <c r="C1552" t="s">
        <v>32</v>
      </c>
      <c r="D1552" t="s">
        <v>172</v>
      </c>
      <c r="E1552">
        <v>20</v>
      </c>
      <c r="F1552">
        <v>19.61</v>
      </c>
      <c r="G1552">
        <v>10.4</v>
      </c>
      <c r="H1552">
        <v>37.21</v>
      </c>
      <c r="I1552">
        <v>1.04</v>
      </c>
      <c r="J1552">
        <v>349.42</v>
      </c>
      <c r="K1552">
        <f t="shared" si="219"/>
        <v>6988.4000000000005</v>
      </c>
      <c r="L1552">
        <f t="shared" si="225"/>
        <v>0</v>
      </c>
      <c r="M1552">
        <f t="shared" si="217"/>
        <v>0</v>
      </c>
      <c r="N1552">
        <f t="shared" si="220"/>
        <v>0</v>
      </c>
      <c r="O1552">
        <f t="shared" si="221"/>
        <v>4078.88</v>
      </c>
      <c r="P1552">
        <f t="shared" si="222"/>
        <v>1019.72</v>
      </c>
      <c r="Q1552">
        <f t="shared" si="223"/>
        <v>1040.5222879999999</v>
      </c>
      <c r="R1552">
        <f t="shared" si="224"/>
        <v>773.96800000000007</v>
      </c>
      <c r="S1552">
        <f t="shared" si="218"/>
        <v>6988.4000000000005</v>
      </c>
    </row>
    <row r="1553" spans="1:19" x14ac:dyDescent="0.25">
      <c r="A1553">
        <v>1683</v>
      </c>
      <c r="B1553">
        <v>1373</v>
      </c>
      <c r="C1553" t="s">
        <v>32</v>
      </c>
      <c r="D1553" t="s">
        <v>173</v>
      </c>
      <c r="E1553">
        <v>53</v>
      </c>
      <c r="F1553">
        <v>15.62</v>
      </c>
      <c r="G1553">
        <v>2.39</v>
      </c>
      <c r="H1553">
        <v>32.67</v>
      </c>
      <c r="I1553">
        <v>0.81</v>
      </c>
      <c r="J1553">
        <v>80.44</v>
      </c>
      <c r="K1553">
        <f t="shared" si="219"/>
        <v>4263.32</v>
      </c>
      <c r="L1553">
        <f t="shared" si="225"/>
        <v>4263.32</v>
      </c>
      <c r="M1553">
        <f t="shared" si="217"/>
        <v>1978.5853999999999</v>
      </c>
      <c r="N1553">
        <f t="shared" si="220"/>
        <v>494.64634999999998</v>
      </c>
      <c r="O1553">
        <f t="shared" si="221"/>
        <v>1978.5853999999999</v>
      </c>
      <c r="P1553">
        <f t="shared" si="222"/>
        <v>494.64634999999998</v>
      </c>
      <c r="Q1553">
        <f t="shared" si="223"/>
        <v>504.73713554</v>
      </c>
      <c r="R1553">
        <f t="shared" si="224"/>
        <v>1402.5231000000001</v>
      </c>
      <c r="S1553">
        <f t="shared" si="218"/>
        <v>4263.32</v>
      </c>
    </row>
    <row r="1554" spans="1:19" x14ac:dyDescent="0.25">
      <c r="A1554">
        <v>1684</v>
      </c>
      <c r="B1554">
        <v>1373</v>
      </c>
      <c r="C1554" t="s">
        <v>32</v>
      </c>
      <c r="D1554" t="s">
        <v>172</v>
      </c>
      <c r="E1554">
        <v>13</v>
      </c>
      <c r="F1554">
        <v>19.559999999999999</v>
      </c>
      <c r="G1554">
        <v>11.78</v>
      </c>
      <c r="H1554">
        <v>24.96</v>
      </c>
      <c r="I1554">
        <v>0.97</v>
      </c>
      <c r="J1554">
        <v>371.56</v>
      </c>
      <c r="K1554">
        <f t="shared" si="219"/>
        <v>4830.28</v>
      </c>
      <c r="L1554">
        <f t="shared" si="225"/>
        <v>0</v>
      </c>
      <c r="M1554">
        <f t="shared" si="217"/>
        <v>0</v>
      </c>
      <c r="N1554">
        <f t="shared" si="220"/>
        <v>0</v>
      </c>
      <c r="O1554">
        <f t="shared" si="221"/>
        <v>2995.4183999999996</v>
      </c>
      <c r="P1554">
        <f t="shared" si="222"/>
        <v>748.85459999999989</v>
      </c>
      <c r="Q1554">
        <f t="shared" si="223"/>
        <v>764.13123383999982</v>
      </c>
      <c r="R1554">
        <f t="shared" si="224"/>
        <v>314.74560000000002</v>
      </c>
      <c r="S1554">
        <f t="shared" si="218"/>
        <v>4830.28</v>
      </c>
    </row>
    <row r="1555" spans="1:19" x14ac:dyDescent="0.25">
      <c r="A1555">
        <v>1685</v>
      </c>
      <c r="B1555">
        <v>1373</v>
      </c>
      <c r="C1555" t="s">
        <v>32</v>
      </c>
      <c r="D1555" t="s">
        <v>173</v>
      </c>
      <c r="E1555">
        <v>18</v>
      </c>
      <c r="F1555">
        <v>16.489999999999998</v>
      </c>
      <c r="G1555">
        <v>2.89</v>
      </c>
      <c r="H1555">
        <v>31.74</v>
      </c>
      <c r="I1555">
        <v>0.79</v>
      </c>
      <c r="J1555">
        <v>93.11</v>
      </c>
      <c r="K1555">
        <f t="shared" si="219"/>
        <v>1675.98</v>
      </c>
      <c r="L1555">
        <f t="shared" si="225"/>
        <v>1675.98</v>
      </c>
      <c r="M1555">
        <f t="shared" si="217"/>
        <v>857.8098</v>
      </c>
      <c r="N1555">
        <f t="shared" si="220"/>
        <v>214.45245</v>
      </c>
      <c r="O1555">
        <f t="shared" si="221"/>
        <v>857.8098</v>
      </c>
      <c r="P1555">
        <f t="shared" si="222"/>
        <v>214.45245</v>
      </c>
      <c r="Q1555">
        <f t="shared" si="223"/>
        <v>218.82727997999999</v>
      </c>
      <c r="R1555">
        <f t="shared" si="224"/>
        <v>451.34280000000001</v>
      </c>
      <c r="S1555">
        <f t="shared" si="218"/>
        <v>1675.98</v>
      </c>
    </row>
    <row r="1556" spans="1:19" x14ac:dyDescent="0.25">
      <c r="A1556">
        <v>1686</v>
      </c>
      <c r="B1556">
        <v>1373</v>
      </c>
      <c r="C1556" t="s">
        <v>32</v>
      </c>
      <c r="D1556" t="s">
        <v>172</v>
      </c>
      <c r="E1556">
        <v>10</v>
      </c>
      <c r="F1556">
        <v>19.649999999999999</v>
      </c>
      <c r="G1556">
        <v>10.19</v>
      </c>
      <c r="H1556">
        <v>29.21</v>
      </c>
      <c r="I1556">
        <v>0.92</v>
      </c>
      <c r="J1556">
        <v>329.82</v>
      </c>
      <c r="K1556">
        <f t="shared" si="219"/>
        <v>3298.2</v>
      </c>
      <c r="L1556">
        <f t="shared" si="225"/>
        <v>0</v>
      </c>
      <c r="M1556">
        <f t="shared" si="217"/>
        <v>0</v>
      </c>
      <c r="N1556">
        <f t="shared" si="220"/>
        <v>0</v>
      </c>
      <c r="O1556">
        <f t="shared" si="221"/>
        <v>2002.3349999999996</v>
      </c>
      <c r="P1556">
        <f t="shared" si="222"/>
        <v>500.5837499999999</v>
      </c>
      <c r="Q1556">
        <f t="shared" si="223"/>
        <v>510.79565849999989</v>
      </c>
      <c r="R1556">
        <f t="shared" si="224"/>
        <v>268.73200000000003</v>
      </c>
      <c r="S1556">
        <f t="shared" si="218"/>
        <v>3298.2</v>
      </c>
    </row>
    <row r="1557" spans="1:19" x14ac:dyDescent="0.25">
      <c r="A1557">
        <v>1687</v>
      </c>
      <c r="B1557">
        <v>1373</v>
      </c>
      <c r="C1557" t="s">
        <v>32</v>
      </c>
      <c r="D1557" t="s">
        <v>173</v>
      </c>
      <c r="E1557">
        <v>13</v>
      </c>
      <c r="F1557">
        <v>17.93</v>
      </c>
      <c r="G1557">
        <v>3.06</v>
      </c>
      <c r="H1557">
        <v>34.11</v>
      </c>
      <c r="I1557">
        <v>0.82</v>
      </c>
      <c r="J1557">
        <v>106.21</v>
      </c>
      <c r="K1557">
        <f t="shared" si="219"/>
        <v>1380.73</v>
      </c>
      <c r="L1557">
        <f t="shared" si="225"/>
        <v>1380.73</v>
      </c>
      <c r="M1557">
        <f t="shared" si="217"/>
        <v>713.25540000000001</v>
      </c>
      <c r="N1557">
        <f t="shared" si="220"/>
        <v>178.31385</v>
      </c>
      <c r="O1557">
        <f t="shared" si="221"/>
        <v>713.25540000000001</v>
      </c>
      <c r="P1557">
        <f t="shared" si="222"/>
        <v>178.31385</v>
      </c>
      <c r="Q1557">
        <f t="shared" si="223"/>
        <v>181.95145253999999</v>
      </c>
      <c r="R1557">
        <f t="shared" si="224"/>
        <v>363.61259999999999</v>
      </c>
      <c r="S1557">
        <f t="shared" si="218"/>
        <v>1380.73</v>
      </c>
    </row>
    <row r="1558" spans="1:19" x14ac:dyDescent="0.25">
      <c r="A1558">
        <v>1688</v>
      </c>
      <c r="B1558">
        <v>1373</v>
      </c>
      <c r="C1558" t="s">
        <v>32</v>
      </c>
      <c r="D1558" t="s">
        <v>173</v>
      </c>
      <c r="E1558">
        <v>9</v>
      </c>
      <c r="F1558">
        <v>14.9</v>
      </c>
      <c r="G1558">
        <v>3.03</v>
      </c>
      <c r="H1558">
        <v>31.04</v>
      </c>
      <c r="I1558">
        <v>0.84</v>
      </c>
      <c r="J1558">
        <v>90.76</v>
      </c>
      <c r="K1558">
        <f t="shared" si="219"/>
        <v>816.84</v>
      </c>
      <c r="L1558">
        <f t="shared" si="225"/>
        <v>816.84</v>
      </c>
      <c r="M1558">
        <f t="shared" si="217"/>
        <v>406.32299999999998</v>
      </c>
      <c r="N1558">
        <f t="shared" si="220"/>
        <v>101.58074999999999</v>
      </c>
      <c r="O1558">
        <f t="shared" si="221"/>
        <v>406.32299999999998</v>
      </c>
      <c r="P1558">
        <f t="shared" si="222"/>
        <v>101.58074999999999</v>
      </c>
      <c r="Q1558">
        <f t="shared" si="223"/>
        <v>103.6529973</v>
      </c>
      <c r="R1558">
        <f t="shared" si="224"/>
        <v>234.66239999999999</v>
      </c>
      <c r="S1558">
        <f t="shared" si="218"/>
        <v>816.84</v>
      </c>
    </row>
    <row r="1559" spans="1:19" x14ac:dyDescent="0.25">
      <c r="A1559">
        <v>1689</v>
      </c>
      <c r="B1559">
        <v>1374</v>
      </c>
      <c r="C1559" t="s">
        <v>32</v>
      </c>
      <c r="D1559" t="s">
        <v>172</v>
      </c>
      <c r="E1559">
        <v>17</v>
      </c>
      <c r="F1559">
        <v>20.02</v>
      </c>
      <c r="G1559">
        <v>11.7</v>
      </c>
      <c r="H1559">
        <v>35.729999999999997</v>
      </c>
      <c r="I1559">
        <v>1.03</v>
      </c>
      <c r="J1559">
        <v>392.22</v>
      </c>
      <c r="K1559">
        <f t="shared" si="219"/>
        <v>6667.7400000000007</v>
      </c>
      <c r="L1559">
        <f t="shared" si="225"/>
        <v>0</v>
      </c>
      <c r="M1559">
        <f t="shared" si="217"/>
        <v>0</v>
      </c>
      <c r="N1559">
        <f t="shared" si="220"/>
        <v>0</v>
      </c>
      <c r="O1559">
        <f t="shared" si="221"/>
        <v>3981.9779999999996</v>
      </c>
      <c r="P1559">
        <f t="shared" si="222"/>
        <v>995.4944999999999</v>
      </c>
      <c r="Q1559">
        <f t="shared" si="223"/>
        <v>1015.8025877999999</v>
      </c>
      <c r="R1559">
        <f t="shared" si="224"/>
        <v>625.63229999999999</v>
      </c>
      <c r="S1559">
        <f t="shared" si="218"/>
        <v>6667.7400000000007</v>
      </c>
    </row>
    <row r="1560" spans="1:19" x14ac:dyDescent="0.25">
      <c r="A1560">
        <v>1690</v>
      </c>
      <c r="B1560">
        <v>1374</v>
      </c>
      <c r="C1560" t="s">
        <v>32</v>
      </c>
      <c r="D1560" t="s">
        <v>173</v>
      </c>
      <c r="E1560">
        <v>14</v>
      </c>
      <c r="F1560">
        <v>15.82</v>
      </c>
      <c r="G1560">
        <v>2.6</v>
      </c>
      <c r="H1560">
        <v>36.700000000000003</v>
      </c>
      <c r="I1560">
        <v>0.79</v>
      </c>
      <c r="J1560">
        <v>88.45</v>
      </c>
      <c r="K1560">
        <f t="shared" si="219"/>
        <v>1238.3</v>
      </c>
      <c r="L1560">
        <f t="shared" si="225"/>
        <v>1238.3</v>
      </c>
      <c r="M1560">
        <f t="shared" si="217"/>
        <v>575.84799999999996</v>
      </c>
      <c r="N1560">
        <f t="shared" si="220"/>
        <v>143.96199999999999</v>
      </c>
      <c r="O1560">
        <f t="shared" si="221"/>
        <v>575.84799999999996</v>
      </c>
      <c r="P1560">
        <f t="shared" si="222"/>
        <v>143.96199999999999</v>
      </c>
      <c r="Q1560">
        <f t="shared" si="223"/>
        <v>146.89882479999997</v>
      </c>
      <c r="R1560">
        <f t="shared" si="224"/>
        <v>405.90200000000004</v>
      </c>
      <c r="S1560">
        <f t="shared" si="218"/>
        <v>1238.3</v>
      </c>
    </row>
    <row r="1561" spans="1:19" x14ac:dyDescent="0.25">
      <c r="A1561">
        <v>1691</v>
      </c>
      <c r="B1561">
        <v>1374</v>
      </c>
      <c r="C1561" t="s">
        <v>32</v>
      </c>
      <c r="D1561" t="s">
        <v>172</v>
      </c>
      <c r="E1561">
        <v>21</v>
      </c>
      <c r="F1561">
        <v>18.09</v>
      </c>
      <c r="G1561">
        <v>11.59</v>
      </c>
      <c r="H1561">
        <v>31.57</v>
      </c>
      <c r="I1561">
        <v>0.97</v>
      </c>
      <c r="J1561">
        <v>348.32</v>
      </c>
      <c r="K1561">
        <f t="shared" si="219"/>
        <v>7314.72</v>
      </c>
      <c r="L1561">
        <f t="shared" si="225"/>
        <v>0</v>
      </c>
      <c r="M1561">
        <f t="shared" si="217"/>
        <v>0</v>
      </c>
      <c r="N1561">
        <f t="shared" si="220"/>
        <v>0</v>
      </c>
      <c r="O1561">
        <f t="shared" si="221"/>
        <v>4402.9250999999995</v>
      </c>
      <c r="P1561">
        <f t="shared" si="222"/>
        <v>1100.7312749999999</v>
      </c>
      <c r="Q1561">
        <f t="shared" si="223"/>
        <v>1123.1861930099999</v>
      </c>
      <c r="R1561">
        <f t="shared" si="224"/>
        <v>643.08090000000004</v>
      </c>
      <c r="S1561">
        <f t="shared" si="218"/>
        <v>7314.72</v>
      </c>
    </row>
    <row r="1562" spans="1:19" x14ac:dyDescent="0.25">
      <c r="A1562">
        <v>1692</v>
      </c>
      <c r="B1562">
        <v>1374</v>
      </c>
      <c r="C1562" t="s">
        <v>32</v>
      </c>
      <c r="D1562" t="s">
        <v>172</v>
      </c>
      <c r="E1562">
        <v>29</v>
      </c>
      <c r="F1562">
        <v>17.75</v>
      </c>
      <c r="G1562">
        <v>11.57</v>
      </c>
      <c r="H1562">
        <v>26.7</v>
      </c>
      <c r="I1562">
        <v>0.93</v>
      </c>
      <c r="J1562">
        <v>335.03</v>
      </c>
      <c r="K1562">
        <f t="shared" si="219"/>
        <v>9715.869999999999</v>
      </c>
      <c r="L1562">
        <f t="shared" si="225"/>
        <v>0</v>
      </c>
      <c r="M1562">
        <f t="shared" si="217"/>
        <v>0</v>
      </c>
      <c r="N1562">
        <f t="shared" si="220"/>
        <v>0</v>
      </c>
      <c r="O1562">
        <f t="shared" si="221"/>
        <v>5955.6575000000003</v>
      </c>
      <c r="P1562">
        <f t="shared" si="222"/>
        <v>1488.9143750000001</v>
      </c>
      <c r="Q1562">
        <f t="shared" si="223"/>
        <v>1519.28822825</v>
      </c>
      <c r="R1562">
        <f t="shared" si="224"/>
        <v>720.09900000000005</v>
      </c>
      <c r="S1562">
        <f t="shared" si="218"/>
        <v>9715.869999999999</v>
      </c>
    </row>
    <row r="1563" spans="1:19" x14ac:dyDescent="0.25">
      <c r="A1563">
        <v>1693</v>
      </c>
      <c r="B1563">
        <v>1374</v>
      </c>
      <c r="C1563" t="s">
        <v>32</v>
      </c>
      <c r="D1563" t="s">
        <v>173</v>
      </c>
      <c r="E1563">
        <v>11</v>
      </c>
      <c r="F1563">
        <v>14.07</v>
      </c>
      <c r="G1563">
        <v>3.1</v>
      </c>
      <c r="H1563">
        <v>30.84</v>
      </c>
      <c r="I1563">
        <v>0.77</v>
      </c>
      <c r="J1563">
        <v>86.09</v>
      </c>
      <c r="K1563">
        <f t="shared" si="219"/>
        <v>946.99</v>
      </c>
      <c r="L1563">
        <f t="shared" si="225"/>
        <v>946.99</v>
      </c>
      <c r="M1563">
        <f t="shared" si="217"/>
        <v>479.78700000000003</v>
      </c>
      <c r="N1563">
        <f t="shared" si="220"/>
        <v>119.94675000000001</v>
      </c>
      <c r="O1563">
        <f t="shared" si="221"/>
        <v>479.78700000000003</v>
      </c>
      <c r="P1563">
        <f t="shared" si="222"/>
        <v>119.94675000000001</v>
      </c>
      <c r="Q1563">
        <f t="shared" si="223"/>
        <v>122.3936637</v>
      </c>
      <c r="R1563">
        <f t="shared" si="224"/>
        <v>261.21480000000003</v>
      </c>
      <c r="S1563">
        <f t="shared" si="218"/>
        <v>946.99</v>
      </c>
    </row>
    <row r="1564" spans="1:19" x14ac:dyDescent="0.25">
      <c r="A1564">
        <v>1694</v>
      </c>
      <c r="B1564">
        <v>1374</v>
      </c>
      <c r="C1564" t="s">
        <v>32</v>
      </c>
      <c r="D1564" t="s">
        <v>173</v>
      </c>
      <c r="E1564">
        <v>13</v>
      </c>
      <c r="F1564">
        <v>15.56</v>
      </c>
      <c r="G1564">
        <v>2.83</v>
      </c>
      <c r="H1564">
        <v>30.33</v>
      </c>
      <c r="I1564">
        <v>0.8</v>
      </c>
      <c r="J1564">
        <v>87.24</v>
      </c>
      <c r="K1564">
        <f t="shared" si="219"/>
        <v>1134.1199999999999</v>
      </c>
      <c r="L1564">
        <f t="shared" si="225"/>
        <v>1134.1199999999999</v>
      </c>
      <c r="M1564">
        <f t="shared" si="217"/>
        <v>572.45240000000001</v>
      </c>
      <c r="N1564">
        <f t="shared" si="220"/>
        <v>143.1131</v>
      </c>
      <c r="O1564">
        <f t="shared" si="221"/>
        <v>572.45240000000001</v>
      </c>
      <c r="P1564">
        <f t="shared" si="222"/>
        <v>143.1131</v>
      </c>
      <c r="Q1564">
        <f t="shared" si="223"/>
        <v>146.03260724</v>
      </c>
      <c r="R1564">
        <f t="shared" si="224"/>
        <v>315.43200000000002</v>
      </c>
      <c r="S1564">
        <f t="shared" si="218"/>
        <v>1134.1199999999999</v>
      </c>
    </row>
    <row r="1565" spans="1:19" x14ac:dyDescent="0.25">
      <c r="A1565">
        <v>1695</v>
      </c>
      <c r="B1565">
        <v>1374</v>
      </c>
      <c r="C1565" t="s">
        <v>32</v>
      </c>
      <c r="D1565" t="s">
        <v>172</v>
      </c>
      <c r="E1565">
        <v>11</v>
      </c>
      <c r="F1565">
        <v>18.43</v>
      </c>
      <c r="G1565">
        <v>11.12</v>
      </c>
      <c r="H1565">
        <v>34.33</v>
      </c>
      <c r="I1565">
        <v>0.94</v>
      </c>
      <c r="J1565">
        <v>343.25</v>
      </c>
      <c r="K1565">
        <f t="shared" si="219"/>
        <v>3775.75</v>
      </c>
      <c r="L1565">
        <f t="shared" si="225"/>
        <v>0</v>
      </c>
      <c r="M1565">
        <f t="shared" si="217"/>
        <v>0</v>
      </c>
      <c r="N1565">
        <f t="shared" si="220"/>
        <v>0</v>
      </c>
      <c r="O1565">
        <f t="shared" si="221"/>
        <v>2254.3575999999998</v>
      </c>
      <c r="P1565">
        <f t="shared" si="222"/>
        <v>563.58939999999996</v>
      </c>
      <c r="Q1565">
        <f t="shared" si="223"/>
        <v>575.08662375999995</v>
      </c>
      <c r="R1565">
        <f t="shared" si="224"/>
        <v>354.97219999999999</v>
      </c>
      <c r="S1565">
        <f t="shared" si="218"/>
        <v>3775.75</v>
      </c>
    </row>
    <row r="1566" spans="1:19" x14ac:dyDescent="0.25">
      <c r="A1566">
        <v>1696</v>
      </c>
      <c r="B1566">
        <v>1375</v>
      </c>
      <c r="C1566" t="s">
        <v>35</v>
      </c>
      <c r="D1566" t="s">
        <v>172</v>
      </c>
      <c r="E1566">
        <v>9</v>
      </c>
      <c r="F1566">
        <v>20.16</v>
      </c>
      <c r="G1566">
        <v>11.02</v>
      </c>
      <c r="H1566">
        <v>27.27</v>
      </c>
      <c r="I1566">
        <v>0.91</v>
      </c>
      <c r="J1566">
        <v>360</v>
      </c>
      <c r="K1566">
        <f t="shared" si="219"/>
        <v>3240</v>
      </c>
      <c r="L1566">
        <f t="shared" si="225"/>
        <v>0</v>
      </c>
      <c r="M1566">
        <f t="shared" si="217"/>
        <v>0</v>
      </c>
      <c r="N1566">
        <f t="shared" si="220"/>
        <v>0</v>
      </c>
      <c r="O1566">
        <f t="shared" si="221"/>
        <v>1999.4687999999999</v>
      </c>
      <c r="P1566">
        <f t="shared" si="222"/>
        <v>499.86719999999997</v>
      </c>
      <c r="Q1566">
        <f t="shared" si="223"/>
        <v>510.06449087999994</v>
      </c>
      <c r="R1566">
        <f t="shared" si="224"/>
        <v>223.34129999999999</v>
      </c>
      <c r="S1566">
        <f t="shared" si="218"/>
        <v>3240</v>
      </c>
    </row>
    <row r="1567" spans="1:19" x14ac:dyDescent="0.25">
      <c r="A1567">
        <v>1697</v>
      </c>
      <c r="B1567">
        <v>1375</v>
      </c>
      <c r="C1567" t="s">
        <v>35</v>
      </c>
      <c r="D1567" t="s">
        <v>172</v>
      </c>
      <c r="E1567">
        <v>62</v>
      </c>
      <c r="F1567">
        <v>20.61</v>
      </c>
      <c r="G1567">
        <v>11.2</v>
      </c>
      <c r="H1567">
        <v>35</v>
      </c>
      <c r="I1567">
        <v>0.93</v>
      </c>
      <c r="J1567">
        <v>382.1</v>
      </c>
      <c r="K1567">
        <f t="shared" si="219"/>
        <v>23690.2</v>
      </c>
      <c r="L1567">
        <f t="shared" si="225"/>
        <v>0</v>
      </c>
      <c r="M1567">
        <f t="shared" si="217"/>
        <v>0</v>
      </c>
      <c r="N1567">
        <f t="shared" si="220"/>
        <v>0</v>
      </c>
      <c r="O1567">
        <f t="shared" si="221"/>
        <v>14311.583999999999</v>
      </c>
      <c r="P1567">
        <f t="shared" si="222"/>
        <v>3577.8959999999997</v>
      </c>
      <c r="Q1567">
        <f t="shared" si="223"/>
        <v>3650.8850783999997</v>
      </c>
      <c r="R1567">
        <f t="shared" si="224"/>
        <v>2018.1000000000001</v>
      </c>
      <c r="S1567">
        <f t="shared" si="218"/>
        <v>23690.2</v>
      </c>
    </row>
    <row r="1568" spans="1:19" x14ac:dyDescent="0.25">
      <c r="A1568">
        <v>1698</v>
      </c>
      <c r="B1568">
        <v>1375</v>
      </c>
      <c r="C1568" t="s">
        <v>35</v>
      </c>
      <c r="D1568" t="s">
        <v>172</v>
      </c>
      <c r="E1568">
        <v>19</v>
      </c>
      <c r="F1568">
        <v>19.36</v>
      </c>
      <c r="G1568">
        <v>10.91</v>
      </c>
      <c r="H1568">
        <v>31.26</v>
      </c>
      <c r="I1568">
        <v>1.03</v>
      </c>
      <c r="J1568">
        <v>352.5</v>
      </c>
      <c r="K1568">
        <f t="shared" si="219"/>
        <v>6697.5</v>
      </c>
      <c r="L1568">
        <f t="shared" si="225"/>
        <v>0</v>
      </c>
      <c r="M1568">
        <f t="shared" si="217"/>
        <v>0</v>
      </c>
      <c r="N1568">
        <f t="shared" si="220"/>
        <v>0</v>
      </c>
      <c r="O1568">
        <f t="shared" si="221"/>
        <v>4013.1343999999999</v>
      </c>
      <c r="P1568">
        <f t="shared" si="222"/>
        <v>1003.2836</v>
      </c>
      <c r="Q1568">
        <f t="shared" si="223"/>
        <v>1023.7505854399999</v>
      </c>
      <c r="R1568">
        <f t="shared" si="224"/>
        <v>611.75819999999999</v>
      </c>
      <c r="S1568">
        <f t="shared" si="218"/>
        <v>6697.5</v>
      </c>
    </row>
    <row r="1569" spans="1:19" x14ac:dyDescent="0.25">
      <c r="A1569">
        <v>1699</v>
      </c>
      <c r="B1569">
        <v>1375</v>
      </c>
      <c r="C1569" t="s">
        <v>35</v>
      </c>
      <c r="D1569" t="s">
        <v>172</v>
      </c>
      <c r="E1569">
        <v>15</v>
      </c>
      <c r="F1569">
        <v>19.54</v>
      </c>
      <c r="G1569">
        <v>10.69</v>
      </c>
      <c r="H1569">
        <v>25.23</v>
      </c>
      <c r="I1569">
        <v>1.1399999999999999</v>
      </c>
      <c r="J1569">
        <v>344.94</v>
      </c>
      <c r="K1569">
        <f t="shared" si="219"/>
        <v>5174.1000000000004</v>
      </c>
      <c r="L1569">
        <f t="shared" si="225"/>
        <v>0</v>
      </c>
      <c r="M1569">
        <f t="shared" si="217"/>
        <v>0</v>
      </c>
      <c r="N1569">
        <f t="shared" si="220"/>
        <v>0</v>
      </c>
      <c r="O1569">
        <f t="shared" si="221"/>
        <v>3133.2389999999996</v>
      </c>
      <c r="P1569">
        <f t="shared" si="222"/>
        <v>783.30974999999989</v>
      </c>
      <c r="Q1569">
        <f t="shared" si="223"/>
        <v>799.28926889999991</v>
      </c>
      <c r="R1569">
        <f t="shared" si="224"/>
        <v>431.43299999999994</v>
      </c>
      <c r="S1569">
        <f t="shared" si="218"/>
        <v>5174.1000000000004</v>
      </c>
    </row>
    <row r="1570" spans="1:19" x14ac:dyDescent="0.25">
      <c r="A1570">
        <v>1700</v>
      </c>
      <c r="B1570">
        <v>1375</v>
      </c>
      <c r="C1570" t="s">
        <v>35</v>
      </c>
      <c r="D1570" t="s">
        <v>172</v>
      </c>
      <c r="E1570">
        <v>10</v>
      </c>
      <c r="F1570">
        <v>19.89</v>
      </c>
      <c r="G1570">
        <v>11.7</v>
      </c>
      <c r="H1570">
        <v>32.25</v>
      </c>
      <c r="I1570">
        <v>0.94</v>
      </c>
      <c r="J1570">
        <v>382.24</v>
      </c>
      <c r="K1570">
        <f t="shared" si="219"/>
        <v>3822.4</v>
      </c>
      <c r="L1570">
        <f t="shared" si="225"/>
        <v>0</v>
      </c>
      <c r="M1570">
        <f t="shared" si="217"/>
        <v>0</v>
      </c>
      <c r="N1570">
        <f t="shared" si="220"/>
        <v>0</v>
      </c>
      <c r="O1570">
        <f t="shared" si="221"/>
        <v>2327.13</v>
      </c>
      <c r="P1570">
        <f t="shared" si="222"/>
        <v>581.78250000000003</v>
      </c>
      <c r="Q1570">
        <f t="shared" si="223"/>
        <v>593.65086299999996</v>
      </c>
      <c r="R1570">
        <f t="shared" si="224"/>
        <v>303.14999999999998</v>
      </c>
      <c r="S1570">
        <f t="shared" si="218"/>
        <v>3822.4</v>
      </c>
    </row>
    <row r="1571" spans="1:19" x14ac:dyDescent="0.25">
      <c r="A1571">
        <v>1701</v>
      </c>
      <c r="B1571">
        <v>1375</v>
      </c>
      <c r="C1571" t="s">
        <v>35</v>
      </c>
      <c r="D1571" t="s">
        <v>173</v>
      </c>
      <c r="E1571">
        <v>16</v>
      </c>
      <c r="F1571">
        <v>13.59</v>
      </c>
      <c r="G1571">
        <v>2.86</v>
      </c>
      <c r="H1571">
        <v>28.28</v>
      </c>
      <c r="I1571">
        <v>0.77</v>
      </c>
      <c r="J1571">
        <v>77.400000000000006</v>
      </c>
      <c r="K1571">
        <f t="shared" si="219"/>
        <v>1238.4000000000001</v>
      </c>
      <c r="L1571">
        <f t="shared" si="225"/>
        <v>1238.4000000000001</v>
      </c>
      <c r="M1571">
        <f t="shared" si="217"/>
        <v>621.87839999999994</v>
      </c>
      <c r="N1571">
        <f t="shared" si="220"/>
        <v>155.46959999999999</v>
      </c>
      <c r="O1571">
        <f t="shared" si="221"/>
        <v>621.87839999999994</v>
      </c>
      <c r="P1571">
        <f t="shared" si="222"/>
        <v>155.46959999999999</v>
      </c>
      <c r="Q1571">
        <f t="shared" si="223"/>
        <v>158.64117983999998</v>
      </c>
      <c r="R1571">
        <f t="shared" si="224"/>
        <v>348.40960000000001</v>
      </c>
      <c r="S1571">
        <f t="shared" si="218"/>
        <v>1238.4000000000001</v>
      </c>
    </row>
    <row r="1572" spans="1:19" x14ac:dyDescent="0.25">
      <c r="A1572">
        <v>1702</v>
      </c>
      <c r="B1572">
        <v>1375</v>
      </c>
      <c r="C1572" t="s">
        <v>35</v>
      </c>
      <c r="D1572" t="s">
        <v>172</v>
      </c>
      <c r="E1572">
        <v>17</v>
      </c>
      <c r="F1572">
        <v>20.67</v>
      </c>
      <c r="G1572">
        <v>10.84</v>
      </c>
      <c r="H1572">
        <v>36.21</v>
      </c>
      <c r="I1572">
        <v>1.04</v>
      </c>
      <c r="J1572">
        <v>378.11</v>
      </c>
      <c r="K1572">
        <f t="shared" si="219"/>
        <v>6427.87</v>
      </c>
      <c r="L1572">
        <f t="shared" si="225"/>
        <v>0</v>
      </c>
      <c r="M1572">
        <f t="shared" si="217"/>
        <v>0</v>
      </c>
      <c r="N1572">
        <f t="shared" si="220"/>
        <v>0</v>
      </c>
      <c r="O1572">
        <f t="shared" si="221"/>
        <v>3809.0676000000003</v>
      </c>
      <c r="P1572">
        <f t="shared" si="222"/>
        <v>952.26690000000008</v>
      </c>
      <c r="Q1572">
        <f t="shared" si="223"/>
        <v>971.69314476000011</v>
      </c>
      <c r="R1572">
        <f t="shared" si="224"/>
        <v>640.19280000000003</v>
      </c>
      <c r="S1572">
        <f t="shared" si="218"/>
        <v>6427.87</v>
      </c>
    </row>
    <row r="1573" spans="1:19" x14ac:dyDescent="0.25">
      <c r="A1573">
        <v>1703</v>
      </c>
      <c r="B1573">
        <v>1376</v>
      </c>
      <c r="C1573" t="s">
        <v>32</v>
      </c>
      <c r="D1573" t="s">
        <v>172</v>
      </c>
      <c r="E1573">
        <v>18</v>
      </c>
      <c r="F1573">
        <v>20.69</v>
      </c>
      <c r="G1573">
        <v>10.65</v>
      </c>
      <c r="H1573">
        <v>29.98</v>
      </c>
      <c r="I1573">
        <v>1.07</v>
      </c>
      <c r="J1573">
        <v>365.94</v>
      </c>
      <c r="K1573">
        <f t="shared" si="219"/>
        <v>6586.92</v>
      </c>
      <c r="L1573">
        <f t="shared" si="225"/>
        <v>0</v>
      </c>
      <c r="M1573">
        <f t="shared" si="217"/>
        <v>0</v>
      </c>
      <c r="N1573">
        <f t="shared" si="220"/>
        <v>0</v>
      </c>
      <c r="O1573">
        <f t="shared" si="221"/>
        <v>3966.2730000000006</v>
      </c>
      <c r="P1573">
        <f t="shared" si="222"/>
        <v>991.56825000000015</v>
      </c>
      <c r="Q1573">
        <f t="shared" si="223"/>
        <v>1011.7962423000001</v>
      </c>
      <c r="R1573">
        <f t="shared" si="224"/>
        <v>577.41480000000001</v>
      </c>
      <c r="S1573">
        <f t="shared" si="218"/>
        <v>6586.92</v>
      </c>
    </row>
    <row r="1574" spans="1:19" x14ac:dyDescent="0.25">
      <c r="A1574">
        <v>1704</v>
      </c>
      <c r="B1574">
        <v>1376</v>
      </c>
      <c r="C1574" t="s">
        <v>32</v>
      </c>
      <c r="D1574" t="s">
        <v>172</v>
      </c>
      <c r="E1574">
        <v>14</v>
      </c>
      <c r="F1574">
        <v>19.93</v>
      </c>
      <c r="G1574">
        <v>11.05</v>
      </c>
      <c r="H1574">
        <v>26.97</v>
      </c>
      <c r="I1574">
        <v>1</v>
      </c>
      <c r="J1574">
        <v>359.68</v>
      </c>
      <c r="K1574">
        <f t="shared" si="219"/>
        <v>5035.5200000000004</v>
      </c>
      <c r="L1574">
        <f t="shared" si="225"/>
        <v>0</v>
      </c>
      <c r="M1574">
        <f t="shared" si="217"/>
        <v>0</v>
      </c>
      <c r="N1574">
        <f t="shared" si="220"/>
        <v>0</v>
      </c>
      <c r="O1574">
        <f t="shared" si="221"/>
        <v>3083.1710000000003</v>
      </c>
      <c r="P1574">
        <f t="shared" si="222"/>
        <v>770.79275000000007</v>
      </c>
      <c r="Q1574">
        <f t="shared" si="223"/>
        <v>786.5169221000001</v>
      </c>
      <c r="R1574">
        <f t="shared" si="224"/>
        <v>377.58</v>
      </c>
      <c r="S1574">
        <f t="shared" si="218"/>
        <v>5035.5200000000004</v>
      </c>
    </row>
    <row r="1575" spans="1:19" x14ac:dyDescent="0.25">
      <c r="A1575">
        <v>1705</v>
      </c>
      <c r="B1575">
        <v>1376</v>
      </c>
      <c r="C1575" t="s">
        <v>32</v>
      </c>
      <c r="D1575" t="s">
        <v>173</v>
      </c>
      <c r="E1575">
        <v>42</v>
      </c>
      <c r="F1575">
        <v>14.57</v>
      </c>
      <c r="G1575">
        <v>2.78</v>
      </c>
      <c r="H1575">
        <v>32.18</v>
      </c>
      <c r="I1575">
        <v>0.79</v>
      </c>
      <c r="J1575">
        <v>83.66</v>
      </c>
      <c r="K1575">
        <f t="shared" si="219"/>
        <v>3513.72</v>
      </c>
      <c r="L1575">
        <f t="shared" si="225"/>
        <v>3513.72</v>
      </c>
      <c r="M1575">
        <f t="shared" si="217"/>
        <v>1701.1931999999999</v>
      </c>
      <c r="N1575">
        <f t="shared" si="220"/>
        <v>425.29829999999998</v>
      </c>
      <c r="O1575">
        <f t="shared" si="221"/>
        <v>1701.1931999999999</v>
      </c>
      <c r="P1575">
        <f t="shared" si="222"/>
        <v>425.29829999999998</v>
      </c>
      <c r="Q1575">
        <f t="shared" si="223"/>
        <v>433.97438531999995</v>
      </c>
      <c r="R1575">
        <f t="shared" si="224"/>
        <v>1067.7323999999999</v>
      </c>
      <c r="S1575">
        <f t="shared" si="218"/>
        <v>3513.72</v>
      </c>
    </row>
    <row r="1576" spans="1:19" x14ac:dyDescent="0.25">
      <c r="A1576">
        <v>1706</v>
      </c>
      <c r="B1576">
        <v>1376</v>
      </c>
      <c r="C1576" t="s">
        <v>32</v>
      </c>
      <c r="D1576" t="s">
        <v>173</v>
      </c>
      <c r="E1576">
        <v>25</v>
      </c>
      <c r="F1576">
        <v>15.45</v>
      </c>
      <c r="G1576">
        <v>2.91</v>
      </c>
      <c r="H1576">
        <v>33.31</v>
      </c>
      <c r="I1576">
        <v>0.81</v>
      </c>
      <c r="J1576">
        <v>91.5</v>
      </c>
      <c r="K1576">
        <f t="shared" si="219"/>
        <v>2287.5</v>
      </c>
      <c r="L1576">
        <f t="shared" si="225"/>
        <v>2287.5</v>
      </c>
      <c r="M1576">
        <f t="shared" si="217"/>
        <v>1123.9875</v>
      </c>
      <c r="N1576">
        <f t="shared" si="220"/>
        <v>280.99687499999999</v>
      </c>
      <c r="O1576">
        <f t="shared" si="221"/>
        <v>1123.9875</v>
      </c>
      <c r="P1576">
        <f t="shared" si="222"/>
        <v>280.99687499999999</v>
      </c>
      <c r="Q1576">
        <f t="shared" si="223"/>
        <v>286.72921124999999</v>
      </c>
      <c r="R1576">
        <f t="shared" si="224"/>
        <v>674.52750000000003</v>
      </c>
      <c r="S1576">
        <f t="shared" si="218"/>
        <v>2287.5</v>
      </c>
    </row>
    <row r="1577" spans="1:19" x14ac:dyDescent="0.25">
      <c r="A1577">
        <v>1707</v>
      </c>
      <c r="B1577">
        <v>1376</v>
      </c>
      <c r="C1577" t="s">
        <v>32</v>
      </c>
      <c r="D1577" t="s">
        <v>173</v>
      </c>
      <c r="E1577">
        <v>15</v>
      </c>
      <c r="F1577">
        <v>15.68</v>
      </c>
      <c r="G1577">
        <v>2.3199999999999998</v>
      </c>
      <c r="H1577">
        <v>29.57</v>
      </c>
      <c r="I1577">
        <v>0.82</v>
      </c>
      <c r="J1577">
        <v>76.69</v>
      </c>
      <c r="K1577">
        <f t="shared" si="219"/>
        <v>1150.3499999999999</v>
      </c>
      <c r="L1577">
        <f t="shared" si="225"/>
        <v>1150.3499999999999</v>
      </c>
      <c r="M1577">
        <f t="shared" si="217"/>
        <v>545.66399999999999</v>
      </c>
      <c r="N1577">
        <f t="shared" si="220"/>
        <v>136.416</v>
      </c>
      <c r="O1577">
        <f t="shared" si="221"/>
        <v>545.66399999999999</v>
      </c>
      <c r="P1577">
        <f t="shared" si="222"/>
        <v>136.416</v>
      </c>
      <c r="Q1577">
        <f t="shared" si="223"/>
        <v>139.19888639999999</v>
      </c>
      <c r="R1577">
        <f t="shared" si="224"/>
        <v>363.71099999999996</v>
      </c>
      <c r="S1577">
        <f t="shared" si="218"/>
        <v>1150.3499999999999</v>
      </c>
    </row>
    <row r="1578" spans="1:19" x14ac:dyDescent="0.25">
      <c r="A1578">
        <v>1708</v>
      </c>
      <c r="B1578">
        <v>1376</v>
      </c>
      <c r="C1578" t="s">
        <v>32</v>
      </c>
      <c r="D1578" t="s">
        <v>173</v>
      </c>
      <c r="E1578">
        <v>9</v>
      </c>
      <c r="F1578">
        <v>14.73</v>
      </c>
      <c r="G1578">
        <v>3.22</v>
      </c>
      <c r="H1578">
        <v>32.94</v>
      </c>
      <c r="I1578">
        <v>0.8</v>
      </c>
      <c r="J1578">
        <v>94.21</v>
      </c>
      <c r="K1578">
        <f t="shared" si="219"/>
        <v>847.89</v>
      </c>
      <c r="L1578">
        <f t="shared" si="225"/>
        <v>847.89</v>
      </c>
      <c r="M1578">
        <f t="shared" si="217"/>
        <v>426.87540000000001</v>
      </c>
      <c r="N1578">
        <f t="shared" si="220"/>
        <v>106.71885</v>
      </c>
      <c r="O1578">
        <f t="shared" si="221"/>
        <v>426.87540000000001</v>
      </c>
      <c r="P1578">
        <f t="shared" si="222"/>
        <v>106.71885</v>
      </c>
      <c r="Q1578">
        <f t="shared" si="223"/>
        <v>108.89591454000001</v>
      </c>
      <c r="R1578">
        <f t="shared" si="224"/>
        <v>237.16799999999998</v>
      </c>
      <c r="S1578">
        <f t="shared" si="218"/>
        <v>847.89</v>
      </c>
    </row>
    <row r="1579" spans="1:19" x14ac:dyDescent="0.25">
      <c r="A1579">
        <v>1709</v>
      </c>
      <c r="B1579">
        <v>1376</v>
      </c>
      <c r="C1579" t="s">
        <v>32</v>
      </c>
      <c r="D1579" t="s">
        <v>172</v>
      </c>
      <c r="E1579">
        <v>12</v>
      </c>
      <c r="F1579">
        <v>20.05</v>
      </c>
      <c r="G1579">
        <v>11.16</v>
      </c>
      <c r="H1579">
        <v>26.84</v>
      </c>
      <c r="I1579">
        <v>1.05</v>
      </c>
      <c r="J1579">
        <v>366.38</v>
      </c>
      <c r="K1579">
        <f t="shared" si="219"/>
        <v>4396.5599999999995</v>
      </c>
      <c r="L1579">
        <f t="shared" si="225"/>
        <v>0</v>
      </c>
      <c r="M1579">
        <f t="shared" si="217"/>
        <v>0</v>
      </c>
      <c r="N1579">
        <f t="shared" si="220"/>
        <v>0</v>
      </c>
      <c r="O1579">
        <f t="shared" si="221"/>
        <v>2685.0960000000005</v>
      </c>
      <c r="P1579">
        <f t="shared" si="222"/>
        <v>671.27400000000011</v>
      </c>
      <c r="Q1579">
        <f t="shared" si="223"/>
        <v>684.96798960000012</v>
      </c>
      <c r="R1579">
        <f t="shared" si="224"/>
        <v>338.18400000000003</v>
      </c>
      <c r="S1579">
        <f t="shared" si="218"/>
        <v>4396.5599999999995</v>
      </c>
    </row>
    <row r="1580" spans="1:19" x14ac:dyDescent="0.25">
      <c r="A1580">
        <v>1710</v>
      </c>
      <c r="B1580">
        <v>1377</v>
      </c>
      <c r="C1580" t="s">
        <v>35</v>
      </c>
      <c r="D1580" t="s">
        <v>172</v>
      </c>
      <c r="E1580">
        <v>16</v>
      </c>
      <c r="F1580">
        <v>20.92</v>
      </c>
      <c r="G1580">
        <v>12.17</v>
      </c>
      <c r="H1580">
        <v>34.880000000000003</v>
      </c>
      <c r="I1580">
        <v>1.03</v>
      </c>
      <c r="J1580">
        <v>421.46</v>
      </c>
      <c r="K1580">
        <f t="shared" si="219"/>
        <v>6743.36</v>
      </c>
      <c r="L1580">
        <f t="shared" si="225"/>
        <v>0</v>
      </c>
      <c r="M1580">
        <f t="shared" si="217"/>
        <v>0</v>
      </c>
      <c r="N1580">
        <f t="shared" si="220"/>
        <v>0</v>
      </c>
      <c r="O1580">
        <f t="shared" si="221"/>
        <v>4073.5424000000003</v>
      </c>
      <c r="P1580">
        <f t="shared" si="222"/>
        <v>1018.3856000000001</v>
      </c>
      <c r="Q1580">
        <f t="shared" si="223"/>
        <v>1039.16066624</v>
      </c>
      <c r="R1580">
        <f t="shared" si="224"/>
        <v>574.82240000000002</v>
      </c>
      <c r="S1580">
        <f t="shared" si="218"/>
        <v>6743.36</v>
      </c>
    </row>
    <row r="1581" spans="1:19" x14ac:dyDescent="0.25">
      <c r="A1581">
        <v>1711</v>
      </c>
      <c r="B1581">
        <v>1377</v>
      </c>
      <c r="C1581" t="s">
        <v>35</v>
      </c>
      <c r="D1581" t="s">
        <v>173</v>
      </c>
      <c r="E1581">
        <v>12</v>
      </c>
      <c r="F1581">
        <v>14.67</v>
      </c>
      <c r="G1581">
        <v>2.8</v>
      </c>
      <c r="H1581">
        <v>32.06</v>
      </c>
      <c r="I1581">
        <v>0.81</v>
      </c>
      <c r="J1581">
        <v>85.04</v>
      </c>
      <c r="K1581">
        <f t="shared" si="219"/>
        <v>1020.48</v>
      </c>
      <c r="L1581">
        <f t="shared" si="225"/>
        <v>1020.48</v>
      </c>
      <c r="M1581">
        <f t="shared" si="217"/>
        <v>492.91199999999992</v>
      </c>
      <c r="N1581">
        <f t="shared" si="220"/>
        <v>123.22799999999998</v>
      </c>
      <c r="O1581">
        <f t="shared" si="221"/>
        <v>492.91199999999992</v>
      </c>
      <c r="P1581">
        <f t="shared" si="222"/>
        <v>123.22799999999998</v>
      </c>
      <c r="Q1581">
        <f t="shared" si="223"/>
        <v>125.74185119999997</v>
      </c>
      <c r="R1581">
        <f t="shared" si="224"/>
        <v>311.62320000000005</v>
      </c>
      <c r="S1581">
        <f t="shared" si="218"/>
        <v>1020.48</v>
      </c>
    </row>
    <row r="1582" spans="1:19" x14ac:dyDescent="0.25">
      <c r="A1582">
        <v>1712</v>
      </c>
      <c r="B1582">
        <v>1377</v>
      </c>
      <c r="C1582" t="s">
        <v>35</v>
      </c>
      <c r="D1582" t="s">
        <v>172</v>
      </c>
      <c r="E1582">
        <v>13</v>
      </c>
      <c r="F1582">
        <v>19.47</v>
      </c>
      <c r="G1582">
        <v>11.44</v>
      </c>
      <c r="H1582">
        <v>28.07</v>
      </c>
      <c r="I1582">
        <v>1.05</v>
      </c>
      <c r="J1582">
        <v>296.19</v>
      </c>
      <c r="K1582">
        <f t="shared" si="219"/>
        <v>3850.47</v>
      </c>
      <c r="L1582">
        <f t="shared" si="225"/>
        <v>0</v>
      </c>
      <c r="M1582">
        <f t="shared" si="217"/>
        <v>0</v>
      </c>
      <c r="N1582">
        <f t="shared" si="220"/>
        <v>0</v>
      </c>
      <c r="O1582">
        <f t="shared" si="221"/>
        <v>2895.5783999999999</v>
      </c>
      <c r="P1582">
        <f t="shared" si="222"/>
        <v>723.89459999999997</v>
      </c>
      <c r="Q1582">
        <f t="shared" si="223"/>
        <v>738.6620498399999</v>
      </c>
      <c r="R1582">
        <f t="shared" si="224"/>
        <v>383.15550000000002</v>
      </c>
      <c r="S1582">
        <f t="shared" si="218"/>
        <v>3850.47</v>
      </c>
    </row>
    <row r="1583" spans="1:19" x14ac:dyDescent="0.25">
      <c r="A1583">
        <v>1713</v>
      </c>
      <c r="B1583">
        <v>1377</v>
      </c>
      <c r="C1583" t="s">
        <v>35</v>
      </c>
      <c r="D1583" t="s">
        <v>173</v>
      </c>
      <c r="E1583">
        <v>11</v>
      </c>
      <c r="F1583">
        <v>15.11</v>
      </c>
      <c r="G1583">
        <v>2.92</v>
      </c>
      <c r="H1583">
        <v>33.229999999999997</v>
      </c>
      <c r="I1583">
        <v>0.8</v>
      </c>
      <c r="J1583">
        <v>89.91</v>
      </c>
      <c r="K1583">
        <f t="shared" si="219"/>
        <v>989.01</v>
      </c>
      <c r="L1583">
        <f t="shared" si="225"/>
        <v>989.01</v>
      </c>
      <c r="M1583">
        <f t="shared" si="217"/>
        <v>485.33319999999992</v>
      </c>
      <c r="N1583">
        <f t="shared" si="220"/>
        <v>121.33329999999998</v>
      </c>
      <c r="O1583">
        <f t="shared" si="221"/>
        <v>485.33319999999992</v>
      </c>
      <c r="P1583">
        <f t="shared" si="222"/>
        <v>121.33329999999998</v>
      </c>
      <c r="Q1583">
        <f t="shared" si="223"/>
        <v>123.80849931999998</v>
      </c>
      <c r="R1583">
        <f t="shared" si="224"/>
        <v>292.42399999999998</v>
      </c>
      <c r="S1583">
        <f t="shared" si="218"/>
        <v>989.01</v>
      </c>
    </row>
    <row r="1584" spans="1:19" x14ac:dyDescent="0.25">
      <c r="A1584">
        <v>1714</v>
      </c>
      <c r="B1584">
        <v>1377</v>
      </c>
      <c r="C1584" t="s">
        <v>35</v>
      </c>
      <c r="D1584" t="s">
        <v>173</v>
      </c>
      <c r="E1584">
        <v>11</v>
      </c>
      <c r="F1584">
        <v>14.89</v>
      </c>
      <c r="G1584">
        <v>3.14</v>
      </c>
      <c r="H1584">
        <v>32.28</v>
      </c>
      <c r="I1584">
        <v>0.81</v>
      </c>
      <c r="J1584">
        <v>93.05</v>
      </c>
      <c r="K1584">
        <f t="shared" si="219"/>
        <v>1023.55</v>
      </c>
      <c r="L1584">
        <f t="shared" si="225"/>
        <v>1023.55</v>
      </c>
      <c r="M1584">
        <f t="shared" si="217"/>
        <v>514.30060000000003</v>
      </c>
      <c r="N1584">
        <f t="shared" si="220"/>
        <v>128.57515000000001</v>
      </c>
      <c r="O1584">
        <f t="shared" si="221"/>
        <v>514.30060000000003</v>
      </c>
      <c r="P1584">
        <f t="shared" si="222"/>
        <v>128.57515000000001</v>
      </c>
      <c r="Q1584">
        <f t="shared" si="223"/>
        <v>131.19808306000002</v>
      </c>
      <c r="R1584">
        <f t="shared" si="224"/>
        <v>287.6148</v>
      </c>
      <c r="S1584">
        <f t="shared" si="218"/>
        <v>1023.55</v>
      </c>
    </row>
    <row r="1585" spans="1:19" x14ac:dyDescent="0.25">
      <c r="A1585">
        <v>1715</v>
      </c>
      <c r="B1585">
        <v>1377</v>
      </c>
      <c r="C1585" t="s">
        <v>35</v>
      </c>
      <c r="D1585" t="s">
        <v>173</v>
      </c>
      <c r="E1585">
        <v>15</v>
      </c>
      <c r="F1585">
        <v>15.29</v>
      </c>
      <c r="G1585">
        <v>3.06</v>
      </c>
      <c r="H1585">
        <v>34.950000000000003</v>
      </c>
      <c r="I1585">
        <v>0.83</v>
      </c>
      <c r="J1585">
        <v>96.24</v>
      </c>
      <c r="K1585">
        <f t="shared" si="219"/>
        <v>1443.6</v>
      </c>
      <c r="L1585">
        <f t="shared" si="225"/>
        <v>1443.6</v>
      </c>
      <c r="M1585">
        <f t="shared" si="217"/>
        <v>701.81099999999992</v>
      </c>
      <c r="N1585">
        <f t="shared" si="220"/>
        <v>175.45274999999998</v>
      </c>
      <c r="O1585">
        <f t="shared" si="221"/>
        <v>701.81099999999992</v>
      </c>
      <c r="P1585">
        <f t="shared" si="222"/>
        <v>175.45274999999998</v>
      </c>
      <c r="Q1585">
        <f t="shared" si="223"/>
        <v>179.03198609999998</v>
      </c>
      <c r="R1585">
        <f t="shared" si="224"/>
        <v>435.1275</v>
      </c>
      <c r="S1585">
        <f t="shared" si="218"/>
        <v>1443.6</v>
      </c>
    </row>
    <row r="1586" spans="1:19" x14ac:dyDescent="0.25">
      <c r="A1586">
        <v>1716</v>
      </c>
      <c r="B1586">
        <v>1377</v>
      </c>
      <c r="C1586" t="s">
        <v>35</v>
      </c>
      <c r="D1586" t="s">
        <v>173</v>
      </c>
      <c r="E1586">
        <v>27</v>
      </c>
      <c r="F1586">
        <v>14.39</v>
      </c>
      <c r="G1586">
        <v>3.06</v>
      </c>
      <c r="H1586">
        <v>27.44</v>
      </c>
      <c r="I1586">
        <v>0.76</v>
      </c>
      <c r="J1586">
        <v>83.49</v>
      </c>
      <c r="K1586">
        <f t="shared" si="219"/>
        <v>2254.23</v>
      </c>
      <c r="L1586">
        <f t="shared" si="225"/>
        <v>2254.23</v>
      </c>
      <c r="M1586">
        <f t="shared" si="217"/>
        <v>1188.9018000000001</v>
      </c>
      <c r="N1586">
        <f t="shared" si="220"/>
        <v>297.22545000000002</v>
      </c>
      <c r="O1586">
        <f t="shared" si="221"/>
        <v>1188.9018000000001</v>
      </c>
      <c r="P1586">
        <f t="shared" si="222"/>
        <v>297.22545000000002</v>
      </c>
      <c r="Q1586">
        <f t="shared" si="223"/>
        <v>303.28884918</v>
      </c>
      <c r="R1586">
        <f t="shared" si="224"/>
        <v>563.06880000000001</v>
      </c>
      <c r="S1586">
        <f t="shared" si="218"/>
        <v>2254.23</v>
      </c>
    </row>
    <row r="1587" spans="1:19" x14ac:dyDescent="0.25">
      <c r="A1587">
        <v>1717</v>
      </c>
      <c r="B1587">
        <v>1377</v>
      </c>
      <c r="C1587" t="s">
        <v>35</v>
      </c>
      <c r="D1587" t="s">
        <v>173</v>
      </c>
      <c r="E1587">
        <v>10</v>
      </c>
      <c r="F1587">
        <v>13.97</v>
      </c>
      <c r="G1587">
        <v>3.01</v>
      </c>
      <c r="H1587">
        <v>31.29</v>
      </c>
      <c r="I1587">
        <v>0.79</v>
      </c>
      <c r="J1587">
        <v>85.01</v>
      </c>
      <c r="K1587">
        <f t="shared" si="219"/>
        <v>850.1</v>
      </c>
      <c r="L1587">
        <f t="shared" si="225"/>
        <v>850.1</v>
      </c>
      <c r="M1587">
        <f t="shared" si="217"/>
        <v>420.49700000000001</v>
      </c>
      <c r="N1587">
        <f t="shared" si="220"/>
        <v>105.12425</v>
      </c>
      <c r="O1587">
        <f t="shared" si="221"/>
        <v>420.49700000000001</v>
      </c>
      <c r="P1587">
        <f t="shared" si="222"/>
        <v>105.12425</v>
      </c>
      <c r="Q1587">
        <f t="shared" si="223"/>
        <v>107.2687847</v>
      </c>
      <c r="R1587">
        <f t="shared" si="224"/>
        <v>247.191</v>
      </c>
      <c r="S1587">
        <f t="shared" si="218"/>
        <v>850.1</v>
      </c>
    </row>
    <row r="1588" spans="1:19" x14ac:dyDescent="0.25">
      <c r="A1588">
        <v>1718</v>
      </c>
      <c r="B1588">
        <v>1377</v>
      </c>
      <c r="C1588" t="s">
        <v>35</v>
      </c>
      <c r="D1588" t="s">
        <v>173</v>
      </c>
      <c r="E1588">
        <v>15</v>
      </c>
      <c r="F1588">
        <v>15.13</v>
      </c>
      <c r="G1588">
        <v>2.66</v>
      </c>
      <c r="H1588">
        <v>29.26</v>
      </c>
      <c r="I1588">
        <v>0.84</v>
      </c>
      <c r="J1588">
        <v>82.37</v>
      </c>
      <c r="K1588">
        <f t="shared" si="219"/>
        <v>1235.5500000000002</v>
      </c>
      <c r="L1588">
        <f t="shared" si="225"/>
        <v>1235.5500000000002</v>
      </c>
      <c r="M1588">
        <f t="shared" si="217"/>
        <v>603.68700000000013</v>
      </c>
      <c r="N1588">
        <f t="shared" si="220"/>
        <v>150.92175000000003</v>
      </c>
      <c r="O1588">
        <f t="shared" si="221"/>
        <v>603.68700000000013</v>
      </c>
      <c r="P1588">
        <f t="shared" si="222"/>
        <v>150.92175000000003</v>
      </c>
      <c r="Q1588">
        <f t="shared" si="223"/>
        <v>154.00055370000004</v>
      </c>
      <c r="R1588">
        <f t="shared" si="224"/>
        <v>368.67599999999999</v>
      </c>
      <c r="S1588">
        <f t="shared" si="218"/>
        <v>1235.5500000000002</v>
      </c>
    </row>
    <row r="1589" spans="1:19" x14ac:dyDescent="0.25">
      <c r="A1589">
        <v>1719</v>
      </c>
      <c r="B1589">
        <v>1377</v>
      </c>
      <c r="C1589" t="s">
        <v>35</v>
      </c>
      <c r="D1589" t="s">
        <v>172</v>
      </c>
      <c r="E1589">
        <v>14</v>
      </c>
      <c r="F1589">
        <v>19.25</v>
      </c>
      <c r="G1589">
        <v>11.66</v>
      </c>
      <c r="H1589">
        <v>31.36</v>
      </c>
      <c r="I1589">
        <v>1.01</v>
      </c>
      <c r="J1589">
        <v>371.57</v>
      </c>
      <c r="K1589">
        <f t="shared" si="219"/>
        <v>5201.9799999999996</v>
      </c>
      <c r="L1589">
        <f t="shared" si="225"/>
        <v>0</v>
      </c>
      <c r="M1589">
        <f t="shared" si="217"/>
        <v>0</v>
      </c>
      <c r="N1589">
        <f t="shared" si="220"/>
        <v>0</v>
      </c>
      <c r="O1589">
        <f t="shared" si="221"/>
        <v>3142.3700000000003</v>
      </c>
      <c r="P1589">
        <f t="shared" si="222"/>
        <v>785.59250000000009</v>
      </c>
      <c r="Q1589">
        <f t="shared" si="223"/>
        <v>801.61858700000005</v>
      </c>
      <c r="R1589">
        <f t="shared" si="224"/>
        <v>443.43040000000002</v>
      </c>
      <c r="S1589">
        <f t="shared" si="218"/>
        <v>5201.9799999999996</v>
      </c>
    </row>
    <row r="1590" spans="1:19" x14ac:dyDescent="0.25">
      <c r="A1590">
        <v>1720</v>
      </c>
      <c r="B1590">
        <v>1377</v>
      </c>
      <c r="C1590" t="s">
        <v>35</v>
      </c>
      <c r="D1590" t="s">
        <v>173</v>
      </c>
      <c r="E1590">
        <v>33</v>
      </c>
      <c r="F1590">
        <v>15.63</v>
      </c>
      <c r="G1590">
        <v>2.69</v>
      </c>
      <c r="H1590">
        <v>29.3</v>
      </c>
      <c r="I1590">
        <v>0.82</v>
      </c>
      <c r="J1590">
        <v>84.24</v>
      </c>
      <c r="K1590">
        <f t="shared" si="219"/>
        <v>2779.9199999999996</v>
      </c>
      <c r="L1590">
        <f t="shared" si="225"/>
        <v>2779.9199999999996</v>
      </c>
      <c r="M1590">
        <f t="shared" si="217"/>
        <v>1387.4751000000001</v>
      </c>
      <c r="N1590">
        <f t="shared" si="220"/>
        <v>346.86877500000003</v>
      </c>
      <c r="O1590">
        <f t="shared" si="221"/>
        <v>1387.4751000000001</v>
      </c>
      <c r="P1590">
        <f t="shared" si="222"/>
        <v>346.86877500000003</v>
      </c>
      <c r="Q1590">
        <f t="shared" si="223"/>
        <v>353.94489801000003</v>
      </c>
      <c r="R1590">
        <f t="shared" si="224"/>
        <v>792.85799999999995</v>
      </c>
      <c r="S1590">
        <f t="shared" si="218"/>
        <v>2779.9199999999996</v>
      </c>
    </row>
    <row r="1591" spans="1:19" x14ac:dyDescent="0.25">
      <c r="A1591">
        <v>1721</v>
      </c>
      <c r="B1591">
        <v>1378</v>
      </c>
      <c r="C1591" t="s">
        <v>35</v>
      </c>
      <c r="D1591" t="s">
        <v>173</v>
      </c>
      <c r="E1591">
        <v>14</v>
      </c>
      <c r="F1591">
        <v>14.33</v>
      </c>
      <c r="G1591">
        <v>2.97</v>
      </c>
      <c r="H1591">
        <v>26.7</v>
      </c>
      <c r="I1591">
        <v>0.76</v>
      </c>
      <c r="J1591">
        <v>80.84</v>
      </c>
      <c r="K1591">
        <f t="shared" si="219"/>
        <v>1131.76</v>
      </c>
      <c r="L1591">
        <f t="shared" si="225"/>
        <v>1131.76</v>
      </c>
      <c r="M1591">
        <f t="shared" si="217"/>
        <v>595.84140000000014</v>
      </c>
      <c r="N1591">
        <f t="shared" si="220"/>
        <v>148.96035000000003</v>
      </c>
      <c r="O1591">
        <f t="shared" si="221"/>
        <v>595.84140000000014</v>
      </c>
      <c r="P1591">
        <f t="shared" si="222"/>
        <v>148.96035000000003</v>
      </c>
      <c r="Q1591">
        <f t="shared" si="223"/>
        <v>151.99914114000003</v>
      </c>
      <c r="R1591">
        <f t="shared" si="224"/>
        <v>284.08800000000002</v>
      </c>
      <c r="S1591">
        <f t="shared" si="218"/>
        <v>1131.76</v>
      </c>
    </row>
    <row r="1592" spans="1:19" x14ac:dyDescent="0.25">
      <c r="A1592">
        <v>1722</v>
      </c>
      <c r="B1592">
        <v>1378</v>
      </c>
      <c r="C1592" t="s">
        <v>35</v>
      </c>
      <c r="D1592" t="s">
        <v>173</v>
      </c>
      <c r="E1592">
        <v>11</v>
      </c>
      <c r="F1592">
        <v>13.26</v>
      </c>
      <c r="G1592">
        <v>3.05</v>
      </c>
      <c r="H1592">
        <v>26.56</v>
      </c>
      <c r="I1592">
        <v>0.82</v>
      </c>
      <c r="J1592">
        <v>79.569999999999993</v>
      </c>
      <c r="K1592">
        <f t="shared" si="219"/>
        <v>875.27</v>
      </c>
      <c r="L1592">
        <f t="shared" si="225"/>
        <v>875.27</v>
      </c>
      <c r="M1592">
        <f t="shared" si="217"/>
        <v>444.87299999999993</v>
      </c>
      <c r="N1592">
        <f t="shared" si="220"/>
        <v>111.21824999999998</v>
      </c>
      <c r="O1592">
        <f t="shared" si="221"/>
        <v>444.87299999999993</v>
      </c>
      <c r="P1592">
        <f t="shared" si="222"/>
        <v>111.21824999999998</v>
      </c>
      <c r="Q1592">
        <f t="shared" si="223"/>
        <v>113.48710229999998</v>
      </c>
      <c r="R1592">
        <f t="shared" si="224"/>
        <v>239.57119999999998</v>
      </c>
      <c r="S1592">
        <f t="shared" si="218"/>
        <v>875.27</v>
      </c>
    </row>
    <row r="1593" spans="1:19" x14ac:dyDescent="0.25">
      <c r="A1593">
        <v>1723</v>
      </c>
      <c r="B1593">
        <v>1378</v>
      </c>
      <c r="C1593" t="s">
        <v>35</v>
      </c>
      <c r="D1593" t="s">
        <v>173</v>
      </c>
      <c r="E1593">
        <v>15</v>
      </c>
      <c r="F1593">
        <v>15.81</v>
      </c>
      <c r="G1593">
        <v>2.86</v>
      </c>
      <c r="H1593">
        <v>30.46</v>
      </c>
      <c r="I1593">
        <v>0.78</v>
      </c>
      <c r="J1593">
        <v>88.31</v>
      </c>
      <c r="K1593">
        <f t="shared" si="219"/>
        <v>1324.65</v>
      </c>
      <c r="L1593">
        <f t="shared" si="225"/>
        <v>1324.65</v>
      </c>
      <c r="M1593">
        <f t="shared" si="217"/>
        <v>678.24900000000002</v>
      </c>
      <c r="N1593">
        <f t="shared" si="220"/>
        <v>169.56225000000001</v>
      </c>
      <c r="O1593">
        <f t="shared" si="221"/>
        <v>678.24900000000002</v>
      </c>
      <c r="P1593">
        <f t="shared" si="222"/>
        <v>169.56225000000001</v>
      </c>
      <c r="Q1593">
        <f t="shared" si="223"/>
        <v>173.02131990000001</v>
      </c>
      <c r="R1593">
        <f t="shared" si="224"/>
        <v>356.38200000000006</v>
      </c>
      <c r="S1593">
        <f t="shared" si="218"/>
        <v>1324.65</v>
      </c>
    </row>
    <row r="1594" spans="1:19" x14ac:dyDescent="0.25">
      <c r="A1594">
        <v>1724</v>
      </c>
      <c r="B1594">
        <v>1378</v>
      </c>
      <c r="C1594" t="s">
        <v>35</v>
      </c>
      <c r="D1594" t="s">
        <v>173</v>
      </c>
      <c r="E1594">
        <v>14</v>
      </c>
      <c r="F1594">
        <v>13.6</v>
      </c>
      <c r="G1594">
        <v>2.86</v>
      </c>
      <c r="H1594">
        <v>27.97</v>
      </c>
      <c r="I1594">
        <v>0.81</v>
      </c>
      <c r="J1594">
        <v>78.400000000000006</v>
      </c>
      <c r="K1594">
        <f t="shared" si="219"/>
        <v>1097.6000000000001</v>
      </c>
      <c r="L1594">
        <f t="shared" si="225"/>
        <v>1097.6000000000001</v>
      </c>
      <c r="M1594">
        <f t="shared" si="217"/>
        <v>544.54399999999998</v>
      </c>
      <c r="N1594">
        <f t="shared" si="220"/>
        <v>136.136</v>
      </c>
      <c r="O1594">
        <f t="shared" si="221"/>
        <v>544.54399999999998</v>
      </c>
      <c r="P1594">
        <f t="shared" si="222"/>
        <v>136.136</v>
      </c>
      <c r="Q1594">
        <f t="shared" si="223"/>
        <v>138.9131744</v>
      </c>
      <c r="R1594">
        <f t="shared" si="224"/>
        <v>317.1798</v>
      </c>
      <c r="S1594">
        <f t="shared" si="218"/>
        <v>1097.6000000000001</v>
      </c>
    </row>
    <row r="1595" spans="1:19" x14ac:dyDescent="0.25">
      <c r="A1595">
        <v>1725</v>
      </c>
      <c r="B1595">
        <v>1378</v>
      </c>
      <c r="C1595" t="s">
        <v>35</v>
      </c>
      <c r="D1595" t="s">
        <v>173</v>
      </c>
      <c r="E1595">
        <v>9</v>
      </c>
      <c r="F1595">
        <v>16.36</v>
      </c>
      <c r="G1595">
        <v>2.89</v>
      </c>
      <c r="H1595">
        <v>32.78</v>
      </c>
      <c r="I1595">
        <v>0.77</v>
      </c>
      <c r="J1595">
        <v>92.78</v>
      </c>
      <c r="K1595">
        <f t="shared" si="219"/>
        <v>835.02</v>
      </c>
      <c r="L1595">
        <f t="shared" si="225"/>
        <v>835.02</v>
      </c>
      <c r="M1595">
        <f t="shared" si="217"/>
        <v>425.52359999999999</v>
      </c>
      <c r="N1595">
        <f t="shared" si="220"/>
        <v>106.3809</v>
      </c>
      <c r="O1595">
        <f t="shared" si="221"/>
        <v>425.52359999999999</v>
      </c>
      <c r="P1595">
        <f t="shared" si="222"/>
        <v>106.3809</v>
      </c>
      <c r="Q1595">
        <f t="shared" si="223"/>
        <v>108.55107036</v>
      </c>
      <c r="R1595">
        <f t="shared" si="224"/>
        <v>227.16540000000001</v>
      </c>
      <c r="S1595">
        <f t="shared" si="218"/>
        <v>835.02</v>
      </c>
    </row>
    <row r="1596" spans="1:19" x14ac:dyDescent="0.25">
      <c r="A1596">
        <v>1726</v>
      </c>
      <c r="B1596">
        <v>1378</v>
      </c>
      <c r="C1596" t="s">
        <v>35</v>
      </c>
      <c r="D1596" t="s">
        <v>172</v>
      </c>
      <c r="E1596">
        <v>12</v>
      </c>
      <c r="F1596">
        <v>19.22</v>
      </c>
      <c r="G1596">
        <v>10.7</v>
      </c>
      <c r="H1596">
        <v>33.130000000000003</v>
      </c>
      <c r="I1596">
        <v>0.93</v>
      </c>
      <c r="J1596">
        <v>342.58</v>
      </c>
      <c r="K1596">
        <f t="shared" si="219"/>
        <v>4110.96</v>
      </c>
      <c r="L1596">
        <f t="shared" si="225"/>
        <v>0</v>
      </c>
      <c r="M1596">
        <f t="shared" si="217"/>
        <v>0</v>
      </c>
      <c r="N1596">
        <f t="shared" si="220"/>
        <v>0</v>
      </c>
      <c r="O1596">
        <f t="shared" si="221"/>
        <v>2467.8479999999995</v>
      </c>
      <c r="P1596">
        <f t="shared" si="222"/>
        <v>616.96199999999988</v>
      </c>
      <c r="Q1596">
        <f t="shared" si="223"/>
        <v>629.54802479999989</v>
      </c>
      <c r="R1596">
        <f t="shared" si="224"/>
        <v>369.73080000000004</v>
      </c>
      <c r="S1596">
        <f t="shared" si="218"/>
        <v>4110.96</v>
      </c>
    </row>
    <row r="1597" spans="1:19" x14ac:dyDescent="0.25">
      <c r="A1597">
        <v>1727</v>
      </c>
      <c r="B1597">
        <v>1378</v>
      </c>
      <c r="C1597" t="s">
        <v>35</v>
      </c>
      <c r="D1597" t="s">
        <v>173</v>
      </c>
      <c r="E1597">
        <v>13</v>
      </c>
      <c r="F1597">
        <v>14.59</v>
      </c>
      <c r="G1597">
        <v>2.74</v>
      </c>
      <c r="H1597">
        <v>34.76</v>
      </c>
      <c r="I1597">
        <v>0.82</v>
      </c>
      <c r="J1597">
        <v>86.32</v>
      </c>
      <c r="K1597">
        <f t="shared" si="219"/>
        <v>1122.1599999999999</v>
      </c>
      <c r="L1597">
        <f t="shared" si="225"/>
        <v>1122.1599999999999</v>
      </c>
      <c r="M1597">
        <f t="shared" si="217"/>
        <v>519.69580000000008</v>
      </c>
      <c r="N1597">
        <f t="shared" si="220"/>
        <v>129.92395000000002</v>
      </c>
      <c r="O1597">
        <f t="shared" si="221"/>
        <v>519.69580000000008</v>
      </c>
      <c r="P1597">
        <f t="shared" si="222"/>
        <v>129.92395000000002</v>
      </c>
      <c r="Q1597">
        <f t="shared" si="223"/>
        <v>132.57439858000001</v>
      </c>
      <c r="R1597">
        <f t="shared" si="224"/>
        <v>370.54159999999996</v>
      </c>
      <c r="S1597">
        <f t="shared" si="218"/>
        <v>1122.1599999999999</v>
      </c>
    </row>
    <row r="1598" spans="1:19" x14ac:dyDescent="0.25">
      <c r="A1598">
        <v>1728</v>
      </c>
      <c r="B1598">
        <v>1379</v>
      </c>
      <c r="C1598" t="s">
        <v>32</v>
      </c>
      <c r="D1598" t="s">
        <v>172</v>
      </c>
      <c r="E1598">
        <v>16</v>
      </c>
      <c r="F1598">
        <v>17.420000000000002</v>
      </c>
      <c r="G1598">
        <v>12.37</v>
      </c>
      <c r="H1598">
        <v>33.770000000000003</v>
      </c>
      <c r="I1598">
        <v>0.94</v>
      </c>
      <c r="J1598">
        <v>358.31</v>
      </c>
      <c r="K1598">
        <f t="shared" si="219"/>
        <v>5732.96</v>
      </c>
      <c r="L1598">
        <f t="shared" si="225"/>
        <v>0</v>
      </c>
      <c r="M1598">
        <f t="shared" si="217"/>
        <v>0</v>
      </c>
      <c r="N1598">
        <f t="shared" si="220"/>
        <v>0</v>
      </c>
      <c r="O1598">
        <f t="shared" si="221"/>
        <v>3447.7664</v>
      </c>
      <c r="P1598">
        <f t="shared" si="222"/>
        <v>861.94159999999999</v>
      </c>
      <c r="Q1598">
        <f t="shared" si="223"/>
        <v>879.52520863999996</v>
      </c>
      <c r="R1598">
        <f t="shared" si="224"/>
        <v>507.9008</v>
      </c>
      <c r="S1598">
        <f t="shared" si="218"/>
        <v>5732.96</v>
      </c>
    </row>
    <row r="1599" spans="1:19" x14ac:dyDescent="0.25">
      <c r="A1599">
        <v>1729</v>
      </c>
      <c r="B1599">
        <v>1379</v>
      </c>
      <c r="C1599" t="s">
        <v>32</v>
      </c>
      <c r="D1599" t="s">
        <v>173</v>
      </c>
      <c r="E1599">
        <v>22</v>
      </c>
      <c r="F1599">
        <v>15.7</v>
      </c>
      <c r="G1599">
        <v>2.99</v>
      </c>
      <c r="H1599">
        <v>27.95</v>
      </c>
      <c r="I1599">
        <v>0.81</v>
      </c>
      <c r="J1599">
        <v>89.45</v>
      </c>
      <c r="K1599">
        <f t="shared" si="219"/>
        <v>1967.9</v>
      </c>
      <c r="L1599">
        <f t="shared" si="225"/>
        <v>1967.9</v>
      </c>
      <c r="M1599">
        <f t="shared" si="217"/>
        <v>1032.7459999999999</v>
      </c>
      <c r="N1599">
        <f t="shared" si="220"/>
        <v>258.18649999999997</v>
      </c>
      <c r="O1599">
        <f t="shared" si="221"/>
        <v>1032.7459999999999</v>
      </c>
      <c r="P1599">
        <f t="shared" si="222"/>
        <v>258.18649999999997</v>
      </c>
      <c r="Q1599">
        <f t="shared" si="223"/>
        <v>263.45350459999997</v>
      </c>
      <c r="R1599">
        <f t="shared" si="224"/>
        <v>498.06900000000002</v>
      </c>
      <c r="S1599">
        <f t="shared" si="218"/>
        <v>1967.9</v>
      </c>
    </row>
    <row r="1600" spans="1:19" x14ac:dyDescent="0.25">
      <c r="A1600">
        <v>1730</v>
      </c>
      <c r="B1600">
        <v>1379</v>
      </c>
      <c r="C1600" t="s">
        <v>32</v>
      </c>
      <c r="D1600" t="s">
        <v>173</v>
      </c>
      <c r="E1600">
        <v>15</v>
      </c>
      <c r="F1600">
        <v>15.36</v>
      </c>
      <c r="G1600">
        <v>2.99</v>
      </c>
      <c r="H1600">
        <v>25.91</v>
      </c>
      <c r="I1600">
        <v>0.79</v>
      </c>
      <c r="J1600">
        <v>85.66</v>
      </c>
      <c r="K1600">
        <f t="shared" si="219"/>
        <v>1284.8999999999999</v>
      </c>
      <c r="L1600">
        <f t="shared" si="225"/>
        <v>1284.8999999999999</v>
      </c>
      <c r="M1600">
        <f t="shared" si="217"/>
        <v>688.89599999999996</v>
      </c>
      <c r="N1600">
        <f t="shared" si="220"/>
        <v>172.22399999999999</v>
      </c>
      <c r="O1600">
        <f t="shared" si="221"/>
        <v>688.89599999999996</v>
      </c>
      <c r="P1600">
        <f t="shared" si="222"/>
        <v>172.22399999999999</v>
      </c>
      <c r="Q1600">
        <f t="shared" si="223"/>
        <v>175.73736959999999</v>
      </c>
      <c r="R1600">
        <f t="shared" si="224"/>
        <v>307.03350000000006</v>
      </c>
      <c r="S1600">
        <f t="shared" si="218"/>
        <v>1284.8999999999999</v>
      </c>
    </row>
    <row r="1601" spans="1:19" x14ac:dyDescent="0.25">
      <c r="A1601">
        <v>1731</v>
      </c>
      <c r="B1601">
        <v>1379</v>
      </c>
      <c r="C1601" t="s">
        <v>32</v>
      </c>
      <c r="D1601" t="s">
        <v>172</v>
      </c>
      <c r="E1601">
        <v>7</v>
      </c>
      <c r="F1601">
        <v>15.97</v>
      </c>
      <c r="G1601">
        <v>12.44</v>
      </c>
      <c r="H1601">
        <v>29.78</v>
      </c>
      <c r="I1601">
        <v>1.01</v>
      </c>
      <c r="J1601">
        <v>331.31</v>
      </c>
      <c r="K1601">
        <f t="shared" si="219"/>
        <v>2319.17</v>
      </c>
      <c r="L1601">
        <f t="shared" si="225"/>
        <v>0</v>
      </c>
      <c r="M1601">
        <f t="shared" si="217"/>
        <v>0</v>
      </c>
      <c r="N1601">
        <f t="shared" si="220"/>
        <v>0</v>
      </c>
      <c r="O1601">
        <f t="shared" si="221"/>
        <v>1390.6676</v>
      </c>
      <c r="P1601">
        <f t="shared" si="222"/>
        <v>347.6669</v>
      </c>
      <c r="Q1601">
        <f t="shared" si="223"/>
        <v>354.75930475999996</v>
      </c>
      <c r="R1601">
        <f t="shared" si="224"/>
        <v>210.5446</v>
      </c>
      <c r="S1601">
        <f t="shared" si="218"/>
        <v>2319.17</v>
      </c>
    </row>
    <row r="1602" spans="1:19" x14ac:dyDescent="0.25">
      <c r="A1602">
        <v>1732</v>
      </c>
      <c r="B1602">
        <v>1379</v>
      </c>
      <c r="C1602" t="s">
        <v>32</v>
      </c>
      <c r="D1602" t="s">
        <v>172</v>
      </c>
      <c r="E1602">
        <v>11</v>
      </c>
      <c r="F1602">
        <v>19.72</v>
      </c>
      <c r="G1602">
        <v>11.3</v>
      </c>
      <c r="H1602">
        <v>34.32</v>
      </c>
      <c r="I1602">
        <v>0.95</v>
      </c>
      <c r="J1602">
        <v>370.27</v>
      </c>
      <c r="K1602">
        <f t="shared" si="219"/>
        <v>4072.97</v>
      </c>
      <c r="L1602">
        <f t="shared" si="225"/>
        <v>0</v>
      </c>
      <c r="M1602">
        <f t="shared" ref="M1602:M1665" si="226">IF(D1602="SHOES",O1602,0)</f>
        <v>0</v>
      </c>
      <c r="N1602">
        <f t="shared" si="220"/>
        <v>0</v>
      </c>
      <c r="O1602">
        <f t="shared" si="221"/>
        <v>2451.1959999999999</v>
      </c>
      <c r="P1602">
        <f t="shared" si="222"/>
        <v>612.79899999999998</v>
      </c>
      <c r="Q1602">
        <f t="shared" si="223"/>
        <v>625.30009959999995</v>
      </c>
      <c r="R1602">
        <f t="shared" si="224"/>
        <v>358.64400000000001</v>
      </c>
      <c r="S1602">
        <f t="shared" ref="S1602:S1665" si="227">PRODUCT(J1602,E1602)</f>
        <v>4072.97</v>
      </c>
    </row>
    <row r="1603" spans="1:19" x14ac:dyDescent="0.25">
      <c r="A1603">
        <v>1733</v>
      </c>
      <c r="B1603">
        <v>1379</v>
      </c>
      <c r="C1603" t="s">
        <v>32</v>
      </c>
      <c r="D1603" t="s">
        <v>172</v>
      </c>
      <c r="E1603">
        <v>110</v>
      </c>
      <c r="F1603">
        <v>18.21</v>
      </c>
      <c r="G1603">
        <v>10.29</v>
      </c>
      <c r="H1603">
        <v>29.04</v>
      </c>
      <c r="I1603">
        <v>1.05</v>
      </c>
      <c r="J1603">
        <v>315.01</v>
      </c>
      <c r="K1603">
        <f t="shared" ref="K1603:K1666" si="228">E1603*J1603</f>
        <v>34651.1</v>
      </c>
      <c r="L1603">
        <f t="shared" si="225"/>
        <v>0</v>
      </c>
      <c r="M1603">
        <f t="shared" si="226"/>
        <v>0</v>
      </c>
      <c r="N1603">
        <f t="shared" ref="N1603:N1666" si="229">IF(D1603="SHOES",P1603,0)</f>
        <v>0</v>
      </c>
      <c r="O1603">
        <f t="shared" ref="O1603:O1666" si="230">PRODUCT(E1603,G1603,F1603)</f>
        <v>20611.898999999998</v>
      </c>
      <c r="P1603">
        <f t="shared" ref="P1603:P1666" si="231">PRODUCT(O1603,0.25)</f>
        <v>5152.9747499999994</v>
      </c>
      <c r="Q1603">
        <f t="shared" ref="Q1603:Q1666" si="232">PRODUCT(O1603,0.2551)</f>
        <v>5258.0954348999994</v>
      </c>
      <c r="R1603">
        <f t="shared" si="224"/>
        <v>3354.12</v>
      </c>
      <c r="S1603">
        <f t="shared" si="227"/>
        <v>34651.1</v>
      </c>
    </row>
    <row r="1604" spans="1:19" x14ac:dyDescent="0.25">
      <c r="A1604">
        <v>1734</v>
      </c>
      <c r="B1604">
        <v>1379</v>
      </c>
      <c r="C1604" t="s">
        <v>32</v>
      </c>
      <c r="D1604" t="s">
        <v>173</v>
      </c>
      <c r="E1604">
        <v>11</v>
      </c>
      <c r="F1604">
        <v>14.86</v>
      </c>
      <c r="G1604">
        <v>2.69</v>
      </c>
      <c r="H1604">
        <v>29.91</v>
      </c>
      <c r="I1604">
        <v>0.82</v>
      </c>
      <c r="J1604">
        <v>81.94</v>
      </c>
      <c r="K1604">
        <f t="shared" si="228"/>
        <v>901.33999999999992</v>
      </c>
      <c r="L1604">
        <f t="shared" si="225"/>
        <v>901.33999999999992</v>
      </c>
      <c r="M1604">
        <f t="shared" si="226"/>
        <v>439.70740000000001</v>
      </c>
      <c r="N1604">
        <f t="shared" si="229"/>
        <v>109.92685</v>
      </c>
      <c r="O1604">
        <f t="shared" si="230"/>
        <v>439.70740000000001</v>
      </c>
      <c r="P1604">
        <f t="shared" si="231"/>
        <v>109.92685</v>
      </c>
      <c r="Q1604">
        <f t="shared" si="232"/>
        <v>112.16935774</v>
      </c>
      <c r="R1604">
        <f t="shared" ref="R1604:R1667" si="233">PRODUCT(E1604,I1604,H1604)</f>
        <v>269.78819999999996</v>
      </c>
      <c r="S1604">
        <f t="shared" si="227"/>
        <v>901.33999999999992</v>
      </c>
    </row>
    <row r="1605" spans="1:19" x14ac:dyDescent="0.25">
      <c r="A1605">
        <v>1735</v>
      </c>
      <c r="B1605">
        <v>1379</v>
      </c>
      <c r="C1605" t="s">
        <v>32</v>
      </c>
      <c r="D1605" t="s">
        <v>173</v>
      </c>
      <c r="E1605">
        <v>13</v>
      </c>
      <c r="F1605">
        <v>14.34</v>
      </c>
      <c r="G1605">
        <v>2.75</v>
      </c>
      <c r="H1605">
        <v>28.91</v>
      </c>
      <c r="I1605">
        <v>0.81</v>
      </c>
      <c r="J1605">
        <v>79.98</v>
      </c>
      <c r="K1605">
        <f t="shared" si="228"/>
        <v>1039.74</v>
      </c>
      <c r="L1605">
        <f t="shared" si="225"/>
        <v>1039.74</v>
      </c>
      <c r="M1605">
        <f t="shared" si="226"/>
        <v>512.65499999999997</v>
      </c>
      <c r="N1605">
        <f t="shared" si="229"/>
        <v>128.16374999999999</v>
      </c>
      <c r="O1605">
        <f t="shared" si="230"/>
        <v>512.65499999999997</v>
      </c>
      <c r="P1605">
        <f t="shared" si="231"/>
        <v>128.16374999999999</v>
      </c>
      <c r="Q1605">
        <f t="shared" si="232"/>
        <v>130.7782905</v>
      </c>
      <c r="R1605">
        <f t="shared" si="233"/>
        <v>304.42230000000001</v>
      </c>
      <c r="S1605">
        <f t="shared" si="227"/>
        <v>1039.74</v>
      </c>
    </row>
    <row r="1606" spans="1:19" x14ac:dyDescent="0.25">
      <c r="A1606">
        <v>1736</v>
      </c>
      <c r="B1606">
        <v>1380</v>
      </c>
      <c r="C1606" t="s">
        <v>33</v>
      </c>
      <c r="D1606" t="s">
        <v>172</v>
      </c>
      <c r="E1606">
        <v>15</v>
      </c>
      <c r="F1606">
        <v>18.579999999999998</v>
      </c>
      <c r="G1606">
        <v>11.04</v>
      </c>
      <c r="H1606">
        <v>33.450000000000003</v>
      </c>
      <c r="I1606">
        <v>1.04</v>
      </c>
      <c r="J1606">
        <v>346.52</v>
      </c>
      <c r="K1606">
        <f t="shared" si="228"/>
        <v>5197.7999999999993</v>
      </c>
      <c r="L1606">
        <f t="shared" si="225"/>
        <v>0</v>
      </c>
      <c r="M1606">
        <f t="shared" si="226"/>
        <v>0</v>
      </c>
      <c r="N1606">
        <f t="shared" si="229"/>
        <v>0</v>
      </c>
      <c r="O1606">
        <f t="shared" si="230"/>
        <v>3076.8479999999995</v>
      </c>
      <c r="P1606">
        <f t="shared" si="231"/>
        <v>769.21199999999988</v>
      </c>
      <c r="Q1606">
        <f t="shared" si="232"/>
        <v>784.9039247999998</v>
      </c>
      <c r="R1606">
        <f t="shared" si="233"/>
        <v>521.82000000000005</v>
      </c>
      <c r="S1606">
        <f t="shared" si="227"/>
        <v>5197.7999999999993</v>
      </c>
    </row>
    <row r="1607" spans="1:19" x14ac:dyDescent="0.25">
      <c r="A1607">
        <v>1737</v>
      </c>
      <c r="B1607">
        <v>1380</v>
      </c>
      <c r="C1607" t="s">
        <v>33</v>
      </c>
      <c r="D1607" t="s">
        <v>172</v>
      </c>
      <c r="E1607">
        <v>11</v>
      </c>
      <c r="F1607">
        <v>18.68</v>
      </c>
      <c r="G1607">
        <v>9.56</v>
      </c>
      <c r="H1607">
        <v>33.880000000000003</v>
      </c>
      <c r="I1607">
        <v>0.96</v>
      </c>
      <c r="J1607">
        <v>304.33999999999997</v>
      </c>
      <c r="K1607">
        <f t="shared" si="228"/>
        <v>3347.74</v>
      </c>
      <c r="L1607">
        <f t="shared" ref="L1607:L1670" si="234">IF(D1607="SHOES",E1607*J1607,0)</f>
        <v>0</v>
      </c>
      <c r="M1607">
        <f t="shared" si="226"/>
        <v>0</v>
      </c>
      <c r="N1607">
        <f t="shared" si="229"/>
        <v>0</v>
      </c>
      <c r="O1607">
        <f t="shared" si="230"/>
        <v>1964.3888000000002</v>
      </c>
      <c r="P1607">
        <f t="shared" si="231"/>
        <v>491.09720000000004</v>
      </c>
      <c r="Q1607">
        <f t="shared" si="232"/>
        <v>501.11558288000003</v>
      </c>
      <c r="R1607">
        <f t="shared" si="233"/>
        <v>357.77279999999996</v>
      </c>
      <c r="S1607">
        <f t="shared" si="227"/>
        <v>3347.74</v>
      </c>
    </row>
    <row r="1608" spans="1:19" x14ac:dyDescent="0.25">
      <c r="A1608">
        <v>1738</v>
      </c>
      <c r="B1608">
        <v>1380</v>
      </c>
      <c r="C1608" t="s">
        <v>33</v>
      </c>
      <c r="D1608" t="s">
        <v>172</v>
      </c>
      <c r="E1608">
        <v>13</v>
      </c>
      <c r="F1608">
        <v>17.75</v>
      </c>
      <c r="G1608">
        <v>11.69</v>
      </c>
      <c r="H1608">
        <v>28.45</v>
      </c>
      <c r="I1608">
        <v>1.03</v>
      </c>
      <c r="J1608">
        <v>343.52</v>
      </c>
      <c r="K1608">
        <f t="shared" si="228"/>
        <v>4465.76</v>
      </c>
      <c r="L1608">
        <f t="shared" si="234"/>
        <v>0</v>
      </c>
      <c r="M1608">
        <f t="shared" si="226"/>
        <v>0</v>
      </c>
      <c r="N1608">
        <f t="shared" si="229"/>
        <v>0</v>
      </c>
      <c r="O1608">
        <f t="shared" si="230"/>
        <v>2697.4675000000002</v>
      </c>
      <c r="P1608">
        <f t="shared" si="231"/>
        <v>674.36687500000005</v>
      </c>
      <c r="Q1608">
        <f t="shared" si="232"/>
        <v>688.12395924999998</v>
      </c>
      <c r="R1608">
        <f t="shared" si="233"/>
        <v>380.94549999999998</v>
      </c>
      <c r="S1608">
        <f t="shared" si="227"/>
        <v>4465.76</v>
      </c>
    </row>
    <row r="1609" spans="1:19" x14ac:dyDescent="0.25">
      <c r="A1609">
        <v>1739</v>
      </c>
      <c r="B1609">
        <v>1380</v>
      </c>
      <c r="C1609" t="s">
        <v>33</v>
      </c>
      <c r="D1609" t="s">
        <v>173</v>
      </c>
      <c r="E1609">
        <v>12</v>
      </c>
      <c r="F1609">
        <v>14.92</v>
      </c>
      <c r="G1609">
        <v>2.58</v>
      </c>
      <c r="H1609">
        <v>30.2</v>
      </c>
      <c r="I1609">
        <v>0.82</v>
      </c>
      <c r="J1609">
        <v>80.17</v>
      </c>
      <c r="K1609">
        <f t="shared" si="228"/>
        <v>962.04</v>
      </c>
      <c r="L1609">
        <f t="shared" si="234"/>
        <v>962.04</v>
      </c>
      <c r="M1609">
        <f t="shared" si="226"/>
        <v>461.92320000000001</v>
      </c>
      <c r="N1609">
        <f t="shared" si="229"/>
        <v>115.4808</v>
      </c>
      <c r="O1609">
        <f t="shared" si="230"/>
        <v>461.92320000000001</v>
      </c>
      <c r="P1609">
        <f t="shared" si="231"/>
        <v>115.4808</v>
      </c>
      <c r="Q1609">
        <f t="shared" si="232"/>
        <v>117.83660832</v>
      </c>
      <c r="R1609">
        <f t="shared" si="233"/>
        <v>297.16800000000001</v>
      </c>
      <c r="S1609">
        <f t="shared" si="227"/>
        <v>962.04</v>
      </c>
    </row>
    <row r="1610" spans="1:19" x14ac:dyDescent="0.25">
      <c r="A1610">
        <v>1740</v>
      </c>
      <c r="B1610">
        <v>1380</v>
      </c>
      <c r="C1610" t="s">
        <v>33</v>
      </c>
      <c r="D1610" t="s">
        <v>173</v>
      </c>
      <c r="E1610">
        <v>18</v>
      </c>
      <c r="F1610">
        <v>13.88</v>
      </c>
      <c r="G1610">
        <v>3.06</v>
      </c>
      <c r="H1610">
        <v>30.46</v>
      </c>
      <c r="I1610">
        <v>0.82</v>
      </c>
      <c r="J1610">
        <v>85.88</v>
      </c>
      <c r="K1610">
        <f t="shared" si="228"/>
        <v>1545.84</v>
      </c>
      <c r="L1610">
        <f t="shared" si="234"/>
        <v>1545.84</v>
      </c>
      <c r="M1610">
        <f t="shared" si="226"/>
        <v>764.5104</v>
      </c>
      <c r="N1610">
        <f t="shared" si="229"/>
        <v>191.1276</v>
      </c>
      <c r="O1610">
        <f t="shared" si="230"/>
        <v>764.5104</v>
      </c>
      <c r="P1610">
        <f t="shared" si="231"/>
        <v>191.1276</v>
      </c>
      <c r="Q1610">
        <f t="shared" si="232"/>
        <v>195.02660304</v>
      </c>
      <c r="R1610">
        <f t="shared" si="233"/>
        <v>449.58960000000002</v>
      </c>
      <c r="S1610">
        <f t="shared" si="227"/>
        <v>1545.84</v>
      </c>
    </row>
    <row r="1611" spans="1:19" x14ac:dyDescent="0.25">
      <c r="A1611">
        <v>1741</v>
      </c>
      <c r="B1611">
        <v>1380</v>
      </c>
      <c r="C1611" t="s">
        <v>33</v>
      </c>
      <c r="D1611" t="s">
        <v>172</v>
      </c>
      <c r="E1611">
        <v>7</v>
      </c>
      <c r="F1611">
        <v>18.13</v>
      </c>
      <c r="G1611">
        <v>11</v>
      </c>
      <c r="H1611">
        <v>34.869999999999997</v>
      </c>
      <c r="I1611">
        <v>1.1599999999999999</v>
      </c>
      <c r="J1611">
        <v>344.79</v>
      </c>
      <c r="K1611">
        <f t="shared" si="228"/>
        <v>2413.5300000000002</v>
      </c>
      <c r="L1611">
        <f t="shared" si="234"/>
        <v>0</v>
      </c>
      <c r="M1611">
        <f t="shared" si="226"/>
        <v>0</v>
      </c>
      <c r="N1611">
        <f t="shared" si="229"/>
        <v>0</v>
      </c>
      <c r="O1611">
        <f t="shared" si="230"/>
        <v>1396.01</v>
      </c>
      <c r="P1611">
        <f t="shared" si="231"/>
        <v>349.0025</v>
      </c>
      <c r="Q1611">
        <f t="shared" si="232"/>
        <v>356.12215099999997</v>
      </c>
      <c r="R1611">
        <f t="shared" si="233"/>
        <v>283.14439999999996</v>
      </c>
      <c r="S1611">
        <f t="shared" si="227"/>
        <v>2413.5300000000002</v>
      </c>
    </row>
    <row r="1612" spans="1:19" x14ac:dyDescent="0.25">
      <c r="A1612">
        <v>1742</v>
      </c>
      <c r="B1612">
        <v>1380</v>
      </c>
      <c r="C1612" t="s">
        <v>33</v>
      </c>
      <c r="D1612" t="s">
        <v>173</v>
      </c>
      <c r="E1612">
        <v>15</v>
      </c>
      <c r="F1612">
        <v>13.06</v>
      </c>
      <c r="G1612">
        <v>2.74</v>
      </c>
      <c r="H1612">
        <v>27.79</v>
      </c>
      <c r="I1612">
        <v>0.79</v>
      </c>
      <c r="J1612">
        <v>73.349999999999994</v>
      </c>
      <c r="K1612">
        <f t="shared" si="228"/>
        <v>1100.25</v>
      </c>
      <c r="L1612">
        <f t="shared" si="234"/>
        <v>1100.25</v>
      </c>
      <c r="M1612">
        <f t="shared" si="226"/>
        <v>536.76600000000008</v>
      </c>
      <c r="N1612">
        <f t="shared" si="229"/>
        <v>134.19150000000002</v>
      </c>
      <c r="O1612">
        <f t="shared" si="230"/>
        <v>536.76600000000008</v>
      </c>
      <c r="P1612">
        <f t="shared" si="231"/>
        <v>134.19150000000002</v>
      </c>
      <c r="Q1612">
        <f t="shared" si="232"/>
        <v>136.92900660000001</v>
      </c>
      <c r="R1612">
        <f t="shared" si="233"/>
        <v>329.31150000000002</v>
      </c>
      <c r="S1612">
        <f t="shared" si="227"/>
        <v>1100.25</v>
      </c>
    </row>
    <row r="1613" spans="1:19" x14ac:dyDescent="0.25">
      <c r="A1613">
        <v>1743</v>
      </c>
      <c r="B1613">
        <v>1380</v>
      </c>
      <c r="C1613" t="s">
        <v>33</v>
      </c>
      <c r="D1613" t="s">
        <v>172</v>
      </c>
      <c r="E1613">
        <v>14</v>
      </c>
      <c r="F1613">
        <v>20.61</v>
      </c>
      <c r="G1613">
        <v>11.28</v>
      </c>
      <c r="H1613">
        <v>29.65</v>
      </c>
      <c r="I1613">
        <v>0.95</v>
      </c>
      <c r="J1613">
        <v>312.70999999999998</v>
      </c>
      <c r="K1613">
        <f t="shared" si="228"/>
        <v>4377.9399999999996</v>
      </c>
      <c r="L1613">
        <f t="shared" si="234"/>
        <v>0</v>
      </c>
      <c r="M1613">
        <f t="shared" si="226"/>
        <v>0</v>
      </c>
      <c r="N1613">
        <f t="shared" si="229"/>
        <v>0</v>
      </c>
      <c r="O1613">
        <f t="shared" si="230"/>
        <v>3254.7311999999997</v>
      </c>
      <c r="P1613">
        <f t="shared" si="231"/>
        <v>813.68279999999993</v>
      </c>
      <c r="Q1613">
        <f t="shared" si="232"/>
        <v>830.28192911999986</v>
      </c>
      <c r="R1613">
        <f t="shared" si="233"/>
        <v>394.34499999999997</v>
      </c>
      <c r="S1613">
        <f t="shared" si="227"/>
        <v>4377.9399999999996</v>
      </c>
    </row>
    <row r="1614" spans="1:19" x14ac:dyDescent="0.25">
      <c r="A1614">
        <v>1744</v>
      </c>
      <c r="B1614">
        <v>1380</v>
      </c>
      <c r="C1614" t="s">
        <v>33</v>
      </c>
      <c r="D1614" t="s">
        <v>172</v>
      </c>
      <c r="E1614">
        <v>26</v>
      </c>
      <c r="F1614">
        <v>19.43</v>
      </c>
      <c r="G1614">
        <v>10.32</v>
      </c>
      <c r="H1614">
        <v>34.89</v>
      </c>
      <c r="I1614">
        <v>0.9</v>
      </c>
      <c r="J1614">
        <v>335.64</v>
      </c>
      <c r="K1614">
        <f t="shared" si="228"/>
        <v>8726.64</v>
      </c>
      <c r="L1614">
        <f t="shared" si="234"/>
        <v>0</v>
      </c>
      <c r="M1614">
        <f t="shared" si="226"/>
        <v>0</v>
      </c>
      <c r="N1614">
        <f t="shared" si="229"/>
        <v>0</v>
      </c>
      <c r="O1614">
        <f t="shared" si="230"/>
        <v>5213.4575999999997</v>
      </c>
      <c r="P1614">
        <f t="shared" si="231"/>
        <v>1303.3643999999999</v>
      </c>
      <c r="Q1614">
        <f t="shared" si="232"/>
        <v>1329.9530337599999</v>
      </c>
      <c r="R1614">
        <f t="shared" si="233"/>
        <v>816.42600000000004</v>
      </c>
      <c r="S1614">
        <f t="shared" si="227"/>
        <v>8726.64</v>
      </c>
    </row>
    <row r="1615" spans="1:19" x14ac:dyDescent="0.25">
      <c r="A1615">
        <v>1745</v>
      </c>
      <c r="B1615">
        <v>1381</v>
      </c>
      <c r="C1615" t="s">
        <v>32</v>
      </c>
      <c r="D1615" t="s">
        <v>173</v>
      </c>
      <c r="E1615">
        <v>13</v>
      </c>
      <c r="F1615">
        <v>14.77</v>
      </c>
      <c r="G1615">
        <v>2.89</v>
      </c>
      <c r="H1615">
        <v>27.01</v>
      </c>
      <c r="I1615">
        <v>0.84</v>
      </c>
      <c r="J1615">
        <v>75.28</v>
      </c>
      <c r="K1615">
        <f t="shared" si="228"/>
        <v>978.64</v>
      </c>
      <c r="L1615">
        <f t="shared" si="234"/>
        <v>978.64</v>
      </c>
      <c r="M1615">
        <f t="shared" si="226"/>
        <v>554.90890000000002</v>
      </c>
      <c r="N1615">
        <f t="shared" si="229"/>
        <v>138.727225</v>
      </c>
      <c r="O1615">
        <f t="shared" si="230"/>
        <v>554.90890000000002</v>
      </c>
      <c r="P1615">
        <f t="shared" si="231"/>
        <v>138.727225</v>
      </c>
      <c r="Q1615">
        <f t="shared" si="232"/>
        <v>141.55726039000001</v>
      </c>
      <c r="R1615">
        <f t="shared" si="233"/>
        <v>294.94920000000002</v>
      </c>
      <c r="S1615">
        <f t="shared" si="227"/>
        <v>978.64</v>
      </c>
    </row>
    <row r="1616" spans="1:19" x14ac:dyDescent="0.25">
      <c r="A1616">
        <v>1746</v>
      </c>
      <c r="B1616">
        <v>1381</v>
      </c>
      <c r="C1616" t="s">
        <v>32</v>
      </c>
      <c r="D1616" t="s">
        <v>173</v>
      </c>
      <c r="E1616">
        <v>9</v>
      </c>
      <c r="F1616">
        <v>14.93</v>
      </c>
      <c r="G1616">
        <v>2.92</v>
      </c>
      <c r="H1616">
        <v>28.34</v>
      </c>
      <c r="I1616">
        <v>0.82</v>
      </c>
      <c r="J1616">
        <v>85.51</v>
      </c>
      <c r="K1616">
        <f t="shared" si="228"/>
        <v>769.59</v>
      </c>
      <c r="L1616">
        <f t="shared" si="234"/>
        <v>769.59</v>
      </c>
      <c r="M1616">
        <f t="shared" si="226"/>
        <v>392.36040000000003</v>
      </c>
      <c r="N1616">
        <f t="shared" si="229"/>
        <v>98.090100000000007</v>
      </c>
      <c r="O1616">
        <f t="shared" si="230"/>
        <v>392.36040000000003</v>
      </c>
      <c r="P1616">
        <f t="shared" si="231"/>
        <v>98.090100000000007</v>
      </c>
      <c r="Q1616">
        <f t="shared" si="232"/>
        <v>100.09113804</v>
      </c>
      <c r="R1616">
        <f t="shared" si="233"/>
        <v>209.14920000000001</v>
      </c>
      <c r="S1616">
        <f t="shared" si="227"/>
        <v>769.59</v>
      </c>
    </row>
    <row r="1617" spans="1:19" x14ac:dyDescent="0.25">
      <c r="A1617">
        <v>1747</v>
      </c>
      <c r="B1617">
        <v>1381</v>
      </c>
      <c r="C1617" t="s">
        <v>32</v>
      </c>
      <c r="D1617" t="s">
        <v>173</v>
      </c>
      <c r="E1617">
        <v>12</v>
      </c>
      <c r="F1617">
        <v>16.2</v>
      </c>
      <c r="G1617">
        <v>2.6</v>
      </c>
      <c r="H1617">
        <v>29.31</v>
      </c>
      <c r="I1617">
        <v>0.81</v>
      </c>
      <c r="J1617">
        <v>84.03</v>
      </c>
      <c r="K1617">
        <f t="shared" si="228"/>
        <v>1008.36</v>
      </c>
      <c r="L1617">
        <f t="shared" si="234"/>
        <v>1008.36</v>
      </c>
      <c r="M1617">
        <f t="shared" si="226"/>
        <v>505.44</v>
      </c>
      <c r="N1617">
        <f t="shared" si="229"/>
        <v>126.36</v>
      </c>
      <c r="O1617">
        <f t="shared" si="230"/>
        <v>505.44</v>
      </c>
      <c r="P1617">
        <f t="shared" si="231"/>
        <v>126.36</v>
      </c>
      <c r="Q1617">
        <f t="shared" si="232"/>
        <v>128.93774400000001</v>
      </c>
      <c r="R1617">
        <f t="shared" si="233"/>
        <v>284.89319999999998</v>
      </c>
      <c r="S1617">
        <f t="shared" si="227"/>
        <v>1008.36</v>
      </c>
    </row>
    <row r="1618" spans="1:19" x14ac:dyDescent="0.25">
      <c r="A1618">
        <v>1748</v>
      </c>
      <c r="B1618">
        <v>1381</v>
      </c>
      <c r="C1618" t="s">
        <v>32</v>
      </c>
      <c r="D1618" t="s">
        <v>172</v>
      </c>
      <c r="E1618">
        <v>12</v>
      </c>
      <c r="F1618">
        <v>18.899999999999999</v>
      </c>
      <c r="G1618">
        <v>11.85</v>
      </c>
      <c r="H1618">
        <v>29.52</v>
      </c>
      <c r="I1618">
        <v>1.03</v>
      </c>
      <c r="J1618">
        <v>369.33</v>
      </c>
      <c r="K1618">
        <f t="shared" si="228"/>
        <v>4431.96</v>
      </c>
      <c r="L1618">
        <f t="shared" si="234"/>
        <v>0</v>
      </c>
      <c r="M1618">
        <f t="shared" si="226"/>
        <v>0</v>
      </c>
      <c r="N1618">
        <f t="shared" si="229"/>
        <v>0</v>
      </c>
      <c r="O1618">
        <f t="shared" si="230"/>
        <v>2687.5799999999995</v>
      </c>
      <c r="P1618">
        <f t="shared" si="231"/>
        <v>671.89499999999987</v>
      </c>
      <c r="Q1618">
        <f t="shared" si="232"/>
        <v>685.60165799999982</v>
      </c>
      <c r="R1618">
        <f t="shared" si="233"/>
        <v>364.86719999999997</v>
      </c>
      <c r="S1618">
        <f t="shared" si="227"/>
        <v>4431.96</v>
      </c>
    </row>
    <row r="1619" spans="1:19" x14ac:dyDescent="0.25">
      <c r="A1619">
        <v>1749</v>
      </c>
      <c r="B1619">
        <v>1381</v>
      </c>
      <c r="C1619" t="s">
        <v>32</v>
      </c>
      <c r="D1619" t="s">
        <v>173</v>
      </c>
      <c r="E1619">
        <v>19</v>
      </c>
      <c r="F1619">
        <v>15.85</v>
      </c>
      <c r="G1619">
        <v>2.94</v>
      </c>
      <c r="H1619">
        <v>37.56</v>
      </c>
      <c r="I1619">
        <v>0.82</v>
      </c>
      <c r="J1619">
        <v>97.95</v>
      </c>
      <c r="K1619">
        <f t="shared" si="228"/>
        <v>1861.05</v>
      </c>
      <c r="L1619">
        <f t="shared" si="234"/>
        <v>1861.05</v>
      </c>
      <c r="M1619">
        <f t="shared" si="226"/>
        <v>885.38099999999997</v>
      </c>
      <c r="N1619">
        <f t="shared" si="229"/>
        <v>221.34524999999999</v>
      </c>
      <c r="O1619">
        <f t="shared" si="230"/>
        <v>885.38099999999997</v>
      </c>
      <c r="P1619">
        <f t="shared" si="231"/>
        <v>221.34524999999999</v>
      </c>
      <c r="Q1619">
        <f t="shared" si="232"/>
        <v>225.86069309999999</v>
      </c>
      <c r="R1619">
        <f t="shared" si="233"/>
        <v>585.1848</v>
      </c>
      <c r="S1619">
        <f t="shared" si="227"/>
        <v>1861.05</v>
      </c>
    </row>
    <row r="1620" spans="1:19" x14ac:dyDescent="0.25">
      <c r="A1620">
        <v>1750</v>
      </c>
      <c r="B1620">
        <v>1381</v>
      </c>
      <c r="C1620" t="s">
        <v>32</v>
      </c>
      <c r="D1620" t="s">
        <v>172</v>
      </c>
      <c r="E1620">
        <v>8</v>
      </c>
      <c r="F1620">
        <v>19.57</v>
      </c>
      <c r="G1620">
        <v>10.33</v>
      </c>
      <c r="H1620">
        <v>34.24</v>
      </c>
      <c r="I1620">
        <v>0.94</v>
      </c>
      <c r="J1620">
        <v>339.01</v>
      </c>
      <c r="K1620">
        <f t="shared" si="228"/>
        <v>2712.08</v>
      </c>
      <c r="L1620">
        <f t="shared" si="234"/>
        <v>0</v>
      </c>
      <c r="M1620">
        <f t="shared" si="226"/>
        <v>0</v>
      </c>
      <c r="N1620">
        <f t="shared" si="229"/>
        <v>0</v>
      </c>
      <c r="O1620">
        <f t="shared" si="230"/>
        <v>1617.2647999999999</v>
      </c>
      <c r="P1620">
        <f t="shared" si="231"/>
        <v>404.31619999999998</v>
      </c>
      <c r="Q1620">
        <f t="shared" si="232"/>
        <v>412.56425047999994</v>
      </c>
      <c r="R1620">
        <f t="shared" si="233"/>
        <v>257.48480000000001</v>
      </c>
      <c r="S1620">
        <f t="shared" si="227"/>
        <v>2712.08</v>
      </c>
    </row>
    <row r="1621" spans="1:19" x14ac:dyDescent="0.25">
      <c r="A1621">
        <v>1751</v>
      </c>
      <c r="B1621">
        <v>1381</v>
      </c>
      <c r="C1621" t="s">
        <v>32</v>
      </c>
      <c r="D1621" t="s">
        <v>172</v>
      </c>
      <c r="E1621">
        <v>21</v>
      </c>
      <c r="F1621">
        <v>19.7</v>
      </c>
      <c r="G1621">
        <v>12.41</v>
      </c>
      <c r="H1621">
        <v>31.55</v>
      </c>
      <c r="I1621">
        <v>1.08</v>
      </c>
      <c r="J1621">
        <v>404.21</v>
      </c>
      <c r="K1621">
        <f t="shared" si="228"/>
        <v>8488.41</v>
      </c>
      <c r="L1621">
        <f t="shared" si="234"/>
        <v>0</v>
      </c>
      <c r="M1621">
        <f t="shared" si="226"/>
        <v>0</v>
      </c>
      <c r="N1621">
        <f t="shared" si="229"/>
        <v>0</v>
      </c>
      <c r="O1621">
        <f t="shared" si="230"/>
        <v>5134.0169999999998</v>
      </c>
      <c r="P1621">
        <f t="shared" si="231"/>
        <v>1283.50425</v>
      </c>
      <c r="Q1621">
        <f t="shared" si="232"/>
        <v>1309.6877367</v>
      </c>
      <c r="R1621">
        <f t="shared" si="233"/>
        <v>715.55399999999997</v>
      </c>
      <c r="S1621">
        <f t="shared" si="227"/>
        <v>8488.41</v>
      </c>
    </row>
    <row r="1622" spans="1:19" x14ac:dyDescent="0.25">
      <c r="A1622">
        <v>1752</v>
      </c>
      <c r="B1622">
        <v>1382</v>
      </c>
      <c r="C1622" t="s">
        <v>33</v>
      </c>
      <c r="D1622" t="s">
        <v>173</v>
      </c>
      <c r="E1622">
        <v>15</v>
      </c>
      <c r="F1622">
        <v>13.87</v>
      </c>
      <c r="G1622">
        <v>3.1</v>
      </c>
      <c r="H1622">
        <v>32.92</v>
      </c>
      <c r="I1622">
        <v>0.8</v>
      </c>
      <c r="J1622">
        <v>88.09</v>
      </c>
      <c r="K1622">
        <f t="shared" si="228"/>
        <v>1321.3500000000001</v>
      </c>
      <c r="L1622">
        <f t="shared" si="234"/>
        <v>1321.3500000000001</v>
      </c>
      <c r="M1622">
        <f t="shared" si="226"/>
        <v>644.95499999999993</v>
      </c>
      <c r="N1622">
        <f t="shared" si="229"/>
        <v>161.23874999999998</v>
      </c>
      <c r="O1622">
        <f t="shared" si="230"/>
        <v>644.95499999999993</v>
      </c>
      <c r="P1622">
        <f t="shared" si="231"/>
        <v>161.23874999999998</v>
      </c>
      <c r="Q1622">
        <f t="shared" si="232"/>
        <v>164.52802049999997</v>
      </c>
      <c r="R1622">
        <f t="shared" si="233"/>
        <v>395.04</v>
      </c>
      <c r="S1622">
        <f t="shared" si="227"/>
        <v>1321.3500000000001</v>
      </c>
    </row>
    <row r="1623" spans="1:19" x14ac:dyDescent="0.25">
      <c r="A1623">
        <v>1753</v>
      </c>
      <c r="B1623">
        <v>1382</v>
      </c>
      <c r="C1623" t="s">
        <v>33</v>
      </c>
      <c r="D1623" t="s">
        <v>173</v>
      </c>
      <c r="E1623">
        <v>13</v>
      </c>
      <c r="F1623">
        <v>15.33</v>
      </c>
      <c r="G1623">
        <v>2.88</v>
      </c>
      <c r="H1623">
        <v>29.24</v>
      </c>
      <c r="I1623">
        <v>0.82</v>
      </c>
      <c r="J1623">
        <v>87.08</v>
      </c>
      <c r="K1623">
        <f t="shared" si="228"/>
        <v>1132.04</v>
      </c>
      <c r="L1623">
        <f t="shared" si="234"/>
        <v>1132.04</v>
      </c>
      <c r="M1623">
        <f t="shared" si="226"/>
        <v>573.95519999999999</v>
      </c>
      <c r="N1623">
        <f t="shared" si="229"/>
        <v>143.4888</v>
      </c>
      <c r="O1623">
        <f t="shared" si="230"/>
        <v>573.95519999999999</v>
      </c>
      <c r="P1623">
        <f t="shared" si="231"/>
        <v>143.4888</v>
      </c>
      <c r="Q1623">
        <f t="shared" si="232"/>
        <v>146.41597152</v>
      </c>
      <c r="R1623">
        <f t="shared" si="233"/>
        <v>311.69839999999999</v>
      </c>
      <c r="S1623">
        <f t="shared" si="227"/>
        <v>1132.04</v>
      </c>
    </row>
    <row r="1624" spans="1:19" x14ac:dyDescent="0.25">
      <c r="A1624">
        <v>1754</v>
      </c>
      <c r="B1624">
        <v>1382</v>
      </c>
      <c r="C1624" t="s">
        <v>33</v>
      </c>
      <c r="D1624" t="s">
        <v>172</v>
      </c>
      <c r="E1624">
        <v>12</v>
      </c>
      <c r="F1624">
        <v>18.420000000000002</v>
      </c>
      <c r="G1624">
        <v>11.56</v>
      </c>
      <c r="H1624">
        <v>32.159999999999997</v>
      </c>
      <c r="I1624">
        <v>1</v>
      </c>
      <c r="J1624">
        <v>355.01</v>
      </c>
      <c r="K1624">
        <f t="shared" si="228"/>
        <v>4260.12</v>
      </c>
      <c r="L1624">
        <f t="shared" si="234"/>
        <v>0</v>
      </c>
      <c r="M1624">
        <f t="shared" si="226"/>
        <v>0</v>
      </c>
      <c r="N1624">
        <f t="shared" si="229"/>
        <v>0</v>
      </c>
      <c r="O1624">
        <f t="shared" si="230"/>
        <v>2555.2224000000001</v>
      </c>
      <c r="P1624">
        <f t="shared" si="231"/>
        <v>638.80560000000003</v>
      </c>
      <c r="Q1624">
        <f t="shared" si="232"/>
        <v>651.83723424000004</v>
      </c>
      <c r="R1624">
        <f t="shared" si="233"/>
        <v>385.91999999999996</v>
      </c>
      <c r="S1624">
        <f t="shared" si="227"/>
        <v>4260.12</v>
      </c>
    </row>
    <row r="1625" spans="1:19" x14ac:dyDescent="0.25">
      <c r="A1625">
        <v>1755</v>
      </c>
      <c r="B1625">
        <v>1382</v>
      </c>
      <c r="C1625" t="s">
        <v>33</v>
      </c>
      <c r="D1625" t="s">
        <v>173</v>
      </c>
      <c r="E1625">
        <v>15</v>
      </c>
      <c r="F1625">
        <v>16.02</v>
      </c>
      <c r="G1625">
        <v>3.29</v>
      </c>
      <c r="H1625">
        <v>36.729999999999997</v>
      </c>
      <c r="I1625">
        <v>0.82</v>
      </c>
      <c r="J1625">
        <v>105.6</v>
      </c>
      <c r="K1625">
        <f t="shared" si="228"/>
        <v>1584</v>
      </c>
      <c r="L1625">
        <f t="shared" si="234"/>
        <v>1584</v>
      </c>
      <c r="M1625">
        <f t="shared" si="226"/>
        <v>790.58699999999999</v>
      </c>
      <c r="N1625">
        <f t="shared" si="229"/>
        <v>197.64675</v>
      </c>
      <c r="O1625">
        <f t="shared" si="230"/>
        <v>790.58699999999999</v>
      </c>
      <c r="P1625">
        <f t="shared" si="231"/>
        <v>197.64675</v>
      </c>
      <c r="Q1625">
        <f t="shared" si="232"/>
        <v>201.67874369999998</v>
      </c>
      <c r="R1625">
        <f t="shared" si="233"/>
        <v>451.77899999999994</v>
      </c>
      <c r="S1625">
        <f t="shared" si="227"/>
        <v>1584</v>
      </c>
    </row>
    <row r="1626" spans="1:19" x14ac:dyDescent="0.25">
      <c r="A1626">
        <v>1756</v>
      </c>
      <c r="B1626">
        <v>1382</v>
      </c>
      <c r="C1626" t="s">
        <v>33</v>
      </c>
      <c r="D1626" t="s">
        <v>173</v>
      </c>
      <c r="E1626">
        <v>25</v>
      </c>
      <c r="F1626">
        <v>16.3</v>
      </c>
      <c r="G1626">
        <v>2.78</v>
      </c>
      <c r="H1626">
        <v>28.84</v>
      </c>
      <c r="I1626">
        <v>0.85</v>
      </c>
      <c r="J1626">
        <v>89.27</v>
      </c>
      <c r="K1626">
        <f t="shared" si="228"/>
        <v>2231.75</v>
      </c>
      <c r="L1626">
        <f t="shared" si="234"/>
        <v>2231.75</v>
      </c>
      <c r="M1626">
        <f t="shared" si="226"/>
        <v>1132.8500000000001</v>
      </c>
      <c r="N1626">
        <f t="shared" si="229"/>
        <v>283.21250000000003</v>
      </c>
      <c r="O1626">
        <f t="shared" si="230"/>
        <v>1132.8500000000001</v>
      </c>
      <c r="P1626">
        <f t="shared" si="231"/>
        <v>283.21250000000003</v>
      </c>
      <c r="Q1626">
        <f t="shared" si="232"/>
        <v>288.99003500000003</v>
      </c>
      <c r="R1626">
        <f t="shared" si="233"/>
        <v>612.85</v>
      </c>
      <c r="S1626">
        <f t="shared" si="227"/>
        <v>2231.75</v>
      </c>
    </row>
    <row r="1627" spans="1:19" x14ac:dyDescent="0.25">
      <c r="A1627">
        <v>1757</v>
      </c>
      <c r="B1627">
        <v>1382</v>
      </c>
      <c r="C1627" t="s">
        <v>33</v>
      </c>
      <c r="D1627" t="s">
        <v>172</v>
      </c>
      <c r="E1627">
        <v>27</v>
      </c>
      <c r="F1627">
        <v>19.649999999999999</v>
      </c>
      <c r="G1627">
        <v>10.72</v>
      </c>
      <c r="H1627">
        <v>28.77</v>
      </c>
      <c r="I1627">
        <v>1.06</v>
      </c>
      <c r="J1627">
        <v>349.63</v>
      </c>
      <c r="K1627">
        <f t="shared" si="228"/>
        <v>9440.01</v>
      </c>
      <c r="L1627">
        <f t="shared" si="234"/>
        <v>0</v>
      </c>
      <c r="M1627">
        <f t="shared" si="226"/>
        <v>0</v>
      </c>
      <c r="N1627">
        <f t="shared" si="229"/>
        <v>0</v>
      </c>
      <c r="O1627">
        <f t="shared" si="230"/>
        <v>5687.4959999999992</v>
      </c>
      <c r="P1627">
        <f t="shared" si="231"/>
        <v>1421.8739999999998</v>
      </c>
      <c r="Q1627">
        <f t="shared" si="232"/>
        <v>1450.8802295999997</v>
      </c>
      <c r="R1627">
        <f t="shared" si="233"/>
        <v>823.39740000000006</v>
      </c>
      <c r="S1627">
        <f t="shared" si="227"/>
        <v>9440.01</v>
      </c>
    </row>
    <row r="1628" spans="1:19" x14ac:dyDescent="0.25">
      <c r="A1628">
        <v>1758</v>
      </c>
      <c r="B1628">
        <v>1382</v>
      </c>
      <c r="C1628" t="s">
        <v>33</v>
      </c>
      <c r="D1628" t="s">
        <v>172</v>
      </c>
      <c r="E1628">
        <v>13</v>
      </c>
      <c r="F1628">
        <v>20.27</v>
      </c>
      <c r="G1628">
        <v>12.18</v>
      </c>
      <c r="H1628">
        <v>26.37</v>
      </c>
      <c r="I1628">
        <v>0.99</v>
      </c>
      <c r="J1628">
        <v>398.31</v>
      </c>
      <c r="K1628">
        <f t="shared" si="228"/>
        <v>5178.03</v>
      </c>
      <c r="L1628">
        <f t="shared" si="234"/>
        <v>0</v>
      </c>
      <c r="M1628">
        <f t="shared" si="226"/>
        <v>0</v>
      </c>
      <c r="N1628">
        <f t="shared" si="229"/>
        <v>0</v>
      </c>
      <c r="O1628">
        <f t="shared" si="230"/>
        <v>3209.5518000000002</v>
      </c>
      <c r="P1628">
        <f t="shared" si="231"/>
        <v>802.38795000000005</v>
      </c>
      <c r="Q1628">
        <f t="shared" si="232"/>
        <v>818.75666418000003</v>
      </c>
      <c r="R1628">
        <f t="shared" si="233"/>
        <v>339.38189999999997</v>
      </c>
      <c r="S1628">
        <f t="shared" si="227"/>
        <v>5178.03</v>
      </c>
    </row>
    <row r="1629" spans="1:19" x14ac:dyDescent="0.25">
      <c r="A1629">
        <v>1759</v>
      </c>
      <c r="B1629">
        <v>1382</v>
      </c>
      <c r="C1629" t="s">
        <v>33</v>
      </c>
      <c r="D1629" t="s">
        <v>172</v>
      </c>
      <c r="E1629">
        <v>16</v>
      </c>
      <c r="F1629">
        <v>20.95</v>
      </c>
      <c r="G1629">
        <v>11.85</v>
      </c>
      <c r="H1629">
        <v>30.68</v>
      </c>
      <c r="I1629">
        <v>0.96</v>
      </c>
      <c r="J1629">
        <v>404.33</v>
      </c>
      <c r="K1629">
        <f t="shared" si="228"/>
        <v>6469.28</v>
      </c>
      <c r="L1629">
        <f t="shared" si="234"/>
        <v>0</v>
      </c>
      <c r="M1629">
        <f t="shared" si="226"/>
        <v>0</v>
      </c>
      <c r="N1629">
        <f t="shared" si="229"/>
        <v>0</v>
      </c>
      <c r="O1629">
        <f t="shared" si="230"/>
        <v>3972.12</v>
      </c>
      <c r="P1629">
        <f t="shared" si="231"/>
        <v>993.03</v>
      </c>
      <c r="Q1629">
        <f t="shared" si="232"/>
        <v>1013.2878119999999</v>
      </c>
      <c r="R1629">
        <f t="shared" si="233"/>
        <v>471.2448</v>
      </c>
      <c r="S1629">
        <f t="shared" si="227"/>
        <v>6469.28</v>
      </c>
    </row>
    <row r="1630" spans="1:19" x14ac:dyDescent="0.25">
      <c r="A1630">
        <v>1760</v>
      </c>
      <c r="B1630">
        <v>1383</v>
      </c>
      <c r="C1630" t="s">
        <v>32</v>
      </c>
      <c r="D1630" t="s">
        <v>172</v>
      </c>
      <c r="E1630">
        <v>10</v>
      </c>
      <c r="F1630">
        <v>19.95</v>
      </c>
      <c r="G1630">
        <v>10.01</v>
      </c>
      <c r="H1630">
        <v>29.28</v>
      </c>
      <c r="I1630">
        <v>0.96</v>
      </c>
      <c r="J1630">
        <v>330.5</v>
      </c>
      <c r="K1630">
        <f t="shared" si="228"/>
        <v>3305</v>
      </c>
      <c r="L1630">
        <f t="shared" si="234"/>
        <v>0</v>
      </c>
      <c r="M1630">
        <f t="shared" si="226"/>
        <v>0</v>
      </c>
      <c r="N1630">
        <f t="shared" si="229"/>
        <v>0</v>
      </c>
      <c r="O1630">
        <f t="shared" si="230"/>
        <v>1996.9949999999999</v>
      </c>
      <c r="P1630">
        <f t="shared" si="231"/>
        <v>499.24874999999997</v>
      </c>
      <c r="Q1630">
        <f t="shared" si="232"/>
        <v>509.43342449999994</v>
      </c>
      <c r="R1630">
        <f t="shared" si="233"/>
        <v>281.08800000000002</v>
      </c>
      <c r="S1630">
        <f t="shared" si="227"/>
        <v>3305</v>
      </c>
    </row>
    <row r="1631" spans="1:19" x14ac:dyDescent="0.25">
      <c r="A1631">
        <v>1761</v>
      </c>
      <c r="B1631">
        <v>1383</v>
      </c>
      <c r="C1631" t="s">
        <v>32</v>
      </c>
      <c r="D1631" t="s">
        <v>173</v>
      </c>
      <c r="E1631">
        <v>23</v>
      </c>
      <c r="F1631">
        <v>14.64</v>
      </c>
      <c r="G1631">
        <v>2.87</v>
      </c>
      <c r="H1631">
        <v>33.6</v>
      </c>
      <c r="I1631">
        <v>0.79</v>
      </c>
      <c r="J1631">
        <v>86.97</v>
      </c>
      <c r="K1631">
        <f t="shared" si="228"/>
        <v>2000.31</v>
      </c>
      <c r="L1631">
        <f t="shared" si="234"/>
        <v>2000.31</v>
      </c>
      <c r="M1631">
        <f t="shared" si="226"/>
        <v>966.38640000000009</v>
      </c>
      <c r="N1631">
        <f t="shared" si="229"/>
        <v>241.59660000000002</v>
      </c>
      <c r="O1631">
        <f t="shared" si="230"/>
        <v>966.38640000000009</v>
      </c>
      <c r="P1631">
        <f t="shared" si="231"/>
        <v>241.59660000000002</v>
      </c>
      <c r="Q1631">
        <f t="shared" si="232"/>
        <v>246.52517064000003</v>
      </c>
      <c r="R1631">
        <f t="shared" si="233"/>
        <v>610.51200000000006</v>
      </c>
      <c r="S1631">
        <f t="shared" si="227"/>
        <v>2000.31</v>
      </c>
    </row>
    <row r="1632" spans="1:19" x14ac:dyDescent="0.25">
      <c r="A1632">
        <v>1762</v>
      </c>
      <c r="B1632">
        <v>1383</v>
      </c>
      <c r="C1632" t="s">
        <v>32</v>
      </c>
      <c r="D1632" t="s">
        <v>173</v>
      </c>
      <c r="E1632">
        <v>15</v>
      </c>
      <c r="F1632">
        <v>15.61</v>
      </c>
      <c r="G1632">
        <v>3.1</v>
      </c>
      <c r="H1632">
        <v>29.41</v>
      </c>
      <c r="I1632">
        <v>0.8</v>
      </c>
      <c r="J1632">
        <v>92.42</v>
      </c>
      <c r="K1632">
        <f t="shared" si="228"/>
        <v>1386.3</v>
      </c>
      <c r="L1632">
        <f t="shared" si="234"/>
        <v>1386.3</v>
      </c>
      <c r="M1632">
        <f t="shared" si="226"/>
        <v>725.86500000000001</v>
      </c>
      <c r="N1632">
        <f t="shared" si="229"/>
        <v>181.46625</v>
      </c>
      <c r="O1632">
        <f t="shared" si="230"/>
        <v>725.86500000000001</v>
      </c>
      <c r="P1632">
        <f t="shared" si="231"/>
        <v>181.46625</v>
      </c>
      <c r="Q1632">
        <f t="shared" si="232"/>
        <v>185.1681615</v>
      </c>
      <c r="R1632">
        <f t="shared" si="233"/>
        <v>352.92</v>
      </c>
      <c r="S1632">
        <f t="shared" si="227"/>
        <v>1386.3</v>
      </c>
    </row>
    <row r="1633" spans="1:19" x14ac:dyDescent="0.25">
      <c r="A1633">
        <v>1763</v>
      </c>
      <c r="B1633">
        <v>1383</v>
      </c>
      <c r="C1633" t="s">
        <v>32</v>
      </c>
      <c r="D1633" t="s">
        <v>173</v>
      </c>
      <c r="E1633">
        <v>14</v>
      </c>
      <c r="F1633">
        <v>13.88</v>
      </c>
      <c r="G1633">
        <v>2.75</v>
      </c>
      <c r="H1633">
        <v>36.19</v>
      </c>
      <c r="I1633">
        <v>0.8</v>
      </c>
      <c r="J1633">
        <v>84.33</v>
      </c>
      <c r="K1633">
        <f t="shared" si="228"/>
        <v>1180.6199999999999</v>
      </c>
      <c r="L1633">
        <f t="shared" si="234"/>
        <v>1180.6199999999999</v>
      </c>
      <c r="M1633">
        <f t="shared" si="226"/>
        <v>534.38</v>
      </c>
      <c r="N1633">
        <f t="shared" si="229"/>
        <v>133.595</v>
      </c>
      <c r="O1633">
        <f t="shared" si="230"/>
        <v>534.38</v>
      </c>
      <c r="P1633">
        <f t="shared" si="231"/>
        <v>133.595</v>
      </c>
      <c r="Q1633">
        <f t="shared" si="232"/>
        <v>136.32033799999999</v>
      </c>
      <c r="R1633">
        <f t="shared" si="233"/>
        <v>405.32800000000003</v>
      </c>
      <c r="S1633">
        <f t="shared" si="227"/>
        <v>1180.6199999999999</v>
      </c>
    </row>
    <row r="1634" spans="1:19" x14ac:dyDescent="0.25">
      <c r="A1634">
        <v>1764</v>
      </c>
      <c r="B1634">
        <v>1383</v>
      </c>
      <c r="C1634" t="s">
        <v>32</v>
      </c>
      <c r="D1634" t="s">
        <v>173</v>
      </c>
      <c r="E1634">
        <v>10</v>
      </c>
      <c r="F1634">
        <v>15.52</v>
      </c>
      <c r="G1634">
        <v>3.34</v>
      </c>
      <c r="H1634">
        <v>30</v>
      </c>
      <c r="I1634">
        <v>0.82</v>
      </c>
      <c r="J1634">
        <v>98.34</v>
      </c>
      <c r="K1634">
        <f t="shared" si="228"/>
        <v>983.40000000000009</v>
      </c>
      <c r="L1634">
        <f t="shared" si="234"/>
        <v>983.40000000000009</v>
      </c>
      <c r="M1634">
        <f t="shared" si="226"/>
        <v>518.36799999999994</v>
      </c>
      <c r="N1634">
        <f t="shared" si="229"/>
        <v>129.59199999999998</v>
      </c>
      <c r="O1634">
        <f t="shared" si="230"/>
        <v>518.36799999999994</v>
      </c>
      <c r="P1634">
        <f t="shared" si="231"/>
        <v>129.59199999999998</v>
      </c>
      <c r="Q1634">
        <f t="shared" si="232"/>
        <v>132.23567679999999</v>
      </c>
      <c r="R1634">
        <f t="shared" si="233"/>
        <v>245.99999999999997</v>
      </c>
      <c r="S1634">
        <f t="shared" si="227"/>
        <v>983.40000000000009</v>
      </c>
    </row>
    <row r="1635" spans="1:19" x14ac:dyDescent="0.25">
      <c r="A1635">
        <v>1765</v>
      </c>
      <c r="B1635">
        <v>1383</v>
      </c>
      <c r="C1635" t="s">
        <v>32</v>
      </c>
      <c r="D1635" t="s">
        <v>172</v>
      </c>
      <c r="E1635">
        <v>15</v>
      </c>
      <c r="F1635">
        <v>20.22</v>
      </c>
      <c r="G1635">
        <v>11.39</v>
      </c>
      <c r="H1635">
        <v>29.89</v>
      </c>
      <c r="I1635">
        <v>1.05</v>
      </c>
      <c r="J1635">
        <v>379.93</v>
      </c>
      <c r="K1635">
        <f t="shared" si="228"/>
        <v>5698.95</v>
      </c>
      <c r="L1635">
        <f t="shared" si="234"/>
        <v>0</v>
      </c>
      <c r="M1635">
        <f t="shared" si="226"/>
        <v>0</v>
      </c>
      <c r="N1635">
        <f t="shared" si="229"/>
        <v>0</v>
      </c>
      <c r="O1635">
        <f t="shared" si="230"/>
        <v>3454.5870000000004</v>
      </c>
      <c r="P1635">
        <f t="shared" si="231"/>
        <v>863.64675000000011</v>
      </c>
      <c r="Q1635">
        <f t="shared" si="232"/>
        <v>881.26514370000007</v>
      </c>
      <c r="R1635">
        <f t="shared" si="233"/>
        <v>470.76749999999998</v>
      </c>
      <c r="S1635">
        <f t="shared" si="227"/>
        <v>5698.95</v>
      </c>
    </row>
    <row r="1636" spans="1:19" x14ac:dyDescent="0.25">
      <c r="A1636">
        <v>1766</v>
      </c>
      <c r="B1636">
        <v>1383</v>
      </c>
      <c r="C1636" t="s">
        <v>32</v>
      </c>
      <c r="D1636" t="s">
        <v>173</v>
      </c>
      <c r="E1636">
        <v>18</v>
      </c>
      <c r="F1636">
        <v>13.01</v>
      </c>
      <c r="G1636">
        <v>3.09</v>
      </c>
      <c r="H1636">
        <v>34.6</v>
      </c>
      <c r="I1636">
        <v>0.77</v>
      </c>
      <c r="J1636">
        <v>84.58</v>
      </c>
      <c r="K1636">
        <f t="shared" si="228"/>
        <v>1522.44</v>
      </c>
      <c r="L1636">
        <f t="shared" si="234"/>
        <v>1522.44</v>
      </c>
      <c r="M1636">
        <f t="shared" si="226"/>
        <v>723.61619999999994</v>
      </c>
      <c r="N1636">
        <f t="shared" si="229"/>
        <v>180.90404999999998</v>
      </c>
      <c r="O1636">
        <f t="shared" si="230"/>
        <v>723.61619999999994</v>
      </c>
      <c r="P1636">
        <f t="shared" si="231"/>
        <v>180.90404999999998</v>
      </c>
      <c r="Q1636">
        <f t="shared" si="232"/>
        <v>184.59449261999998</v>
      </c>
      <c r="R1636">
        <f t="shared" si="233"/>
        <v>479.55599999999998</v>
      </c>
      <c r="S1636">
        <f t="shared" si="227"/>
        <v>1522.44</v>
      </c>
    </row>
    <row r="1637" spans="1:19" x14ac:dyDescent="0.25">
      <c r="A1637">
        <v>1767</v>
      </c>
      <c r="B1637">
        <v>1384</v>
      </c>
      <c r="C1637" t="s">
        <v>35</v>
      </c>
      <c r="D1637" t="s">
        <v>172</v>
      </c>
      <c r="E1637">
        <v>14</v>
      </c>
      <c r="F1637">
        <v>19.82</v>
      </c>
      <c r="G1637">
        <v>9.67</v>
      </c>
      <c r="H1637">
        <v>37.56</v>
      </c>
      <c r="I1637">
        <v>1.04</v>
      </c>
      <c r="J1637">
        <v>331.58</v>
      </c>
      <c r="K1637">
        <f t="shared" si="228"/>
        <v>4642.12</v>
      </c>
      <c r="L1637">
        <f t="shared" si="234"/>
        <v>0</v>
      </c>
      <c r="M1637">
        <f t="shared" si="226"/>
        <v>0</v>
      </c>
      <c r="N1637">
        <f t="shared" si="229"/>
        <v>0</v>
      </c>
      <c r="O1637">
        <f t="shared" si="230"/>
        <v>2683.2316000000001</v>
      </c>
      <c r="P1637">
        <f t="shared" si="231"/>
        <v>670.80790000000002</v>
      </c>
      <c r="Q1637">
        <f t="shared" si="232"/>
        <v>684.49238116000004</v>
      </c>
      <c r="R1637">
        <f t="shared" si="233"/>
        <v>546.87360000000001</v>
      </c>
      <c r="S1637">
        <f t="shared" si="227"/>
        <v>4642.12</v>
      </c>
    </row>
    <row r="1638" spans="1:19" x14ac:dyDescent="0.25">
      <c r="A1638">
        <v>1768</v>
      </c>
      <c r="B1638">
        <v>1384</v>
      </c>
      <c r="C1638" t="s">
        <v>35</v>
      </c>
      <c r="D1638" t="s">
        <v>173</v>
      </c>
      <c r="E1638">
        <v>14</v>
      </c>
      <c r="F1638">
        <v>15.13</v>
      </c>
      <c r="G1638">
        <v>3.07</v>
      </c>
      <c r="H1638">
        <v>29.16</v>
      </c>
      <c r="I1638">
        <v>0.79</v>
      </c>
      <c r="J1638">
        <v>89.21</v>
      </c>
      <c r="K1638">
        <f t="shared" si="228"/>
        <v>1248.9399999999998</v>
      </c>
      <c r="L1638">
        <f t="shared" si="234"/>
        <v>1248.9399999999998</v>
      </c>
      <c r="M1638">
        <f t="shared" si="226"/>
        <v>650.28739999999993</v>
      </c>
      <c r="N1638">
        <f t="shared" si="229"/>
        <v>162.57184999999998</v>
      </c>
      <c r="O1638">
        <f t="shared" si="230"/>
        <v>650.28739999999993</v>
      </c>
      <c r="P1638">
        <f t="shared" si="231"/>
        <v>162.57184999999998</v>
      </c>
      <c r="Q1638">
        <f t="shared" si="232"/>
        <v>165.88831573999997</v>
      </c>
      <c r="R1638">
        <f t="shared" si="233"/>
        <v>322.50960000000003</v>
      </c>
      <c r="S1638">
        <f t="shared" si="227"/>
        <v>1248.9399999999998</v>
      </c>
    </row>
    <row r="1639" spans="1:19" x14ac:dyDescent="0.25">
      <c r="A1639">
        <v>1769</v>
      </c>
      <c r="B1639">
        <v>1384</v>
      </c>
      <c r="C1639" t="s">
        <v>35</v>
      </c>
      <c r="D1639" t="s">
        <v>172</v>
      </c>
      <c r="E1639">
        <v>31</v>
      </c>
      <c r="F1639">
        <v>18.29</v>
      </c>
      <c r="G1639">
        <v>12.27</v>
      </c>
      <c r="H1639">
        <v>32.409999999999997</v>
      </c>
      <c r="I1639">
        <v>1.06</v>
      </c>
      <c r="J1639">
        <v>374.7</v>
      </c>
      <c r="K1639">
        <f t="shared" si="228"/>
        <v>11615.699999999999</v>
      </c>
      <c r="L1639">
        <f t="shared" si="234"/>
        <v>0</v>
      </c>
      <c r="M1639">
        <f t="shared" si="226"/>
        <v>0</v>
      </c>
      <c r="N1639">
        <f t="shared" si="229"/>
        <v>0</v>
      </c>
      <c r="O1639">
        <f t="shared" si="230"/>
        <v>6956.9672999999993</v>
      </c>
      <c r="P1639">
        <f t="shared" si="231"/>
        <v>1739.2418249999998</v>
      </c>
      <c r="Q1639">
        <f t="shared" si="232"/>
        <v>1774.7223582299998</v>
      </c>
      <c r="R1639">
        <f t="shared" si="233"/>
        <v>1064.9925999999998</v>
      </c>
      <c r="S1639">
        <f t="shared" si="227"/>
        <v>11615.699999999999</v>
      </c>
    </row>
    <row r="1640" spans="1:19" x14ac:dyDescent="0.25">
      <c r="A1640">
        <v>1770</v>
      </c>
      <c r="B1640">
        <v>1384</v>
      </c>
      <c r="C1640" t="s">
        <v>35</v>
      </c>
      <c r="D1640" t="s">
        <v>173</v>
      </c>
      <c r="E1640">
        <v>10</v>
      </c>
      <c r="F1640">
        <v>15.12</v>
      </c>
      <c r="G1640">
        <v>2.92</v>
      </c>
      <c r="H1640">
        <v>29.54</v>
      </c>
      <c r="I1640">
        <v>0.81</v>
      </c>
      <c r="J1640">
        <v>87.03</v>
      </c>
      <c r="K1640">
        <f t="shared" si="228"/>
        <v>870.3</v>
      </c>
      <c r="L1640">
        <f t="shared" si="234"/>
        <v>870.3</v>
      </c>
      <c r="M1640">
        <f t="shared" si="226"/>
        <v>441.50399999999996</v>
      </c>
      <c r="N1640">
        <f t="shared" si="229"/>
        <v>110.37599999999999</v>
      </c>
      <c r="O1640">
        <f t="shared" si="230"/>
        <v>441.50399999999996</v>
      </c>
      <c r="P1640">
        <f t="shared" si="231"/>
        <v>110.37599999999999</v>
      </c>
      <c r="Q1640">
        <f t="shared" si="232"/>
        <v>112.62767039999999</v>
      </c>
      <c r="R1640">
        <f t="shared" si="233"/>
        <v>239.27400000000003</v>
      </c>
      <c r="S1640">
        <f t="shared" si="227"/>
        <v>870.3</v>
      </c>
    </row>
    <row r="1641" spans="1:19" x14ac:dyDescent="0.25">
      <c r="A1641">
        <v>1771</v>
      </c>
      <c r="B1641">
        <v>1384</v>
      </c>
      <c r="C1641" t="s">
        <v>35</v>
      </c>
      <c r="D1641" t="s">
        <v>172</v>
      </c>
      <c r="E1641">
        <v>48</v>
      </c>
      <c r="F1641">
        <v>19.72</v>
      </c>
      <c r="G1641">
        <v>11.7</v>
      </c>
      <c r="H1641">
        <v>38.840000000000003</v>
      </c>
      <c r="I1641">
        <v>0.95</v>
      </c>
      <c r="J1641">
        <v>387.11</v>
      </c>
      <c r="K1641">
        <f t="shared" si="228"/>
        <v>18581.28</v>
      </c>
      <c r="L1641">
        <f t="shared" si="234"/>
        <v>0</v>
      </c>
      <c r="M1641">
        <f t="shared" si="226"/>
        <v>0</v>
      </c>
      <c r="N1641">
        <f t="shared" si="229"/>
        <v>0</v>
      </c>
      <c r="O1641">
        <f t="shared" si="230"/>
        <v>11074.751999999997</v>
      </c>
      <c r="P1641">
        <f t="shared" si="231"/>
        <v>2768.6879999999992</v>
      </c>
      <c r="Q1641">
        <f t="shared" si="232"/>
        <v>2825.1692351999991</v>
      </c>
      <c r="R1641">
        <f t="shared" si="233"/>
        <v>1771.104</v>
      </c>
      <c r="S1641">
        <f t="shared" si="227"/>
        <v>18581.28</v>
      </c>
    </row>
    <row r="1642" spans="1:19" x14ac:dyDescent="0.25">
      <c r="A1642">
        <v>1772</v>
      </c>
      <c r="B1642">
        <v>1384</v>
      </c>
      <c r="C1642" t="s">
        <v>35</v>
      </c>
      <c r="D1642" t="s">
        <v>173</v>
      </c>
      <c r="E1642">
        <v>10</v>
      </c>
      <c r="F1642">
        <v>14.3</v>
      </c>
      <c r="G1642">
        <v>2.83</v>
      </c>
      <c r="H1642">
        <v>32.07</v>
      </c>
      <c r="I1642">
        <v>0.78</v>
      </c>
      <c r="J1642">
        <v>83.16</v>
      </c>
      <c r="K1642">
        <f t="shared" si="228"/>
        <v>831.59999999999991</v>
      </c>
      <c r="L1642">
        <f t="shared" si="234"/>
        <v>831.59999999999991</v>
      </c>
      <c r="M1642">
        <f t="shared" si="226"/>
        <v>404.69000000000005</v>
      </c>
      <c r="N1642">
        <f t="shared" si="229"/>
        <v>101.17250000000001</v>
      </c>
      <c r="O1642">
        <f t="shared" si="230"/>
        <v>404.69000000000005</v>
      </c>
      <c r="P1642">
        <f t="shared" si="231"/>
        <v>101.17250000000001</v>
      </c>
      <c r="Q1642">
        <f t="shared" si="232"/>
        <v>103.23641900000001</v>
      </c>
      <c r="R1642">
        <f t="shared" si="233"/>
        <v>250.14600000000002</v>
      </c>
      <c r="S1642">
        <f t="shared" si="227"/>
        <v>831.59999999999991</v>
      </c>
    </row>
    <row r="1643" spans="1:19" x14ac:dyDescent="0.25">
      <c r="A1643">
        <v>1773</v>
      </c>
      <c r="B1643">
        <v>1384</v>
      </c>
      <c r="C1643" t="s">
        <v>35</v>
      </c>
      <c r="D1643" t="s">
        <v>173</v>
      </c>
      <c r="E1643">
        <v>13</v>
      </c>
      <c r="F1643">
        <v>14.86</v>
      </c>
      <c r="G1643">
        <v>2.89</v>
      </c>
      <c r="H1643">
        <v>37.93</v>
      </c>
      <c r="I1643">
        <v>0.8</v>
      </c>
      <c r="J1643">
        <v>92.43</v>
      </c>
      <c r="K1643">
        <f t="shared" si="228"/>
        <v>1201.5900000000001</v>
      </c>
      <c r="L1643">
        <f t="shared" si="234"/>
        <v>1201.5900000000001</v>
      </c>
      <c r="M1643">
        <f t="shared" si="226"/>
        <v>558.29020000000003</v>
      </c>
      <c r="N1643">
        <f t="shared" si="229"/>
        <v>139.57255000000001</v>
      </c>
      <c r="O1643">
        <f t="shared" si="230"/>
        <v>558.29020000000003</v>
      </c>
      <c r="P1643">
        <f t="shared" si="231"/>
        <v>139.57255000000001</v>
      </c>
      <c r="Q1643">
        <f t="shared" si="232"/>
        <v>142.41983002000001</v>
      </c>
      <c r="R1643">
        <f t="shared" si="233"/>
        <v>394.47200000000004</v>
      </c>
      <c r="S1643">
        <f t="shared" si="227"/>
        <v>1201.5900000000001</v>
      </c>
    </row>
    <row r="1644" spans="1:19" x14ac:dyDescent="0.25">
      <c r="A1644">
        <v>1774</v>
      </c>
      <c r="B1644">
        <v>1385</v>
      </c>
      <c r="C1644" t="s">
        <v>35</v>
      </c>
      <c r="D1644" t="s">
        <v>173</v>
      </c>
      <c r="E1644">
        <v>15</v>
      </c>
      <c r="F1644">
        <v>14.91</v>
      </c>
      <c r="G1644">
        <v>2.88</v>
      </c>
      <c r="H1644">
        <v>30.4</v>
      </c>
      <c r="I1644">
        <v>0.83</v>
      </c>
      <c r="J1644">
        <v>86.8</v>
      </c>
      <c r="K1644">
        <f t="shared" si="228"/>
        <v>1302</v>
      </c>
      <c r="L1644">
        <f t="shared" si="234"/>
        <v>1302</v>
      </c>
      <c r="M1644">
        <f t="shared" si="226"/>
        <v>644.11199999999997</v>
      </c>
      <c r="N1644">
        <f t="shared" si="229"/>
        <v>161.02799999999999</v>
      </c>
      <c r="O1644">
        <f t="shared" si="230"/>
        <v>644.11199999999997</v>
      </c>
      <c r="P1644">
        <f t="shared" si="231"/>
        <v>161.02799999999999</v>
      </c>
      <c r="Q1644">
        <f t="shared" si="232"/>
        <v>164.31297119999999</v>
      </c>
      <c r="R1644">
        <f t="shared" si="233"/>
        <v>378.47999999999996</v>
      </c>
      <c r="S1644">
        <f t="shared" si="227"/>
        <v>1302</v>
      </c>
    </row>
    <row r="1645" spans="1:19" x14ac:dyDescent="0.25">
      <c r="A1645">
        <v>1775</v>
      </c>
      <c r="B1645">
        <v>1385</v>
      </c>
      <c r="C1645" t="s">
        <v>35</v>
      </c>
      <c r="D1645" t="s">
        <v>173</v>
      </c>
      <c r="E1645">
        <v>22</v>
      </c>
      <c r="F1645">
        <v>15.1</v>
      </c>
      <c r="G1645">
        <v>2.82</v>
      </c>
      <c r="H1645">
        <v>27.79</v>
      </c>
      <c r="I1645">
        <v>0.81</v>
      </c>
      <c r="J1645">
        <v>83.31</v>
      </c>
      <c r="K1645">
        <f t="shared" si="228"/>
        <v>1832.8200000000002</v>
      </c>
      <c r="L1645">
        <f t="shared" si="234"/>
        <v>1832.8200000000002</v>
      </c>
      <c r="M1645">
        <f t="shared" si="226"/>
        <v>936.80399999999997</v>
      </c>
      <c r="N1645">
        <f t="shared" si="229"/>
        <v>234.20099999999999</v>
      </c>
      <c r="O1645">
        <f t="shared" si="230"/>
        <v>936.80399999999997</v>
      </c>
      <c r="P1645">
        <f t="shared" si="231"/>
        <v>234.20099999999999</v>
      </c>
      <c r="Q1645">
        <f t="shared" si="232"/>
        <v>238.97870039999998</v>
      </c>
      <c r="R1645">
        <f t="shared" si="233"/>
        <v>495.21780000000001</v>
      </c>
      <c r="S1645">
        <f t="shared" si="227"/>
        <v>1832.8200000000002</v>
      </c>
    </row>
    <row r="1646" spans="1:19" x14ac:dyDescent="0.25">
      <c r="A1646">
        <v>1776</v>
      </c>
      <c r="B1646">
        <v>1385</v>
      </c>
      <c r="C1646" t="s">
        <v>35</v>
      </c>
      <c r="D1646" t="s">
        <v>172</v>
      </c>
      <c r="E1646">
        <v>15</v>
      </c>
      <c r="F1646">
        <v>19.34</v>
      </c>
      <c r="G1646">
        <v>11.85</v>
      </c>
      <c r="H1646">
        <v>32.1</v>
      </c>
      <c r="I1646">
        <v>0.91</v>
      </c>
      <c r="J1646">
        <v>375.66</v>
      </c>
      <c r="K1646">
        <f t="shared" si="228"/>
        <v>5634.9000000000005</v>
      </c>
      <c r="L1646">
        <f t="shared" si="234"/>
        <v>0</v>
      </c>
      <c r="M1646">
        <f t="shared" si="226"/>
        <v>0</v>
      </c>
      <c r="N1646">
        <f t="shared" si="229"/>
        <v>0</v>
      </c>
      <c r="O1646">
        <f t="shared" si="230"/>
        <v>3437.6849999999999</v>
      </c>
      <c r="P1646">
        <f t="shared" si="231"/>
        <v>859.42124999999999</v>
      </c>
      <c r="Q1646">
        <f t="shared" si="232"/>
        <v>876.95344349999993</v>
      </c>
      <c r="R1646">
        <f t="shared" si="233"/>
        <v>438.16500000000002</v>
      </c>
      <c r="S1646">
        <f t="shared" si="227"/>
        <v>5634.9000000000005</v>
      </c>
    </row>
    <row r="1647" spans="1:19" x14ac:dyDescent="0.25">
      <c r="A1647">
        <v>1777</v>
      </c>
      <c r="B1647">
        <v>1385</v>
      </c>
      <c r="C1647" t="s">
        <v>35</v>
      </c>
      <c r="D1647" t="s">
        <v>172</v>
      </c>
      <c r="E1647">
        <v>16</v>
      </c>
      <c r="F1647">
        <v>19.75</v>
      </c>
      <c r="G1647">
        <v>10.73</v>
      </c>
      <c r="H1647">
        <v>26.23</v>
      </c>
      <c r="I1647">
        <v>1.05</v>
      </c>
      <c r="J1647">
        <v>348</v>
      </c>
      <c r="K1647">
        <f t="shared" si="228"/>
        <v>5568</v>
      </c>
      <c r="L1647">
        <f t="shared" si="234"/>
        <v>0</v>
      </c>
      <c r="M1647">
        <f t="shared" si="226"/>
        <v>0</v>
      </c>
      <c r="N1647">
        <f t="shared" si="229"/>
        <v>0</v>
      </c>
      <c r="O1647">
        <f t="shared" si="230"/>
        <v>3390.6800000000003</v>
      </c>
      <c r="P1647">
        <f t="shared" si="231"/>
        <v>847.67000000000007</v>
      </c>
      <c r="Q1647">
        <f t="shared" si="232"/>
        <v>864.96246800000006</v>
      </c>
      <c r="R1647">
        <f t="shared" si="233"/>
        <v>440.66400000000004</v>
      </c>
      <c r="S1647">
        <f t="shared" si="227"/>
        <v>5568</v>
      </c>
    </row>
    <row r="1648" spans="1:19" x14ac:dyDescent="0.25">
      <c r="A1648">
        <v>1778</v>
      </c>
      <c r="B1648">
        <v>1385</v>
      </c>
      <c r="C1648" t="s">
        <v>35</v>
      </c>
      <c r="D1648" t="s">
        <v>173</v>
      </c>
      <c r="E1648">
        <v>12</v>
      </c>
      <c r="F1648">
        <v>14.76</v>
      </c>
      <c r="G1648">
        <v>2.88</v>
      </c>
      <c r="H1648">
        <v>34.799999999999997</v>
      </c>
      <c r="I1648">
        <v>0.83</v>
      </c>
      <c r="J1648">
        <v>90.22</v>
      </c>
      <c r="K1648">
        <f t="shared" si="228"/>
        <v>1082.6399999999999</v>
      </c>
      <c r="L1648">
        <f t="shared" si="234"/>
        <v>1082.6399999999999</v>
      </c>
      <c r="M1648">
        <f t="shared" si="226"/>
        <v>510.10560000000004</v>
      </c>
      <c r="N1648">
        <f t="shared" si="229"/>
        <v>127.52640000000001</v>
      </c>
      <c r="O1648">
        <f t="shared" si="230"/>
        <v>510.10560000000004</v>
      </c>
      <c r="P1648">
        <f t="shared" si="231"/>
        <v>127.52640000000001</v>
      </c>
      <c r="Q1648">
        <f t="shared" si="232"/>
        <v>130.12793856000002</v>
      </c>
      <c r="R1648">
        <f t="shared" si="233"/>
        <v>346.60799999999995</v>
      </c>
      <c r="S1648">
        <f t="shared" si="227"/>
        <v>1082.6399999999999</v>
      </c>
    </row>
    <row r="1649" spans="1:19" x14ac:dyDescent="0.25">
      <c r="A1649">
        <v>1779</v>
      </c>
      <c r="B1649">
        <v>1385</v>
      </c>
      <c r="C1649" t="s">
        <v>35</v>
      </c>
      <c r="D1649" t="s">
        <v>172</v>
      </c>
      <c r="E1649">
        <v>17</v>
      </c>
      <c r="F1649">
        <v>20.12</v>
      </c>
      <c r="G1649">
        <v>10.37</v>
      </c>
      <c r="H1649">
        <v>29.55</v>
      </c>
      <c r="I1649">
        <v>0.95</v>
      </c>
      <c r="J1649">
        <v>343.76</v>
      </c>
      <c r="K1649">
        <f t="shared" si="228"/>
        <v>5843.92</v>
      </c>
      <c r="L1649">
        <f t="shared" si="234"/>
        <v>0</v>
      </c>
      <c r="M1649">
        <f t="shared" si="226"/>
        <v>0</v>
      </c>
      <c r="N1649">
        <f t="shared" si="229"/>
        <v>0</v>
      </c>
      <c r="O1649">
        <f t="shared" si="230"/>
        <v>3546.9548</v>
      </c>
      <c r="P1649">
        <f t="shared" si="231"/>
        <v>886.73869999999999</v>
      </c>
      <c r="Q1649">
        <f t="shared" si="232"/>
        <v>904.82816947999993</v>
      </c>
      <c r="R1649">
        <f t="shared" si="233"/>
        <v>477.23249999999996</v>
      </c>
      <c r="S1649">
        <f t="shared" si="227"/>
        <v>5843.92</v>
      </c>
    </row>
    <row r="1650" spans="1:19" x14ac:dyDescent="0.25">
      <c r="A1650">
        <v>1780</v>
      </c>
      <c r="B1650">
        <v>1385</v>
      </c>
      <c r="C1650" t="s">
        <v>35</v>
      </c>
      <c r="D1650" t="s">
        <v>172</v>
      </c>
      <c r="E1650">
        <v>16</v>
      </c>
      <c r="F1650">
        <v>20.89</v>
      </c>
      <c r="G1650">
        <v>11.02</v>
      </c>
      <c r="H1650">
        <v>30.58</v>
      </c>
      <c r="I1650">
        <v>1.01</v>
      </c>
      <c r="J1650">
        <v>379.19</v>
      </c>
      <c r="K1650">
        <f t="shared" si="228"/>
        <v>6067.04</v>
      </c>
      <c r="L1650">
        <f t="shared" si="234"/>
        <v>0</v>
      </c>
      <c r="M1650">
        <f t="shared" si="226"/>
        <v>0</v>
      </c>
      <c r="N1650">
        <f t="shared" si="229"/>
        <v>0</v>
      </c>
      <c r="O1650">
        <f t="shared" si="230"/>
        <v>3683.3247999999999</v>
      </c>
      <c r="P1650">
        <f t="shared" si="231"/>
        <v>920.83119999999997</v>
      </c>
      <c r="Q1650">
        <f t="shared" si="232"/>
        <v>939.61615647999997</v>
      </c>
      <c r="R1650">
        <f t="shared" si="233"/>
        <v>494.1728</v>
      </c>
      <c r="S1650">
        <f t="shared" si="227"/>
        <v>6067.04</v>
      </c>
    </row>
    <row r="1651" spans="1:19" x14ac:dyDescent="0.25">
      <c r="A1651">
        <v>1781</v>
      </c>
      <c r="B1651">
        <v>1385</v>
      </c>
      <c r="C1651" t="s">
        <v>35</v>
      </c>
      <c r="D1651" t="s">
        <v>173</v>
      </c>
      <c r="E1651">
        <v>16</v>
      </c>
      <c r="F1651">
        <v>12.56</v>
      </c>
      <c r="G1651">
        <v>2.88</v>
      </c>
      <c r="H1651">
        <v>30.17</v>
      </c>
      <c r="I1651">
        <v>0.82</v>
      </c>
      <c r="J1651">
        <v>76.95</v>
      </c>
      <c r="K1651">
        <f t="shared" si="228"/>
        <v>1231.2</v>
      </c>
      <c r="L1651">
        <f t="shared" si="234"/>
        <v>1231.2</v>
      </c>
      <c r="M1651">
        <f t="shared" si="226"/>
        <v>578.76480000000004</v>
      </c>
      <c r="N1651">
        <f t="shared" si="229"/>
        <v>144.69120000000001</v>
      </c>
      <c r="O1651">
        <f t="shared" si="230"/>
        <v>578.76480000000004</v>
      </c>
      <c r="P1651">
        <f t="shared" si="231"/>
        <v>144.69120000000001</v>
      </c>
      <c r="Q1651">
        <f t="shared" si="232"/>
        <v>147.64290048000001</v>
      </c>
      <c r="R1651">
        <f t="shared" si="233"/>
        <v>395.8304</v>
      </c>
      <c r="S1651">
        <f t="shared" si="227"/>
        <v>1231.2</v>
      </c>
    </row>
    <row r="1652" spans="1:19" x14ac:dyDescent="0.25">
      <c r="A1652">
        <v>1782</v>
      </c>
      <c r="B1652">
        <v>1386</v>
      </c>
      <c r="C1652" t="s">
        <v>34</v>
      </c>
      <c r="D1652" t="s">
        <v>172</v>
      </c>
      <c r="E1652">
        <v>9</v>
      </c>
      <c r="F1652">
        <v>18.68</v>
      </c>
      <c r="G1652">
        <v>11.56</v>
      </c>
      <c r="H1652">
        <v>32.659999999999997</v>
      </c>
      <c r="I1652">
        <v>0.97</v>
      </c>
      <c r="J1652">
        <v>358.91</v>
      </c>
      <c r="K1652">
        <f t="shared" si="228"/>
        <v>3230.19</v>
      </c>
      <c r="L1652">
        <f t="shared" si="234"/>
        <v>0</v>
      </c>
      <c r="M1652">
        <f t="shared" si="226"/>
        <v>0</v>
      </c>
      <c r="N1652">
        <f t="shared" si="229"/>
        <v>0</v>
      </c>
      <c r="O1652">
        <f t="shared" si="230"/>
        <v>1943.4672</v>
      </c>
      <c r="P1652">
        <f t="shared" si="231"/>
        <v>485.86680000000001</v>
      </c>
      <c r="Q1652">
        <f t="shared" si="232"/>
        <v>495.77848272</v>
      </c>
      <c r="R1652">
        <f t="shared" si="233"/>
        <v>285.12180000000001</v>
      </c>
      <c r="S1652">
        <f t="shared" si="227"/>
        <v>3230.19</v>
      </c>
    </row>
    <row r="1653" spans="1:19" x14ac:dyDescent="0.25">
      <c r="A1653">
        <v>1783</v>
      </c>
      <c r="B1653">
        <v>1386</v>
      </c>
      <c r="C1653" t="s">
        <v>34</v>
      </c>
      <c r="D1653" t="s">
        <v>172</v>
      </c>
      <c r="E1653">
        <v>14</v>
      </c>
      <c r="F1653">
        <v>19.41</v>
      </c>
      <c r="G1653">
        <v>11.69</v>
      </c>
      <c r="H1653">
        <v>24.76</v>
      </c>
      <c r="I1653">
        <v>1.02</v>
      </c>
      <c r="J1653">
        <v>367.57</v>
      </c>
      <c r="K1653">
        <f t="shared" si="228"/>
        <v>5145.9799999999996</v>
      </c>
      <c r="L1653">
        <f t="shared" si="234"/>
        <v>0</v>
      </c>
      <c r="M1653">
        <f t="shared" si="226"/>
        <v>0</v>
      </c>
      <c r="N1653">
        <f t="shared" si="229"/>
        <v>0</v>
      </c>
      <c r="O1653">
        <f t="shared" si="230"/>
        <v>3176.6406000000002</v>
      </c>
      <c r="P1653">
        <f t="shared" si="231"/>
        <v>794.16015000000004</v>
      </c>
      <c r="Q1653">
        <f t="shared" si="232"/>
        <v>810.36101705999999</v>
      </c>
      <c r="R1653">
        <f t="shared" si="233"/>
        <v>353.57280000000003</v>
      </c>
      <c r="S1653">
        <f t="shared" si="227"/>
        <v>5145.9799999999996</v>
      </c>
    </row>
    <row r="1654" spans="1:19" x14ac:dyDescent="0.25">
      <c r="A1654">
        <v>1784</v>
      </c>
      <c r="B1654">
        <v>1386</v>
      </c>
      <c r="C1654" t="s">
        <v>34</v>
      </c>
      <c r="D1654" t="s">
        <v>173</v>
      </c>
      <c r="E1654">
        <v>14</v>
      </c>
      <c r="F1654">
        <v>15.66</v>
      </c>
      <c r="G1654">
        <v>2.71</v>
      </c>
      <c r="H1654">
        <v>32.700000000000003</v>
      </c>
      <c r="I1654">
        <v>0.81</v>
      </c>
      <c r="J1654">
        <v>87.49</v>
      </c>
      <c r="K1654">
        <f t="shared" si="228"/>
        <v>1224.8599999999999</v>
      </c>
      <c r="L1654">
        <f t="shared" si="234"/>
        <v>1224.8599999999999</v>
      </c>
      <c r="M1654">
        <f t="shared" si="226"/>
        <v>594.1404</v>
      </c>
      <c r="N1654">
        <f t="shared" si="229"/>
        <v>148.5351</v>
      </c>
      <c r="O1654">
        <f t="shared" si="230"/>
        <v>594.1404</v>
      </c>
      <c r="P1654">
        <f t="shared" si="231"/>
        <v>148.5351</v>
      </c>
      <c r="Q1654">
        <f t="shared" si="232"/>
        <v>151.56521604</v>
      </c>
      <c r="R1654">
        <f t="shared" si="233"/>
        <v>370.81800000000004</v>
      </c>
      <c r="S1654">
        <f t="shared" si="227"/>
        <v>1224.8599999999999</v>
      </c>
    </row>
    <row r="1655" spans="1:19" x14ac:dyDescent="0.25">
      <c r="A1655">
        <v>1785</v>
      </c>
      <c r="B1655">
        <v>1386</v>
      </c>
      <c r="C1655" t="s">
        <v>34</v>
      </c>
      <c r="D1655" t="s">
        <v>172</v>
      </c>
      <c r="E1655">
        <v>13</v>
      </c>
      <c r="F1655">
        <v>19.149999999999999</v>
      </c>
      <c r="G1655">
        <v>11.94</v>
      </c>
      <c r="H1655">
        <v>32.299999999999997</v>
      </c>
      <c r="I1655">
        <v>1.05</v>
      </c>
      <c r="J1655">
        <v>380.48</v>
      </c>
      <c r="K1655">
        <f t="shared" si="228"/>
        <v>4946.24</v>
      </c>
      <c r="L1655">
        <f t="shared" si="234"/>
        <v>0</v>
      </c>
      <c r="M1655">
        <f t="shared" si="226"/>
        <v>0</v>
      </c>
      <c r="N1655">
        <f t="shared" si="229"/>
        <v>0</v>
      </c>
      <c r="O1655">
        <f t="shared" si="230"/>
        <v>2972.4629999999997</v>
      </c>
      <c r="P1655">
        <f t="shared" si="231"/>
        <v>743.11574999999993</v>
      </c>
      <c r="Q1655">
        <f t="shared" si="232"/>
        <v>758.27531129999988</v>
      </c>
      <c r="R1655">
        <f t="shared" si="233"/>
        <v>440.89499999999998</v>
      </c>
      <c r="S1655">
        <f t="shared" si="227"/>
        <v>4946.24</v>
      </c>
    </row>
    <row r="1656" spans="1:19" x14ac:dyDescent="0.25">
      <c r="A1656">
        <v>1786</v>
      </c>
      <c r="B1656">
        <v>1386</v>
      </c>
      <c r="C1656" t="s">
        <v>34</v>
      </c>
      <c r="D1656" t="s">
        <v>173</v>
      </c>
      <c r="E1656">
        <v>30</v>
      </c>
      <c r="F1656">
        <v>12.99</v>
      </c>
      <c r="G1656">
        <v>2.92</v>
      </c>
      <c r="H1656">
        <v>27.07</v>
      </c>
      <c r="I1656">
        <v>0.82</v>
      </c>
      <c r="J1656">
        <v>76.569999999999993</v>
      </c>
      <c r="K1656">
        <f t="shared" si="228"/>
        <v>2297.1</v>
      </c>
      <c r="L1656">
        <f t="shared" si="234"/>
        <v>2297.1</v>
      </c>
      <c r="M1656">
        <f t="shared" si="226"/>
        <v>1137.924</v>
      </c>
      <c r="N1656">
        <f t="shared" si="229"/>
        <v>284.48099999999999</v>
      </c>
      <c r="O1656">
        <f t="shared" si="230"/>
        <v>1137.924</v>
      </c>
      <c r="P1656">
        <f t="shared" si="231"/>
        <v>284.48099999999999</v>
      </c>
      <c r="Q1656">
        <f t="shared" si="232"/>
        <v>290.28441240000001</v>
      </c>
      <c r="R1656">
        <f t="shared" si="233"/>
        <v>665.92199999999991</v>
      </c>
      <c r="S1656">
        <f t="shared" si="227"/>
        <v>2297.1</v>
      </c>
    </row>
    <row r="1657" spans="1:19" x14ac:dyDescent="0.25">
      <c r="A1657">
        <v>1787</v>
      </c>
      <c r="B1657">
        <v>1386</v>
      </c>
      <c r="C1657" t="s">
        <v>34</v>
      </c>
      <c r="D1657" t="s">
        <v>172</v>
      </c>
      <c r="E1657">
        <v>16</v>
      </c>
      <c r="F1657">
        <v>17.12</v>
      </c>
      <c r="G1657">
        <v>11.84</v>
      </c>
      <c r="H1657">
        <v>27.03</v>
      </c>
      <c r="I1657">
        <v>0.99</v>
      </c>
      <c r="J1657">
        <v>333.36</v>
      </c>
      <c r="K1657">
        <f t="shared" si="228"/>
        <v>5333.76</v>
      </c>
      <c r="L1657">
        <f t="shared" si="234"/>
        <v>0</v>
      </c>
      <c r="M1657">
        <f t="shared" si="226"/>
        <v>0</v>
      </c>
      <c r="N1657">
        <f t="shared" si="229"/>
        <v>0</v>
      </c>
      <c r="O1657">
        <f t="shared" si="230"/>
        <v>3243.2128000000002</v>
      </c>
      <c r="P1657">
        <f t="shared" si="231"/>
        <v>810.80320000000006</v>
      </c>
      <c r="Q1657">
        <f t="shared" si="232"/>
        <v>827.34358528000007</v>
      </c>
      <c r="R1657">
        <f t="shared" si="233"/>
        <v>428.15520000000004</v>
      </c>
      <c r="S1657">
        <f t="shared" si="227"/>
        <v>5333.76</v>
      </c>
    </row>
    <row r="1658" spans="1:19" x14ac:dyDescent="0.25">
      <c r="A1658">
        <v>1788</v>
      </c>
      <c r="B1658">
        <v>1386</v>
      </c>
      <c r="C1658" t="s">
        <v>34</v>
      </c>
      <c r="D1658" t="s">
        <v>172</v>
      </c>
      <c r="E1658">
        <v>14</v>
      </c>
      <c r="F1658">
        <v>17.739999999999998</v>
      </c>
      <c r="G1658">
        <v>12.17</v>
      </c>
      <c r="H1658">
        <v>30.77</v>
      </c>
      <c r="I1658">
        <v>1.05</v>
      </c>
      <c r="J1658">
        <v>359.59</v>
      </c>
      <c r="K1658">
        <f t="shared" si="228"/>
        <v>5034.2599999999993</v>
      </c>
      <c r="L1658">
        <f t="shared" si="234"/>
        <v>0</v>
      </c>
      <c r="M1658">
        <f t="shared" si="226"/>
        <v>0</v>
      </c>
      <c r="N1658">
        <f t="shared" si="229"/>
        <v>0</v>
      </c>
      <c r="O1658">
        <f t="shared" si="230"/>
        <v>3022.5411999999997</v>
      </c>
      <c r="P1658">
        <f t="shared" si="231"/>
        <v>755.63529999999992</v>
      </c>
      <c r="Q1658">
        <f t="shared" si="232"/>
        <v>771.05026011999985</v>
      </c>
      <c r="R1658">
        <f t="shared" si="233"/>
        <v>452.31900000000002</v>
      </c>
      <c r="S1658">
        <f t="shared" si="227"/>
        <v>5034.2599999999993</v>
      </c>
    </row>
    <row r="1659" spans="1:19" x14ac:dyDescent="0.25">
      <c r="A1659">
        <v>1789</v>
      </c>
      <c r="B1659">
        <v>1386</v>
      </c>
      <c r="C1659" t="s">
        <v>34</v>
      </c>
      <c r="D1659" t="s">
        <v>173</v>
      </c>
      <c r="E1659">
        <v>37</v>
      </c>
      <c r="F1659">
        <v>14.27</v>
      </c>
      <c r="G1659">
        <v>3.15</v>
      </c>
      <c r="H1659">
        <v>34.93</v>
      </c>
      <c r="I1659">
        <v>0.85</v>
      </c>
      <c r="J1659">
        <v>94.47</v>
      </c>
      <c r="K1659">
        <f t="shared" si="228"/>
        <v>3495.39</v>
      </c>
      <c r="L1659">
        <f t="shared" si="234"/>
        <v>3495.39</v>
      </c>
      <c r="M1659">
        <f t="shared" si="226"/>
        <v>1663.1685</v>
      </c>
      <c r="N1659">
        <f t="shared" si="229"/>
        <v>415.792125</v>
      </c>
      <c r="O1659">
        <f t="shared" si="230"/>
        <v>1663.1685</v>
      </c>
      <c r="P1659">
        <f t="shared" si="231"/>
        <v>415.792125</v>
      </c>
      <c r="Q1659">
        <f t="shared" si="232"/>
        <v>424.27428434999996</v>
      </c>
      <c r="R1659">
        <f t="shared" si="233"/>
        <v>1098.5484999999999</v>
      </c>
      <c r="S1659">
        <f t="shared" si="227"/>
        <v>3495.39</v>
      </c>
    </row>
    <row r="1660" spans="1:19" x14ac:dyDescent="0.25">
      <c r="A1660">
        <v>1790</v>
      </c>
      <c r="B1660">
        <v>1387</v>
      </c>
      <c r="C1660" t="s">
        <v>32</v>
      </c>
      <c r="D1660" t="s">
        <v>172</v>
      </c>
      <c r="E1660">
        <v>20</v>
      </c>
      <c r="F1660">
        <v>19.739999999999998</v>
      </c>
      <c r="G1660">
        <v>12.71</v>
      </c>
      <c r="H1660">
        <v>28.72</v>
      </c>
      <c r="I1660">
        <v>0.95</v>
      </c>
      <c r="J1660">
        <v>405.68</v>
      </c>
      <c r="K1660">
        <f t="shared" si="228"/>
        <v>8113.6</v>
      </c>
      <c r="L1660">
        <f t="shared" si="234"/>
        <v>0</v>
      </c>
      <c r="M1660">
        <f t="shared" si="226"/>
        <v>0</v>
      </c>
      <c r="N1660">
        <f t="shared" si="229"/>
        <v>0</v>
      </c>
      <c r="O1660">
        <f t="shared" si="230"/>
        <v>5017.9080000000004</v>
      </c>
      <c r="P1660">
        <f t="shared" si="231"/>
        <v>1254.4770000000001</v>
      </c>
      <c r="Q1660">
        <f t="shared" si="232"/>
        <v>1280.0683308</v>
      </c>
      <c r="R1660">
        <f t="shared" si="233"/>
        <v>545.67999999999995</v>
      </c>
      <c r="S1660">
        <f t="shared" si="227"/>
        <v>8113.6</v>
      </c>
    </row>
    <row r="1661" spans="1:19" x14ac:dyDescent="0.25">
      <c r="A1661">
        <v>1791</v>
      </c>
      <c r="B1661">
        <v>1387</v>
      </c>
      <c r="C1661" t="s">
        <v>32</v>
      </c>
      <c r="D1661" t="s">
        <v>172</v>
      </c>
      <c r="E1661">
        <v>22</v>
      </c>
      <c r="F1661">
        <v>20.67</v>
      </c>
      <c r="G1661">
        <v>10.39</v>
      </c>
      <c r="H1661">
        <v>36.020000000000003</v>
      </c>
      <c r="I1661">
        <v>1.03</v>
      </c>
      <c r="J1661">
        <v>363.61</v>
      </c>
      <c r="K1661">
        <f t="shared" si="228"/>
        <v>7999.42</v>
      </c>
      <c r="L1661">
        <f t="shared" si="234"/>
        <v>0</v>
      </c>
      <c r="M1661">
        <f t="shared" si="226"/>
        <v>0</v>
      </c>
      <c r="N1661">
        <f t="shared" si="229"/>
        <v>0</v>
      </c>
      <c r="O1661">
        <f t="shared" si="230"/>
        <v>4724.7486000000008</v>
      </c>
      <c r="P1661">
        <f t="shared" si="231"/>
        <v>1181.1871500000002</v>
      </c>
      <c r="Q1661">
        <f t="shared" si="232"/>
        <v>1205.2833678600002</v>
      </c>
      <c r="R1661">
        <f t="shared" si="233"/>
        <v>816.21320000000003</v>
      </c>
      <c r="S1661">
        <f t="shared" si="227"/>
        <v>7999.42</v>
      </c>
    </row>
    <row r="1662" spans="1:19" x14ac:dyDescent="0.25">
      <c r="A1662">
        <v>1792</v>
      </c>
      <c r="B1662">
        <v>1387</v>
      </c>
      <c r="C1662" t="s">
        <v>32</v>
      </c>
      <c r="D1662" t="s">
        <v>172</v>
      </c>
      <c r="E1662">
        <v>8</v>
      </c>
      <c r="F1662">
        <v>21.87</v>
      </c>
      <c r="G1662">
        <v>10.31</v>
      </c>
      <c r="H1662">
        <v>31.26</v>
      </c>
      <c r="I1662">
        <v>0.96</v>
      </c>
      <c r="J1662">
        <v>371.11</v>
      </c>
      <c r="K1662">
        <f t="shared" si="228"/>
        <v>2968.88</v>
      </c>
      <c r="L1662">
        <f t="shared" si="234"/>
        <v>0</v>
      </c>
      <c r="M1662">
        <f t="shared" si="226"/>
        <v>0</v>
      </c>
      <c r="N1662">
        <f t="shared" si="229"/>
        <v>0</v>
      </c>
      <c r="O1662">
        <f t="shared" si="230"/>
        <v>1803.8376000000001</v>
      </c>
      <c r="P1662">
        <f t="shared" si="231"/>
        <v>450.95940000000002</v>
      </c>
      <c r="Q1662">
        <f t="shared" si="232"/>
        <v>460.15897175999999</v>
      </c>
      <c r="R1662">
        <f t="shared" si="233"/>
        <v>240.07679999999999</v>
      </c>
      <c r="S1662">
        <f t="shared" si="227"/>
        <v>2968.88</v>
      </c>
    </row>
    <row r="1663" spans="1:19" x14ac:dyDescent="0.25">
      <c r="A1663">
        <v>1793</v>
      </c>
      <c r="B1663">
        <v>1387</v>
      </c>
      <c r="C1663" t="s">
        <v>32</v>
      </c>
      <c r="D1663" t="s">
        <v>173</v>
      </c>
      <c r="E1663">
        <v>180</v>
      </c>
      <c r="F1663">
        <v>14.44</v>
      </c>
      <c r="G1663">
        <v>2.69</v>
      </c>
      <c r="H1663">
        <v>26.88</v>
      </c>
      <c r="I1663">
        <v>0.8</v>
      </c>
      <c r="J1663">
        <v>77.06</v>
      </c>
      <c r="K1663">
        <f t="shared" si="228"/>
        <v>13870.800000000001</v>
      </c>
      <c r="L1663">
        <f t="shared" si="234"/>
        <v>13870.800000000001</v>
      </c>
      <c r="M1663">
        <f t="shared" si="226"/>
        <v>6991.848</v>
      </c>
      <c r="N1663">
        <f t="shared" si="229"/>
        <v>1747.962</v>
      </c>
      <c r="O1663">
        <f t="shared" si="230"/>
        <v>6991.848</v>
      </c>
      <c r="P1663">
        <f t="shared" si="231"/>
        <v>1747.962</v>
      </c>
      <c r="Q1663">
        <f t="shared" si="232"/>
        <v>1783.6204247999999</v>
      </c>
      <c r="R1663">
        <f t="shared" si="233"/>
        <v>3870.72</v>
      </c>
      <c r="S1663">
        <f t="shared" si="227"/>
        <v>13870.800000000001</v>
      </c>
    </row>
    <row r="1664" spans="1:19" x14ac:dyDescent="0.25">
      <c r="A1664">
        <v>1794</v>
      </c>
      <c r="B1664">
        <v>1387</v>
      </c>
      <c r="C1664" t="s">
        <v>32</v>
      </c>
      <c r="D1664" t="s">
        <v>173</v>
      </c>
      <c r="E1664">
        <v>17</v>
      </c>
      <c r="F1664">
        <v>15.06</v>
      </c>
      <c r="G1664">
        <v>2.7</v>
      </c>
      <c r="H1664">
        <v>28.44</v>
      </c>
      <c r="I1664">
        <v>0.81</v>
      </c>
      <c r="J1664">
        <v>81.25</v>
      </c>
      <c r="K1664">
        <f t="shared" si="228"/>
        <v>1381.25</v>
      </c>
      <c r="L1664">
        <f t="shared" si="234"/>
        <v>1381.25</v>
      </c>
      <c r="M1664">
        <f t="shared" si="226"/>
        <v>691.25400000000013</v>
      </c>
      <c r="N1664">
        <f t="shared" si="229"/>
        <v>172.81350000000003</v>
      </c>
      <c r="O1664">
        <f t="shared" si="230"/>
        <v>691.25400000000013</v>
      </c>
      <c r="P1664">
        <f t="shared" si="231"/>
        <v>172.81350000000003</v>
      </c>
      <c r="Q1664">
        <f t="shared" si="232"/>
        <v>176.33889540000004</v>
      </c>
      <c r="R1664">
        <f t="shared" si="233"/>
        <v>391.61880000000008</v>
      </c>
      <c r="S1664">
        <f t="shared" si="227"/>
        <v>1381.25</v>
      </c>
    </row>
    <row r="1665" spans="1:19" x14ac:dyDescent="0.25">
      <c r="A1665">
        <v>1795</v>
      </c>
      <c r="B1665">
        <v>1387</v>
      </c>
      <c r="C1665" t="s">
        <v>32</v>
      </c>
      <c r="D1665" t="s">
        <v>172</v>
      </c>
      <c r="E1665">
        <v>19</v>
      </c>
      <c r="F1665">
        <v>19.13</v>
      </c>
      <c r="G1665">
        <v>11.19</v>
      </c>
      <c r="H1665">
        <v>34.21</v>
      </c>
      <c r="I1665">
        <v>0.94</v>
      </c>
      <c r="J1665">
        <v>356.69</v>
      </c>
      <c r="K1665">
        <f t="shared" si="228"/>
        <v>6777.11</v>
      </c>
      <c r="L1665">
        <f t="shared" si="234"/>
        <v>0</v>
      </c>
      <c r="M1665">
        <f t="shared" si="226"/>
        <v>0</v>
      </c>
      <c r="N1665">
        <f t="shared" si="229"/>
        <v>0</v>
      </c>
      <c r="O1665">
        <f t="shared" si="230"/>
        <v>4067.2292999999995</v>
      </c>
      <c r="P1665">
        <f t="shared" si="231"/>
        <v>1016.8073249999999</v>
      </c>
      <c r="Q1665">
        <f t="shared" si="232"/>
        <v>1037.5501944299999</v>
      </c>
      <c r="R1665">
        <f t="shared" si="233"/>
        <v>610.99059999999997</v>
      </c>
      <c r="S1665">
        <f t="shared" si="227"/>
        <v>6777.11</v>
      </c>
    </row>
    <row r="1666" spans="1:19" x14ac:dyDescent="0.25">
      <c r="A1666">
        <v>1796</v>
      </c>
      <c r="B1666">
        <v>1387</v>
      </c>
      <c r="C1666" t="s">
        <v>32</v>
      </c>
      <c r="D1666" t="s">
        <v>172</v>
      </c>
      <c r="E1666">
        <v>17</v>
      </c>
      <c r="F1666">
        <v>18.940000000000001</v>
      </c>
      <c r="G1666">
        <v>11.22</v>
      </c>
      <c r="H1666">
        <v>30.84</v>
      </c>
      <c r="I1666">
        <v>1.01</v>
      </c>
      <c r="J1666">
        <v>353.17</v>
      </c>
      <c r="K1666">
        <f t="shared" si="228"/>
        <v>6003.89</v>
      </c>
      <c r="L1666">
        <f t="shared" si="234"/>
        <v>0</v>
      </c>
      <c r="M1666">
        <f t="shared" ref="M1666:M1703" si="235">IF(D1666="SHOES",O1666,0)</f>
        <v>0</v>
      </c>
      <c r="N1666">
        <f t="shared" si="229"/>
        <v>0</v>
      </c>
      <c r="O1666">
        <f t="shared" si="230"/>
        <v>3612.6156000000005</v>
      </c>
      <c r="P1666">
        <f t="shared" si="231"/>
        <v>903.15390000000014</v>
      </c>
      <c r="Q1666">
        <f t="shared" si="232"/>
        <v>921.57823956000016</v>
      </c>
      <c r="R1666">
        <f t="shared" si="233"/>
        <v>529.52280000000007</v>
      </c>
      <c r="S1666">
        <f t="shared" ref="S1666:S1703" si="236">PRODUCT(J1666,E1666)</f>
        <v>6003.89</v>
      </c>
    </row>
    <row r="1667" spans="1:19" x14ac:dyDescent="0.25">
      <c r="A1667">
        <v>1797</v>
      </c>
      <c r="B1667">
        <v>1387</v>
      </c>
      <c r="C1667" t="s">
        <v>32</v>
      </c>
      <c r="D1667" t="s">
        <v>173</v>
      </c>
      <c r="E1667">
        <v>15</v>
      </c>
      <c r="F1667">
        <v>16.37</v>
      </c>
      <c r="G1667">
        <v>2.96</v>
      </c>
      <c r="H1667">
        <v>31.99</v>
      </c>
      <c r="I1667">
        <v>0.83</v>
      </c>
      <c r="J1667">
        <v>95.83</v>
      </c>
      <c r="K1667">
        <f t="shared" ref="K1667:K1703" si="237">E1667*J1667</f>
        <v>1437.45</v>
      </c>
      <c r="L1667">
        <f t="shared" si="234"/>
        <v>1437.45</v>
      </c>
      <c r="M1667">
        <f t="shared" si="235"/>
        <v>726.82799999999997</v>
      </c>
      <c r="N1667">
        <f t="shared" ref="N1667:N1703" si="238">IF(D1667="SHOES",P1667,0)</f>
        <v>181.70699999999999</v>
      </c>
      <c r="O1667">
        <f t="shared" ref="O1667:O1703" si="239">PRODUCT(E1667,G1667,F1667)</f>
        <v>726.82799999999997</v>
      </c>
      <c r="P1667">
        <f t="shared" ref="P1667:P1703" si="240">PRODUCT(O1667,0.25)</f>
        <v>181.70699999999999</v>
      </c>
      <c r="Q1667">
        <f t="shared" ref="Q1667:Q1703" si="241">PRODUCT(O1667,0.2551)</f>
        <v>185.41382279999999</v>
      </c>
      <c r="R1667">
        <f t="shared" si="233"/>
        <v>398.27549999999997</v>
      </c>
      <c r="S1667">
        <f t="shared" si="236"/>
        <v>1437.45</v>
      </c>
    </row>
    <row r="1668" spans="1:19" x14ac:dyDescent="0.25">
      <c r="A1668">
        <v>1798</v>
      </c>
      <c r="B1668">
        <v>1388</v>
      </c>
      <c r="C1668" t="s">
        <v>35</v>
      </c>
      <c r="D1668" t="s">
        <v>173</v>
      </c>
      <c r="E1668">
        <v>96</v>
      </c>
      <c r="F1668">
        <v>14.96</v>
      </c>
      <c r="G1668">
        <v>2.58</v>
      </c>
      <c r="H1668">
        <v>29.45</v>
      </c>
      <c r="I1668">
        <v>0.78</v>
      </c>
      <c r="J1668">
        <v>78.34</v>
      </c>
      <c r="K1668">
        <f t="shared" si="237"/>
        <v>7520.64</v>
      </c>
      <c r="L1668">
        <f t="shared" si="234"/>
        <v>7520.64</v>
      </c>
      <c r="M1668">
        <f t="shared" si="235"/>
        <v>3705.2928000000002</v>
      </c>
      <c r="N1668">
        <f t="shared" si="238"/>
        <v>926.32320000000004</v>
      </c>
      <c r="O1668">
        <f t="shared" si="239"/>
        <v>3705.2928000000002</v>
      </c>
      <c r="P1668">
        <f t="shared" si="240"/>
        <v>926.32320000000004</v>
      </c>
      <c r="Q1668">
        <f t="shared" si="241"/>
        <v>945.22019327999999</v>
      </c>
      <c r="R1668">
        <f t="shared" ref="R1668:R1703" si="242">PRODUCT(E1668,I1668,H1668)</f>
        <v>2205.2159999999999</v>
      </c>
      <c r="S1668">
        <f t="shared" si="236"/>
        <v>7520.64</v>
      </c>
    </row>
    <row r="1669" spans="1:19" x14ac:dyDescent="0.25">
      <c r="A1669">
        <v>1799</v>
      </c>
      <c r="B1669">
        <v>1388</v>
      </c>
      <c r="C1669" t="s">
        <v>35</v>
      </c>
      <c r="D1669" t="s">
        <v>173</v>
      </c>
      <c r="E1669">
        <v>13</v>
      </c>
      <c r="F1669">
        <v>14.85</v>
      </c>
      <c r="G1669">
        <v>2.91</v>
      </c>
      <c r="H1669">
        <v>27.06</v>
      </c>
      <c r="I1669">
        <v>0.81</v>
      </c>
      <c r="J1669">
        <v>83.53</v>
      </c>
      <c r="K1669">
        <f t="shared" si="237"/>
        <v>1085.8900000000001</v>
      </c>
      <c r="L1669">
        <f t="shared" si="234"/>
        <v>1085.8900000000001</v>
      </c>
      <c r="M1669">
        <f t="shared" si="235"/>
        <v>561.77549999999997</v>
      </c>
      <c r="N1669">
        <f t="shared" si="238"/>
        <v>140.44387499999999</v>
      </c>
      <c r="O1669">
        <f t="shared" si="239"/>
        <v>561.77549999999997</v>
      </c>
      <c r="P1669">
        <f t="shared" si="240"/>
        <v>140.44387499999999</v>
      </c>
      <c r="Q1669">
        <f t="shared" si="241"/>
        <v>143.30893004999999</v>
      </c>
      <c r="R1669">
        <f t="shared" si="242"/>
        <v>284.9418</v>
      </c>
      <c r="S1669">
        <f t="shared" si="236"/>
        <v>1085.8900000000001</v>
      </c>
    </row>
    <row r="1670" spans="1:19" x14ac:dyDescent="0.25">
      <c r="A1670">
        <v>1800</v>
      </c>
      <c r="B1670">
        <v>1388</v>
      </c>
      <c r="C1670" t="s">
        <v>35</v>
      </c>
      <c r="D1670" t="s">
        <v>172</v>
      </c>
      <c r="E1670">
        <v>25</v>
      </c>
      <c r="F1670">
        <v>19.23</v>
      </c>
      <c r="G1670">
        <v>11.34</v>
      </c>
      <c r="H1670">
        <v>29.59</v>
      </c>
      <c r="I1670">
        <v>1.05</v>
      </c>
      <c r="J1670">
        <v>361.35</v>
      </c>
      <c r="K1670">
        <f t="shared" si="237"/>
        <v>9033.75</v>
      </c>
      <c r="L1670">
        <f t="shared" si="234"/>
        <v>0</v>
      </c>
      <c r="M1670">
        <f t="shared" si="235"/>
        <v>0</v>
      </c>
      <c r="N1670">
        <f t="shared" si="238"/>
        <v>0</v>
      </c>
      <c r="O1670">
        <f t="shared" si="239"/>
        <v>5451.7049999999999</v>
      </c>
      <c r="P1670">
        <f t="shared" si="240"/>
        <v>1362.92625</v>
      </c>
      <c r="Q1670">
        <f t="shared" si="241"/>
        <v>1390.7299455</v>
      </c>
      <c r="R1670">
        <f t="shared" si="242"/>
        <v>776.73749999999995</v>
      </c>
      <c r="S1670">
        <f t="shared" si="236"/>
        <v>9033.75</v>
      </c>
    </row>
    <row r="1671" spans="1:19" x14ac:dyDescent="0.25">
      <c r="A1671">
        <v>1801</v>
      </c>
      <c r="B1671">
        <v>1388</v>
      </c>
      <c r="C1671" t="s">
        <v>35</v>
      </c>
      <c r="D1671" t="s">
        <v>172</v>
      </c>
      <c r="E1671">
        <v>29</v>
      </c>
      <c r="F1671">
        <v>19.89</v>
      </c>
      <c r="G1671">
        <v>10.77</v>
      </c>
      <c r="H1671">
        <v>26.3</v>
      </c>
      <c r="I1671">
        <v>0.86</v>
      </c>
      <c r="J1671">
        <v>345.56</v>
      </c>
      <c r="K1671">
        <f t="shared" si="237"/>
        <v>10021.24</v>
      </c>
      <c r="L1671">
        <f t="shared" ref="L1671:L1703" si="243">IF(D1671="SHOES",E1671*J1671,0)</f>
        <v>0</v>
      </c>
      <c r="M1671">
        <f t="shared" si="235"/>
        <v>0</v>
      </c>
      <c r="N1671">
        <f t="shared" si="238"/>
        <v>0</v>
      </c>
      <c r="O1671">
        <f t="shared" si="239"/>
        <v>6212.2437</v>
      </c>
      <c r="P1671">
        <f t="shared" si="240"/>
        <v>1553.060925</v>
      </c>
      <c r="Q1671">
        <f t="shared" si="241"/>
        <v>1584.7433678699999</v>
      </c>
      <c r="R1671">
        <f t="shared" si="242"/>
        <v>655.92200000000003</v>
      </c>
      <c r="S1671">
        <f t="shared" si="236"/>
        <v>10021.24</v>
      </c>
    </row>
    <row r="1672" spans="1:19" x14ac:dyDescent="0.25">
      <c r="A1672">
        <v>1802</v>
      </c>
      <c r="B1672">
        <v>1388</v>
      </c>
      <c r="C1672" t="s">
        <v>35</v>
      </c>
      <c r="D1672" t="s">
        <v>173</v>
      </c>
      <c r="E1672">
        <v>39</v>
      </c>
      <c r="F1672">
        <v>15.84</v>
      </c>
      <c r="G1672">
        <v>3.02</v>
      </c>
      <c r="H1672">
        <v>29.61</v>
      </c>
      <c r="I1672">
        <v>0.82</v>
      </c>
      <c r="J1672">
        <v>92.48</v>
      </c>
      <c r="K1672">
        <f t="shared" si="237"/>
        <v>3606.7200000000003</v>
      </c>
      <c r="L1672">
        <f t="shared" si="243"/>
        <v>3606.7200000000003</v>
      </c>
      <c r="M1672">
        <f t="shared" si="235"/>
        <v>1865.6351999999999</v>
      </c>
      <c r="N1672">
        <f t="shared" si="238"/>
        <v>466.40879999999999</v>
      </c>
      <c r="O1672">
        <f t="shared" si="239"/>
        <v>1865.6351999999999</v>
      </c>
      <c r="P1672">
        <f t="shared" si="240"/>
        <v>466.40879999999999</v>
      </c>
      <c r="Q1672">
        <f t="shared" si="241"/>
        <v>475.92353951999996</v>
      </c>
      <c r="R1672">
        <f t="shared" si="242"/>
        <v>946.92779999999993</v>
      </c>
      <c r="S1672">
        <f t="shared" si="236"/>
        <v>3606.7200000000003</v>
      </c>
    </row>
    <row r="1673" spans="1:19" x14ac:dyDescent="0.25">
      <c r="A1673">
        <v>1803</v>
      </c>
      <c r="B1673">
        <v>1388</v>
      </c>
      <c r="C1673" t="s">
        <v>35</v>
      </c>
      <c r="D1673" t="s">
        <v>173</v>
      </c>
      <c r="E1673">
        <v>17</v>
      </c>
      <c r="F1673">
        <v>13.73</v>
      </c>
      <c r="G1673">
        <v>2.76</v>
      </c>
      <c r="H1673">
        <v>34.229999999999997</v>
      </c>
      <c r="I1673">
        <v>0.8</v>
      </c>
      <c r="J1673">
        <v>82.23</v>
      </c>
      <c r="K1673">
        <f t="shared" si="237"/>
        <v>1397.91</v>
      </c>
      <c r="L1673">
        <f t="shared" si="243"/>
        <v>1397.91</v>
      </c>
      <c r="M1673">
        <f t="shared" si="235"/>
        <v>644.21159999999998</v>
      </c>
      <c r="N1673">
        <f t="shared" si="238"/>
        <v>161.05289999999999</v>
      </c>
      <c r="O1673">
        <f t="shared" si="239"/>
        <v>644.21159999999998</v>
      </c>
      <c r="P1673">
        <f t="shared" si="240"/>
        <v>161.05289999999999</v>
      </c>
      <c r="Q1673">
        <f t="shared" si="241"/>
        <v>164.33837915999999</v>
      </c>
      <c r="R1673">
        <f t="shared" si="242"/>
        <v>465.52800000000002</v>
      </c>
      <c r="S1673">
        <f t="shared" si="236"/>
        <v>1397.91</v>
      </c>
    </row>
    <row r="1674" spans="1:19" x14ac:dyDescent="0.25">
      <c r="A1674">
        <v>1804</v>
      </c>
      <c r="B1674">
        <v>1388</v>
      </c>
      <c r="C1674" t="s">
        <v>35</v>
      </c>
      <c r="D1674" t="s">
        <v>173</v>
      </c>
      <c r="E1674">
        <v>118</v>
      </c>
      <c r="F1674">
        <v>14.12</v>
      </c>
      <c r="G1674">
        <v>2.64</v>
      </c>
      <c r="H1674">
        <v>36.630000000000003</v>
      </c>
      <c r="I1674">
        <v>0.78</v>
      </c>
      <c r="J1674">
        <v>82.68</v>
      </c>
      <c r="K1674">
        <f t="shared" si="237"/>
        <v>9756.2400000000016</v>
      </c>
      <c r="L1674">
        <f t="shared" si="243"/>
        <v>9756.2400000000016</v>
      </c>
      <c r="M1674">
        <f t="shared" si="235"/>
        <v>4398.6624000000002</v>
      </c>
      <c r="N1674">
        <f t="shared" si="238"/>
        <v>1099.6656</v>
      </c>
      <c r="O1674">
        <f t="shared" si="239"/>
        <v>4398.6624000000002</v>
      </c>
      <c r="P1674">
        <f t="shared" si="240"/>
        <v>1099.6656</v>
      </c>
      <c r="Q1674">
        <f t="shared" si="241"/>
        <v>1122.09877824</v>
      </c>
      <c r="R1674">
        <f t="shared" si="242"/>
        <v>3371.4252000000006</v>
      </c>
      <c r="S1674">
        <f t="shared" si="236"/>
        <v>9756.2400000000016</v>
      </c>
    </row>
    <row r="1675" spans="1:19" x14ac:dyDescent="0.25">
      <c r="A1675">
        <v>1805</v>
      </c>
      <c r="B1675">
        <v>1388</v>
      </c>
      <c r="C1675" t="s">
        <v>35</v>
      </c>
      <c r="D1675" t="s">
        <v>172</v>
      </c>
      <c r="E1675">
        <v>15</v>
      </c>
      <c r="F1675">
        <v>20.079999999999998</v>
      </c>
      <c r="G1675">
        <v>10.64</v>
      </c>
      <c r="H1675">
        <v>35.299999999999997</v>
      </c>
      <c r="I1675">
        <v>1.1200000000000001</v>
      </c>
      <c r="J1675">
        <v>300.77</v>
      </c>
      <c r="K1675">
        <f t="shared" si="237"/>
        <v>4511.5499999999993</v>
      </c>
      <c r="L1675">
        <f t="shared" si="243"/>
        <v>0</v>
      </c>
      <c r="M1675">
        <f t="shared" si="235"/>
        <v>0</v>
      </c>
      <c r="N1675">
        <f t="shared" si="238"/>
        <v>0</v>
      </c>
      <c r="O1675">
        <f t="shared" si="239"/>
        <v>3204.768</v>
      </c>
      <c r="P1675">
        <f t="shared" si="240"/>
        <v>801.19200000000001</v>
      </c>
      <c r="Q1675">
        <f t="shared" si="241"/>
        <v>817.53631680000001</v>
      </c>
      <c r="R1675">
        <f t="shared" si="242"/>
        <v>593.04</v>
      </c>
      <c r="S1675">
        <f t="shared" si="236"/>
        <v>4511.5499999999993</v>
      </c>
    </row>
    <row r="1676" spans="1:19" x14ac:dyDescent="0.25">
      <c r="A1676">
        <v>1806</v>
      </c>
      <c r="B1676">
        <v>1388</v>
      </c>
      <c r="C1676" t="s">
        <v>35</v>
      </c>
      <c r="D1676" t="s">
        <v>172</v>
      </c>
      <c r="E1676">
        <v>12</v>
      </c>
      <c r="F1676">
        <v>20.63</v>
      </c>
      <c r="G1676">
        <v>10.75</v>
      </c>
      <c r="H1676">
        <v>33.44</v>
      </c>
      <c r="I1676">
        <v>0.93</v>
      </c>
      <c r="J1676">
        <v>302.45999999999998</v>
      </c>
      <c r="K1676">
        <f t="shared" si="237"/>
        <v>3629.5199999999995</v>
      </c>
      <c r="L1676">
        <f t="shared" si="243"/>
        <v>0</v>
      </c>
      <c r="M1676">
        <f t="shared" si="235"/>
        <v>0</v>
      </c>
      <c r="N1676">
        <f t="shared" si="238"/>
        <v>0</v>
      </c>
      <c r="O1676">
        <f t="shared" si="239"/>
        <v>2661.27</v>
      </c>
      <c r="P1676">
        <f t="shared" si="240"/>
        <v>665.3175</v>
      </c>
      <c r="Q1676">
        <f t="shared" si="241"/>
        <v>678.88997699999993</v>
      </c>
      <c r="R1676">
        <f t="shared" si="242"/>
        <v>373.19039999999995</v>
      </c>
      <c r="S1676">
        <f t="shared" si="236"/>
        <v>3629.5199999999995</v>
      </c>
    </row>
    <row r="1677" spans="1:19" x14ac:dyDescent="0.25">
      <c r="A1677">
        <v>1807</v>
      </c>
      <c r="B1677">
        <v>1388</v>
      </c>
      <c r="C1677" t="s">
        <v>35</v>
      </c>
      <c r="D1677" t="s">
        <v>173</v>
      </c>
      <c r="E1677">
        <v>21</v>
      </c>
      <c r="F1677">
        <v>14.88</v>
      </c>
      <c r="G1677">
        <v>2.87</v>
      </c>
      <c r="H1677">
        <v>29.98</v>
      </c>
      <c r="I1677">
        <v>0.77</v>
      </c>
      <c r="J1677">
        <v>84.11</v>
      </c>
      <c r="K1677">
        <f t="shared" si="237"/>
        <v>1766.31</v>
      </c>
      <c r="L1677">
        <f t="shared" si="243"/>
        <v>1766.31</v>
      </c>
      <c r="M1677">
        <f t="shared" si="235"/>
        <v>896.81760000000008</v>
      </c>
      <c r="N1677">
        <f t="shared" si="238"/>
        <v>224.20440000000002</v>
      </c>
      <c r="O1677">
        <f t="shared" si="239"/>
        <v>896.81760000000008</v>
      </c>
      <c r="P1677">
        <f t="shared" si="240"/>
        <v>224.20440000000002</v>
      </c>
      <c r="Q1677">
        <f t="shared" si="241"/>
        <v>228.77816976000003</v>
      </c>
      <c r="R1677">
        <f t="shared" si="242"/>
        <v>484.77660000000003</v>
      </c>
      <c r="S1677">
        <f t="shared" si="236"/>
        <v>1766.31</v>
      </c>
    </row>
    <row r="1678" spans="1:19" x14ac:dyDescent="0.25">
      <c r="A1678">
        <v>1808</v>
      </c>
      <c r="B1678">
        <v>1388</v>
      </c>
      <c r="C1678" t="s">
        <v>35</v>
      </c>
      <c r="D1678" t="s">
        <v>173</v>
      </c>
      <c r="E1678">
        <v>7</v>
      </c>
      <c r="F1678">
        <v>15.39</v>
      </c>
      <c r="G1678">
        <v>3.1</v>
      </c>
      <c r="H1678">
        <v>37.99</v>
      </c>
      <c r="I1678">
        <v>0.8</v>
      </c>
      <c r="J1678">
        <v>99.03</v>
      </c>
      <c r="K1678">
        <f t="shared" si="237"/>
        <v>693.21</v>
      </c>
      <c r="L1678">
        <f t="shared" si="243"/>
        <v>693.21</v>
      </c>
      <c r="M1678">
        <f t="shared" si="235"/>
        <v>333.96300000000002</v>
      </c>
      <c r="N1678">
        <f t="shared" si="238"/>
        <v>83.490750000000006</v>
      </c>
      <c r="O1678">
        <f t="shared" si="239"/>
        <v>333.96300000000002</v>
      </c>
      <c r="P1678">
        <f t="shared" si="240"/>
        <v>83.490750000000006</v>
      </c>
      <c r="Q1678">
        <f t="shared" si="241"/>
        <v>85.193961299999998</v>
      </c>
      <c r="R1678">
        <f t="shared" si="242"/>
        <v>212.74400000000003</v>
      </c>
      <c r="S1678">
        <f t="shared" si="236"/>
        <v>693.21</v>
      </c>
    </row>
    <row r="1679" spans="1:19" x14ac:dyDescent="0.25">
      <c r="A1679">
        <v>1809</v>
      </c>
      <c r="B1679">
        <v>1389</v>
      </c>
      <c r="C1679" t="s">
        <v>35</v>
      </c>
      <c r="D1679" t="s">
        <v>172</v>
      </c>
      <c r="E1679">
        <v>13</v>
      </c>
      <c r="F1679">
        <v>19.43</v>
      </c>
      <c r="G1679">
        <v>9.92</v>
      </c>
      <c r="H1679">
        <v>34.17</v>
      </c>
      <c r="I1679">
        <v>1.06</v>
      </c>
      <c r="J1679">
        <v>329.81</v>
      </c>
      <c r="K1679">
        <f t="shared" si="237"/>
        <v>4287.53</v>
      </c>
      <c r="L1679">
        <f t="shared" si="243"/>
        <v>0</v>
      </c>
      <c r="M1679">
        <f t="shared" si="235"/>
        <v>0</v>
      </c>
      <c r="N1679">
        <f t="shared" si="238"/>
        <v>0</v>
      </c>
      <c r="O1679">
        <f t="shared" si="239"/>
        <v>2505.6928000000003</v>
      </c>
      <c r="P1679">
        <f t="shared" si="240"/>
        <v>626.42320000000007</v>
      </c>
      <c r="Q1679">
        <f t="shared" si="241"/>
        <v>639.20223328000009</v>
      </c>
      <c r="R1679">
        <f t="shared" si="242"/>
        <v>470.86260000000004</v>
      </c>
      <c r="S1679">
        <f t="shared" si="236"/>
        <v>4287.53</v>
      </c>
    </row>
    <row r="1680" spans="1:19" x14ac:dyDescent="0.25">
      <c r="A1680">
        <v>1810</v>
      </c>
      <c r="B1680">
        <v>1389</v>
      </c>
      <c r="C1680" t="s">
        <v>35</v>
      </c>
      <c r="D1680" t="s">
        <v>172</v>
      </c>
      <c r="E1680">
        <v>21</v>
      </c>
      <c r="F1680">
        <v>19.399999999999999</v>
      </c>
      <c r="G1680">
        <v>10.08</v>
      </c>
      <c r="H1680">
        <v>29.73</v>
      </c>
      <c r="I1680">
        <v>1.07</v>
      </c>
      <c r="J1680">
        <v>328.74</v>
      </c>
      <c r="K1680">
        <f t="shared" si="237"/>
        <v>6903.54</v>
      </c>
      <c r="L1680">
        <f t="shared" si="243"/>
        <v>0</v>
      </c>
      <c r="M1680">
        <f t="shared" si="235"/>
        <v>0</v>
      </c>
      <c r="N1680">
        <f t="shared" si="238"/>
        <v>0</v>
      </c>
      <c r="O1680">
        <f t="shared" si="239"/>
        <v>4106.5919999999996</v>
      </c>
      <c r="P1680">
        <f t="shared" si="240"/>
        <v>1026.6479999999999</v>
      </c>
      <c r="Q1680">
        <f t="shared" si="241"/>
        <v>1047.5916192</v>
      </c>
      <c r="R1680">
        <f t="shared" si="242"/>
        <v>668.0331000000001</v>
      </c>
      <c r="S1680">
        <f t="shared" si="236"/>
        <v>6903.54</v>
      </c>
    </row>
    <row r="1681" spans="1:19" x14ac:dyDescent="0.25">
      <c r="A1681">
        <v>1811</v>
      </c>
      <c r="B1681">
        <v>1389</v>
      </c>
      <c r="C1681" t="s">
        <v>35</v>
      </c>
      <c r="D1681" t="s">
        <v>173</v>
      </c>
      <c r="E1681">
        <v>8</v>
      </c>
      <c r="F1681">
        <v>15.01</v>
      </c>
      <c r="G1681">
        <v>2.86</v>
      </c>
      <c r="H1681">
        <v>32.979999999999997</v>
      </c>
      <c r="I1681">
        <v>0.84</v>
      </c>
      <c r="J1681">
        <v>89.5</v>
      </c>
      <c r="K1681">
        <f t="shared" si="237"/>
        <v>716</v>
      </c>
      <c r="L1681">
        <f t="shared" si="243"/>
        <v>716</v>
      </c>
      <c r="M1681">
        <f t="shared" si="235"/>
        <v>343.42879999999997</v>
      </c>
      <c r="N1681">
        <f t="shared" si="238"/>
        <v>85.857199999999992</v>
      </c>
      <c r="O1681">
        <f t="shared" si="239"/>
        <v>343.42879999999997</v>
      </c>
      <c r="P1681">
        <f t="shared" si="240"/>
        <v>85.857199999999992</v>
      </c>
      <c r="Q1681">
        <f t="shared" si="241"/>
        <v>87.608686879999993</v>
      </c>
      <c r="R1681">
        <f t="shared" si="242"/>
        <v>221.62559999999996</v>
      </c>
      <c r="S1681">
        <f t="shared" si="236"/>
        <v>716</v>
      </c>
    </row>
    <row r="1682" spans="1:19" x14ac:dyDescent="0.25">
      <c r="A1682">
        <v>1812</v>
      </c>
      <c r="B1682">
        <v>1389</v>
      </c>
      <c r="C1682" t="s">
        <v>35</v>
      </c>
      <c r="D1682" t="s">
        <v>172</v>
      </c>
      <c r="E1682">
        <v>20</v>
      </c>
      <c r="F1682">
        <v>18.649999999999999</v>
      </c>
      <c r="G1682">
        <v>11.02</v>
      </c>
      <c r="H1682">
        <v>33.28</v>
      </c>
      <c r="I1682">
        <v>0.92</v>
      </c>
      <c r="J1682">
        <v>342.15</v>
      </c>
      <c r="K1682">
        <f t="shared" si="237"/>
        <v>6843</v>
      </c>
      <c r="L1682">
        <f t="shared" si="243"/>
        <v>0</v>
      </c>
      <c r="M1682">
        <f t="shared" si="235"/>
        <v>0</v>
      </c>
      <c r="N1682">
        <f t="shared" si="238"/>
        <v>0</v>
      </c>
      <c r="O1682">
        <f t="shared" si="239"/>
        <v>4110.4599999999991</v>
      </c>
      <c r="P1682">
        <f t="shared" si="240"/>
        <v>1027.6149999999998</v>
      </c>
      <c r="Q1682">
        <f t="shared" si="241"/>
        <v>1048.5783459999998</v>
      </c>
      <c r="R1682">
        <f t="shared" si="242"/>
        <v>612.35200000000009</v>
      </c>
      <c r="S1682">
        <f t="shared" si="236"/>
        <v>6843</v>
      </c>
    </row>
    <row r="1683" spans="1:19" x14ac:dyDescent="0.25">
      <c r="A1683">
        <v>1813</v>
      </c>
      <c r="B1683">
        <v>1389</v>
      </c>
      <c r="C1683" t="s">
        <v>35</v>
      </c>
      <c r="D1683" t="s">
        <v>172</v>
      </c>
      <c r="E1683">
        <v>11</v>
      </c>
      <c r="F1683">
        <v>21.8</v>
      </c>
      <c r="G1683">
        <v>12.09</v>
      </c>
      <c r="H1683">
        <v>33.39</v>
      </c>
      <c r="I1683">
        <v>0.9</v>
      </c>
      <c r="J1683">
        <v>427.81</v>
      </c>
      <c r="K1683">
        <f t="shared" si="237"/>
        <v>4705.91</v>
      </c>
      <c r="L1683">
        <f t="shared" si="243"/>
        <v>0</v>
      </c>
      <c r="M1683">
        <f t="shared" si="235"/>
        <v>0</v>
      </c>
      <c r="N1683">
        <f t="shared" si="238"/>
        <v>0</v>
      </c>
      <c r="O1683">
        <f t="shared" si="239"/>
        <v>2899.1820000000002</v>
      </c>
      <c r="P1683">
        <f t="shared" si="240"/>
        <v>724.79550000000006</v>
      </c>
      <c r="Q1683">
        <f t="shared" si="241"/>
        <v>739.58132820000003</v>
      </c>
      <c r="R1683">
        <f t="shared" si="242"/>
        <v>330.56100000000004</v>
      </c>
      <c r="S1683">
        <f t="shared" si="236"/>
        <v>4705.91</v>
      </c>
    </row>
    <row r="1684" spans="1:19" x14ac:dyDescent="0.25">
      <c r="A1684">
        <v>1814</v>
      </c>
      <c r="B1684">
        <v>1389</v>
      </c>
      <c r="C1684" t="s">
        <v>35</v>
      </c>
      <c r="D1684" t="s">
        <v>172</v>
      </c>
      <c r="E1684">
        <v>10</v>
      </c>
      <c r="F1684">
        <v>20.420000000000002</v>
      </c>
      <c r="G1684">
        <v>11.32</v>
      </c>
      <c r="H1684">
        <v>33.67</v>
      </c>
      <c r="I1684">
        <v>0.96</v>
      </c>
      <c r="J1684">
        <v>382.31</v>
      </c>
      <c r="K1684">
        <f t="shared" si="237"/>
        <v>3823.1</v>
      </c>
      <c r="L1684">
        <f t="shared" si="243"/>
        <v>0</v>
      </c>
      <c r="M1684">
        <f t="shared" si="235"/>
        <v>0</v>
      </c>
      <c r="N1684">
        <f t="shared" si="238"/>
        <v>0</v>
      </c>
      <c r="O1684">
        <f t="shared" si="239"/>
        <v>2311.5440000000003</v>
      </c>
      <c r="P1684">
        <f t="shared" si="240"/>
        <v>577.88600000000008</v>
      </c>
      <c r="Q1684">
        <f t="shared" si="241"/>
        <v>589.67487440000002</v>
      </c>
      <c r="R1684">
        <f t="shared" si="242"/>
        <v>323.23200000000003</v>
      </c>
      <c r="S1684">
        <f t="shared" si="236"/>
        <v>3823.1</v>
      </c>
    </row>
    <row r="1685" spans="1:19" x14ac:dyDescent="0.25">
      <c r="A1685">
        <v>1815</v>
      </c>
      <c r="B1685">
        <v>1389</v>
      </c>
      <c r="C1685" t="s">
        <v>35</v>
      </c>
      <c r="D1685" t="s">
        <v>173</v>
      </c>
      <c r="E1685">
        <v>18</v>
      </c>
      <c r="F1685">
        <v>16.350000000000001</v>
      </c>
      <c r="G1685">
        <v>2.94</v>
      </c>
      <c r="H1685">
        <v>30.94</v>
      </c>
      <c r="I1685">
        <v>0.8</v>
      </c>
      <c r="J1685">
        <v>93.32</v>
      </c>
      <c r="K1685">
        <f t="shared" si="237"/>
        <v>1679.7599999999998</v>
      </c>
      <c r="L1685">
        <f t="shared" si="243"/>
        <v>1679.7599999999998</v>
      </c>
      <c r="M1685">
        <f t="shared" si="235"/>
        <v>865.24200000000008</v>
      </c>
      <c r="N1685">
        <f t="shared" si="238"/>
        <v>216.31050000000002</v>
      </c>
      <c r="O1685">
        <f t="shared" si="239"/>
        <v>865.24200000000008</v>
      </c>
      <c r="P1685">
        <f t="shared" si="240"/>
        <v>216.31050000000002</v>
      </c>
      <c r="Q1685">
        <f t="shared" si="241"/>
        <v>220.72323420000001</v>
      </c>
      <c r="R1685">
        <f t="shared" si="242"/>
        <v>445.536</v>
      </c>
      <c r="S1685">
        <f t="shared" si="236"/>
        <v>1679.7599999999998</v>
      </c>
    </row>
    <row r="1686" spans="1:19" x14ac:dyDescent="0.25">
      <c r="A1686">
        <v>1816</v>
      </c>
      <c r="B1686">
        <v>1389</v>
      </c>
      <c r="C1686" t="s">
        <v>35</v>
      </c>
      <c r="D1686" t="s">
        <v>173</v>
      </c>
      <c r="E1686">
        <v>15</v>
      </c>
      <c r="F1686">
        <v>14.84</v>
      </c>
      <c r="G1686">
        <v>2.67</v>
      </c>
      <c r="H1686">
        <v>29.36</v>
      </c>
      <c r="I1686">
        <v>0.8</v>
      </c>
      <c r="J1686">
        <v>80.319999999999993</v>
      </c>
      <c r="K1686">
        <f t="shared" si="237"/>
        <v>1204.8</v>
      </c>
      <c r="L1686">
        <f t="shared" si="243"/>
        <v>1204.8</v>
      </c>
      <c r="M1686">
        <f t="shared" si="235"/>
        <v>594.34199999999998</v>
      </c>
      <c r="N1686">
        <f t="shared" si="238"/>
        <v>148.5855</v>
      </c>
      <c r="O1686">
        <f t="shared" si="239"/>
        <v>594.34199999999998</v>
      </c>
      <c r="P1686">
        <f t="shared" si="240"/>
        <v>148.5855</v>
      </c>
      <c r="Q1686">
        <f t="shared" si="241"/>
        <v>151.6166442</v>
      </c>
      <c r="R1686">
        <f t="shared" si="242"/>
        <v>352.32</v>
      </c>
      <c r="S1686">
        <f t="shared" si="236"/>
        <v>1204.8</v>
      </c>
    </row>
    <row r="1687" spans="1:19" x14ac:dyDescent="0.25">
      <c r="A1687">
        <v>1817</v>
      </c>
      <c r="B1687">
        <v>1389</v>
      </c>
      <c r="C1687" t="s">
        <v>35</v>
      </c>
      <c r="D1687" t="s">
        <v>173</v>
      </c>
      <c r="E1687">
        <v>17</v>
      </c>
      <c r="F1687">
        <v>15.4</v>
      </c>
      <c r="G1687">
        <v>2.79</v>
      </c>
      <c r="H1687">
        <v>31.5</v>
      </c>
      <c r="I1687">
        <v>0.78</v>
      </c>
      <c r="J1687">
        <v>86.11</v>
      </c>
      <c r="K1687">
        <f t="shared" si="237"/>
        <v>1463.87</v>
      </c>
      <c r="L1687">
        <f t="shared" si="243"/>
        <v>1463.87</v>
      </c>
      <c r="M1687">
        <f t="shared" si="235"/>
        <v>730.42200000000003</v>
      </c>
      <c r="N1687">
        <f t="shared" si="238"/>
        <v>182.60550000000001</v>
      </c>
      <c r="O1687">
        <f t="shared" si="239"/>
        <v>730.42200000000003</v>
      </c>
      <c r="P1687">
        <f t="shared" si="240"/>
        <v>182.60550000000001</v>
      </c>
      <c r="Q1687">
        <f t="shared" si="241"/>
        <v>186.3306522</v>
      </c>
      <c r="R1687">
        <f t="shared" si="242"/>
        <v>417.69</v>
      </c>
      <c r="S1687">
        <f t="shared" si="236"/>
        <v>1463.87</v>
      </c>
    </row>
    <row r="1688" spans="1:19" x14ac:dyDescent="0.25">
      <c r="A1688">
        <v>1818</v>
      </c>
      <c r="B1688">
        <v>1389</v>
      </c>
      <c r="C1688" t="s">
        <v>35</v>
      </c>
      <c r="D1688" t="s">
        <v>173</v>
      </c>
      <c r="E1688">
        <v>23</v>
      </c>
      <c r="F1688">
        <v>14.93</v>
      </c>
      <c r="G1688">
        <v>2.78</v>
      </c>
      <c r="H1688">
        <v>31.89</v>
      </c>
      <c r="I1688">
        <v>0.82</v>
      </c>
      <c r="J1688">
        <v>85.83</v>
      </c>
      <c r="K1688">
        <f t="shared" si="237"/>
        <v>1974.09</v>
      </c>
      <c r="L1688">
        <f t="shared" si="243"/>
        <v>1974.09</v>
      </c>
      <c r="M1688">
        <f t="shared" si="235"/>
        <v>954.62419999999997</v>
      </c>
      <c r="N1688">
        <f t="shared" si="238"/>
        <v>238.65604999999999</v>
      </c>
      <c r="O1688">
        <f t="shared" si="239"/>
        <v>954.62419999999997</v>
      </c>
      <c r="P1688">
        <f t="shared" si="240"/>
        <v>238.65604999999999</v>
      </c>
      <c r="Q1688">
        <f t="shared" si="241"/>
        <v>243.52463341999999</v>
      </c>
      <c r="R1688">
        <f t="shared" si="242"/>
        <v>601.44539999999995</v>
      </c>
      <c r="S1688">
        <f t="shared" si="236"/>
        <v>1974.09</v>
      </c>
    </row>
    <row r="1689" spans="1:19" x14ac:dyDescent="0.25">
      <c r="A1689">
        <v>1819</v>
      </c>
      <c r="B1689">
        <v>1390</v>
      </c>
      <c r="C1689" t="s">
        <v>34</v>
      </c>
      <c r="D1689" t="s">
        <v>173</v>
      </c>
      <c r="E1689">
        <v>19</v>
      </c>
      <c r="F1689">
        <v>14.77</v>
      </c>
      <c r="G1689">
        <v>3.1</v>
      </c>
      <c r="H1689">
        <v>36.75</v>
      </c>
      <c r="I1689">
        <v>0.81</v>
      </c>
      <c r="J1689">
        <v>95.7</v>
      </c>
      <c r="K1689">
        <f t="shared" si="237"/>
        <v>1818.3</v>
      </c>
      <c r="L1689">
        <f t="shared" si="243"/>
        <v>1818.3</v>
      </c>
      <c r="M1689">
        <f t="shared" si="235"/>
        <v>869.95299999999997</v>
      </c>
      <c r="N1689">
        <f t="shared" si="238"/>
        <v>217.48824999999999</v>
      </c>
      <c r="O1689">
        <f t="shared" si="239"/>
        <v>869.95299999999997</v>
      </c>
      <c r="P1689">
        <f t="shared" si="240"/>
        <v>217.48824999999999</v>
      </c>
      <c r="Q1689">
        <f t="shared" si="241"/>
        <v>221.9250103</v>
      </c>
      <c r="R1689">
        <f t="shared" si="242"/>
        <v>565.58249999999998</v>
      </c>
      <c r="S1689">
        <f t="shared" si="236"/>
        <v>1818.3</v>
      </c>
    </row>
    <row r="1690" spans="1:19" x14ac:dyDescent="0.25">
      <c r="A1690">
        <v>1820</v>
      </c>
      <c r="B1690">
        <v>1390</v>
      </c>
      <c r="C1690" t="s">
        <v>34</v>
      </c>
      <c r="D1690" t="s">
        <v>172</v>
      </c>
      <c r="E1690">
        <v>21</v>
      </c>
      <c r="F1690">
        <v>18.95</v>
      </c>
      <c r="G1690">
        <v>10.7</v>
      </c>
      <c r="H1690">
        <v>30.11</v>
      </c>
      <c r="I1690">
        <v>1.03</v>
      </c>
      <c r="J1690">
        <v>338.52</v>
      </c>
      <c r="K1690">
        <f t="shared" si="237"/>
        <v>7108.92</v>
      </c>
      <c r="L1690">
        <f t="shared" si="243"/>
        <v>0</v>
      </c>
      <c r="M1690">
        <f t="shared" si="235"/>
        <v>0</v>
      </c>
      <c r="N1690">
        <f t="shared" si="238"/>
        <v>0</v>
      </c>
      <c r="O1690">
        <f t="shared" si="239"/>
        <v>4258.0649999999996</v>
      </c>
      <c r="P1690">
        <f t="shared" si="240"/>
        <v>1064.5162499999999</v>
      </c>
      <c r="Q1690">
        <f t="shared" si="241"/>
        <v>1086.2323815</v>
      </c>
      <c r="R1690">
        <f t="shared" si="242"/>
        <v>651.27929999999992</v>
      </c>
      <c r="S1690">
        <f t="shared" si="236"/>
        <v>7108.92</v>
      </c>
    </row>
    <row r="1691" spans="1:19" x14ac:dyDescent="0.25">
      <c r="A1691">
        <v>1821</v>
      </c>
      <c r="B1691">
        <v>1390</v>
      </c>
      <c r="C1691" t="s">
        <v>34</v>
      </c>
      <c r="D1691" t="s">
        <v>172</v>
      </c>
      <c r="E1691">
        <v>17</v>
      </c>
      <c r="F1691">
        <v>20.12</v>
      </c>
      <c r="G1691">
        <v>10.06</v>
      </c>
      <c r="H1691">
        <v>32.74</v>
      </c>
      <c r="I1691">
        <v>0.95</v>
      </c>
      <c r="J1691">
        <v>338.09</v>
      </c>
      <c r="K1691">
        <f t="shared" si="237"/>
        <v>5747.53</v>
      </c>
      <c r="L1691">
        <f t="shared" si="243"/>
        <v>0</v>
      </c>
      <c r="M1691">
        <f t="shared" si="235"/>
        <v>0</v>
      </c>
      <c r="N1691">
        <f t="shared" si="238"/>
        <v>0</v>
      </c>
      <c r="O1691">
        <f t="shared" si="239"/>
        <v>3440.9224000000004</v>
      </c>
      <c r="P1691">
        <f t="shared" si="240"/>
        <v>860.23060000000009</v>
      </c>
      <c r="Q1691">
        <f t="shared" si="241"/>
        <v>877.7793042400001</v>
      </c>
      <c r="R1691">
        <f t="shared" si="242"/>
        <v>528.75099999999998</v>
      </c>
      <c r="S1691">
        <f t="shared" si="236"/>
        <v>5747.53</v>
      </c>
    </row>
    <row r="1692" spans="1:19" x14ac:dyDescent="0.25">
      <c r="A1692">
        <v>1822</v>
      </c>
      <c r="B1692">
        <v>1390</v>
      </c>
      <c r="C1692" t="s">
        <v>34</v>
      </c>
      <c r="D1692" t="s">
        <v>172</v>
      </c>
      <c r="E1692">
        <v>9</v>
      </c>
      <c r="F1692">
        <v>20.38</v>
      </c>
      <c r="G1692">
        <v>12.38</v>
      </c>
      <c r="H1692">
        <v>27.98</v>
      </c>
      <c r="I1692">
        <v>1.0900000000000001</v>
      </c>
      <c r="J1692">
        <v>411.59</v>
      </c>
      <c r="K1692">
        <f t="shared" si="237"/>
        <v>3704.31</v>
      </c>
      <c r="L1692">
        <f t="shared" si="243"/>
        <v>0</v>
      </c>
      <c r="M1692">
        <f t="shared" si="235"/>
        <v>0</v>
      </c>
      <c r="N1692">
        <f t="shared" si="238"/>
        <v>0</v>
      </c>
      <c r="O1692">
        <f t="shared" si="239"/>
        <v>2270.7395999999999</v>
      </c>
      <c r="P1692">
        <f t="shared" si="240"/>
        <v>567.68489999999997</v>
      </c>
      <c r="Q1692">
        <f t="shared" si="241"/>
        <v>579.26567195999996</v>
      </c>
      <c r="R1692">
        <f t="shared" si="242"/>
        <v>274.48380000000003</v>
      </c>
      <c r="S1692">
        <f t="shared" si="236"/>
        <v>3704.31</v>
      </c>
    </row>
    <row r="1693" spans="1:19" x14ac:dyDescent="0.25">
      <c r="A1693">
        <v>1823</v>
      </c>
      <c r="B1693">
        <v>1390</v>
      </c>
      <c r="C1693" t="s">
        <v>34</v>
      </c>
      <c r="D1693" t="s">
        <v>173</v>
      </c>
      <c r="E1693">
        <v>16</v>
      </c>
      <c r="F1693">
        <v>15.77</v>
      </c>
      <c r="G1693">
        <v>2.86</v>
      </c>
      <c r="H1693">
        <v>30.04</v>
      </c>
      <c r="I1693">
        <v>0.78</v>
      </c>
      <c r="J1693">
        <v>87.79</v>
      </c>
      <c r="K1693">
        <f t="shared" si="237"/>
        <v>1404.64</v>
      </c>
      <c r="L1693">
        <f t="shared" si="243"/>
        <v>1404.64</v>
      </c>
      <c r="M1693">
        <f t="shared" si="235"/>
        <v>721.63519999999994</v>
      </c>
      <c r="N1693">
        <f t="shared" si="238"/>
        <v>180.40879999999999</v>
      </c>
      <c r="O1693">
        <f t="shared" si="239"/>
        <v>721.63519999999994</v>
      </c>
      <c r="P1693">
        <f t="shared" si="240"/>
        <v>180.40879999999999</v>
      </c>
      <c r="Q1693">
        <f t="shared" si="241"/>
        <v>184.08913951999997</v>
      </c>
      <c r="R1693">
        <f t="shared" si="242"/>
        <v>374.89920000000001</v>
      </c>
      <c r="S1693">
        <f t="shared" si="236"/>
        <v>1404.64</v>
      </c>
    </row>
    <row r="1694" spans="1:19" x14ac:dyDescent="0.25">
      <c r="A1694">
        <v>1824</v>
      </c>
      <c r="B1694">
        <v>1390</v>
      </c>
      <c r="C1694" t="s">
        <v>34</v>
      </c>
      <c r="D1694" t="s">
        <v>173</v>
      </c>
      <c r="E1694">
        <v>13</v>
      </c>
      <c r="F1694">
        <v>16.079999999999998</v>
      </c>
      <c r="G1694">
        <v>3</v>
      </c>
      <c r="H1694">
        <v>30.59</v>
      </c>
      <c r="I1694">
        <v>0.82</v>
      </c>
      <c r="J1694">
        <v>93.92</v>
      </c>
      <c r="K1694">
        <f t="shared" si="237"/>
        <v>1220.96</v>
      </c>
      <c r="L1694">
        <f t="shared" si="243"/>
        <v>1220.96</v>
      </c>
      <c r="M1694">
        <f t="shared" si="235"/>
        <v>627.11999999999989</v>
      </c>
      <c r="N1694">
        <f t="shared" si="238"/>
        <v>156.77999999999997</v>
      </c>
      <c r="O1694">
        <f t="shared" si="239"/>
        <v>627.11999999999989</v>
      </c>
      <c r="P1694">
        <f t="shared" si="240"/>
        <v>156.77999999999997</v>
      </c>
      <c r="Q1694">
        <f t="shared" si="241"/>
        <v>159.97831199999996</v>
      </c>
      <c r="R1694">
        <f t="shared" si="242"/>
        <v>326.08940000000001</v>
      </c>
      <c r="S1694">
        <f t="shared" si="236"/>
        <v>1220.96</v>
      </c>
    </row>
    <row r="1695" spans="1:19" x14ac:dyDescent="0.25">
      <c r="A1695">
        <v>1825</v>
      </c>
      <c r="B1695">
        <v>1390</v>
      </c>
      <c r="C1695" t="s">
        <v>34</v>
      </c>
      <c r="D1695" t="s">
        <v>173</v>
      </c>
      <c r="E1695">
        <v>13</v>
      </c>
      <c r="F1695">
        <v>14.61</v>
      </c>
      <c r="G1695">
        <v>2.7</v>
      </c>
      <c r="H1695">
        <v>30.22</v>
      </c>
      <c r="I1695">
        <v>0.81</v>
      </c>
      <c r="J1695">
        <v>81.17</v>
      </c>
      <c r="K1695">
        <f t="shared" si="237"/>
        <v>1055.21</v>
      </c>
      <c r="L1695">
        <f t="shared" si="243"/>
        <v>1055.21</v>
      </c>
      <c r="M1695">
        <f t="shared" si="235"/>
        <v>512.81100000000004</v>
      </c>
      <c r="N1695">
        <f t="shared" si="238"/>
        <v>128.20275000000001</v>
      </c>
      <c r="O1695">
        <f t="shared" si="239"/>
        <v>512.81100000000004</v>
      </c>
      <c r="P1695">
        <f t="shared" si="240"/>
        <v>128.20275000000001</v>
      </c>
      <c r="Q1695">
        <f t="shared" si="241"/>
        <v>130.81808610000002</v>
      </c>
      <c r="R1695">
        <f t="shared" si="242"/>
        <v>318.21660000000003</v>
      </c>
      <c r="S1695">
        <f t="shared" si="236"/>
        <v>1055.21</v>
      </c>
    </row>
    <row r="1696" spans="1:19" x14ac:dyDescent="0.25">
      <c r="A1696">
        <v>1826</v>
      </c>
      <c r="B1696">
        <v>1391</v>
      </c>
      <c r="C1696" t="s">
        <v>34</v>
      </c>
      <c r="D1696" t="s">
        <v>173</v>
      </c>
      <c r="E1696">
        <v>11</v>
      </c>
      <c r="F1696">
        <v>14.05</v>
      </c>
      <c r="G1696">
        <v>3.27</v>
      </c>
      <c r="H1696">
        <v>36.619999999999997</v>
      </c>
      <c r="I1696">
        <v>0.8</v>
      </c>
      <c r="J1696">
        <v>95.4</v>
      </c>
      <c r="K1696">
        <f t="shared" si="237"/>
        <v>1049.4000000000001</v>
      </c>
      <c r="L1696">
        <f t="shared" si="243"/>
        <v>1049.4000000000001</v>
      </c>
      <c r="M1696">
        <f t="shared" si="235"/>
        <v>505.37850000000003</v>
      </c>
      <c r="N1696">
        <f t="shared" si="238"/>
        <v>126.34462500000001</v>
      </c>
      <c r="O1696">
        <f t="shared" si="239"/>
        <v>505.37850000000003</v>
      </c>
      <c r="P1696">
        <f t="shared" si="240"/>
        <v>126.34462500000001</v>
      </c>
      <c r="Q1696">
        <f t="shared" si="241"/>
        <v>128.92205534999999</v>
      </c>
      <c r="R1696">
        <f t="shared" si="242"/>
        <v>322.25600000000003</v>
      </c>
      <c r="S1696">
        <f t="shared" si="236"/>
        <v>1049.4000000000001</v>
      </c>
    </row>
    <row r="1697" spans="1:23" x14ac:dyDescent="0.25">
      <c r="A1697">
        <v>1827</v>
      </c>
      <c r="B1697">
        <v>1391</v>
      </c>
      <c r="C1697" t="s">
        <v>34</v>
      </c>
      <c r="D1697" t="s">
        <v>172</v>
      </c>
      <c r="E1697">
        <v>11</v>
      </c>
      <c r="F1697">
        <v>20.27</v>
      </c>
      <c r="G1697">
        <v>10.73</v>
      </c>
      <c r="H1697">
        <v>32.97</v>
      </c>
      <c r="I1697">
        <v>1.01</v>
      </c>
      <c r="J1697">
        <v>363.15</v>
      </c>
      <c r="K1697">
        <f t="shared" si="237"/>
        <v>3994.6499999999996</v>
      </c>
      <c r="L1697">
        <f t="shared" si="243"/>
        <v>0</v>
      </c>
      <c r="M1697">
        <f t="shared" si="235"/>
        <v>0</v>
      </c>
      <c r="N1697">
        <f t="shared" si="238"/>
        <v>0</v>
      </c>
      <c r="O1697">
        <f t="shared" si="239"/>
        <v>2392.4681</v>
      </c>
      <c r="P1697">
        <f t="shared" si="240"/>
        <v>598.11702500000001</v>
      </c>
      <c r="Q1697">
        <f t="shared" si="241"/>
        <v>610.31861231000005</v>
      </c>
      <c r="R1697">
        <f t="shared" si="242"/>
        <v>366.29669999999999</v>
      </c>
      <c r="S1697">
        <f t="shared" si="236"/>
        <v>3994.6499999999996</v>
      </c>
    </row>
    <row r="1698" spans="1:23" x14ac:dyDescent="0.25">
      <c r="A1698">
        <v>1828</v>
      </c>
      <c r="B1698">
        <v>1391</v>
      </c>
      <c r="C1698" t="s">
        <v>34</v>
      </c>
      <c r="D1698" t="s">
        <v>172</v>
      </c>
      <c r="E1698">
        <v>10</v>
      </c>
      <c r="F1698">
        <v>18.09</v>
      </c>
      <c r="G1698">
        <v>11.22</v>
      </c>
      <c r="H1698">
        <v>29.27</v>
      </c>
      <c r="I1698">
        <v>0.99</v>
      </c>
      <c r="J1698">
        <v>336.4</v>
      </c>
      <c r="K1698">
        <f t="shared" si="237"/>
        <v>3364</v>
      </c>
      <c r="L1698">
        <f t="shared" si="243"/>
        <v>0</v>
      </c>
      <c r="M1698">
        <f t="shared" si="235"/>
        <v>0</v>
      </c>
      <c r="N1698">
        <f t="shared" si="238"/>
        <v>0</v>
      </c>
      <c r="O1698">
        <f t="shared" si="239"/>
        <v>2029.6980000000001</v>
      </c>
      <c r="P1698">
        <f t="shared" si="240"/>
        <v>507.42450000000002</v>
      </c>
      <c r="Q1698">
        <f t="shared" si="241"/>
        <v>517.77595980000001</v>
      </c>
      <c r="R1698">
        <f t="shared" si="242"/>
        <v>289.77300000000002</v>
      </c>
      <c r="S1698">
        <f t="shared" si="236"/>
        <v>3364</v>
      </c>
    </row>
    <row r="1699" spans="1:23" x14ac:dyDescent="0.25">
      <c r="A1699">
        <v>1829</v>
      </c>
      <c r="B1699">
        <v>1391</v>
      </c>
      <c r="C1699" t="s">
        <v>34</v>
      </c>
      <c r="D1699" t="s">
        <v>173</v>
      </c>
      <c r="E1699">
        <v>35</v>
      </c>
      <c r="F1699">
        <v>16.420000000000002</v>
      </c>
      <c r="G1699">
        <v>2.86</v>
      </c>
      <c r="H1699">
        <v>29.54</v>
      </c>
      <c r="I1699">
        <v>0.79</v>
      </c>
      <c r="J1699">
        <v>90.24</v>
      </c>
      <c r="K1699">
        <f t="shared" si="237"/>
        <v>3158.3999999999996</v>
      </c>
      <c r="L1699">
        <f t="shared" si="243"/>
        <v>3158.3999999999996</v>
      </c>
      <c r="M1699">
        <f t="shared" si="235"/>
        <v>1643.6420000000001</v>
      </c>
      <c r="N1699">
        <f t="shared" si="238"/>
        <v>410.91050000000001</v>
      </c>
      <c r="O1699">
        <f t="shared" si="239"/>
        <v>1643.6420000000001</v>
      </c>
      <c r="P1699">
        <f t="shared" si="240"/>
        <v>410.91050000000001</v>
      </c>
      <c r="Q1699">
        <f t="shared" si="241"/>
        <v>419.29307419999998</v>
      </c>
      <c r="R1699">
        <f t="shared" si="242"/>
        <v>816.78100000000006</v>
      </c>
      <c r="S1699">
        <f t="shared" si="236"/>
        <v>3158.3999999999996</v>
      </c>
    </row>
    <row r="1700" spans="1:23" x14ac:dyDescent="0.25">
      <c r="A1700">
        <v>1830</v>
      </c>
      <c r="B1700">
        <v>1391</v>
      </c>
      <c r="C1700" t="s">
        <v>34</v>
      </c>
      <c r="D1700" t="s">
        <v>173</v>
      </c>
      <c r="E1700">
        <v>14</v>
      </c>
      <c r="F1700">
        <v>14.02</v>
      </c>
      <c r="G1700">
        <v>2.84</v>
      </c>
      <c r="H1700">
        <v>28.34</v>
      </c>
      <c r="I1700">
        <v>0.81</v>
      </c>
      <c r="J1700">
        <v>80</v>
      </c>
      <c r="K1700">
        <f t="shared" si="237"/>
        <v>1120</v>
      </c>
      <c r="L1700">
        <f t="shared" si="243"/>
        <v>1120</v>
      </c>
      <c r="M1700">
        <f t="shared" si="235"/>
        <v>557.43520000000001</v>
      </c>
      <c r="N1700">
        <f t="shared" si="238"/>
        <v>139.3588</v>
      </c>
      <c r="O1700">
        <f t="shared" si="239"/>
        <v>557.43520000000001</v>
      </c>
      <c r="P1700">
        <f t="shared" si="240"/>
        <v>139.3588</v>
      </c>
      <c r="Q1700">
        <f t="shared" si="241"/>
        <v>142.20171952000001</v>
      </c>
      <c r="R1700">
        <f t="shared" si="242"/>
        <v>321.37560000000002</v>
      </c>
      <c r="S1700">
        <f t="shared" si="236"/>
        <v>1120</v>
      </c>
    </row>
    <row r="1701" spans="1:23" x14ac:dyDescent="0.25">
      <c r="A1701">
        <v>1831</v>
      </c>
      <c r="B1701">
        <v>1391</v>
      </c>
      <c r="C1701" t="s">
        <v>34</v>
      </c>
      <c r="D1701" t="s">
        <v>173</v>
      </c>
      <c r="E1701">
        <v>11</v>
      </c>
      <c r="F1701">
        <v>13.98</v>
      </c>
      <c r="G1701">
        <v>2.75</v>
      </c>
      <c r="H1701">
        <v>34.909999999999997</v>
      </c>
      <c r="I1701">
        <v>0.83</v>
      </c>
      <c r="J1701">
        <v>84.74</v>
      </c>
      <c r="K1701">
        <f t="shared" si="237"/>
        <v>932.14</v>
      </c>
      <c r="L1701">
        <f t="shared" si="243"/>
        <v>932.14</v>
      </c>
      <c r="M1701">
        <f t="shared" si="235"/>
        <v>422.89500000000004</v>
      </c>
      <c r="N1701">
        <f t="shared" si="238"/>
        <v>105.72375000000001</v>
      </c>
      <c r="O1701">
        <f t="shared" si="239"/>
        <v>422.89500000000004</v>
      </c>
      <c r="P1701">
        <f t="shared" si="240"/>
        <v>105.72375000000001</v>
      </c>
      <c r="Q1701">
        <f t="shared" si="241"/>
        <v>107.8805145</v>
      </c>
      <c r="R1701">
        <f t="shared" si="242"/>
        <v>318.72829999999993</v>
      </c>
      <c r="S1701">
        <f t="shared" si="236"/>
        <v>932.14</v>
      </c>
    </row>
    <row r="1702" spans="1:23" x14ac:dyDescent="0.25">
      <c r="A1702">
        <v>1832</v>
      </c>
      <c r="B1702">
        <v>1391</v>
      </c>
      <c r="C1702" t="s">
        <v>34</v>
      </c>
      <c r="D1702" t="s">
        <v>173</v>
      </c>
      <c r="E1702">
        <v>46</v>
      </c>
      <c r="F1702">
        <v>15.53</v>
      </c>
      <c r="G1702">
        <v>2.52</v>
      </c>
      <c r="H1702">
        <v>30.37</v>
      </c>
      <c r="I1702">
        <v>0.79</v>
      </c>
      <c r="J1702">
        <v>80.2</v>
      </c>
      <c r="K1702">
        <f t="shared" si="237"/>
        <v>3689.2000000000003</v>
      </c>
      <c r="L1702">
        <f t="shared" si="243"/>
        <v>3689.2000000000003</v>
      </c>
      <c r="M1702">
        <f t="shared" si="235"/>
        <v>1800.2375999999999</v>
      </c>
      <c r="N1702">
        <f t="shared" si="238"/>
        <v>450.05939999999998</v>
      </c>
      <c r="O1702">
        <f t="shared" si="239"/>
        <v>1800.2375999999999</v>
      </c>
      <c r="P1702">
        <f t="shared" si="240"/>
        <v>450.05939999999998</v>
      </c>
      <c r="Q1702">
        <f t="shared" si="241"/>
        <v>459.24061175999998</v>
      </c>
      <c r="R1702">
        <f t="shared" si="242"/>
        <v>1103.6458000000002</v>
      </c>
      <c r="S1702">
        <f t="shared" si="236"/>
        <v>3689.2000000000003</v>
      </c>
    </row>
    <row r="1703" spans="1:23" x14ac:dyDescent="0.25">
      <c r="A1703">
        <v>1833</v>
      </c>
      <c r="B1703">
        <v>1391</v>
      </c>
      <c r="C1703" t="s">
        <v>34</v>
      </c>
      <c r="D1703" t="s">
        <v>173</v>
      </c>
      <c r="E1703">
        <v>14</v>
      </c>
      <c r="F1703">
        <v>15.62</v>
      </c>
      <c r="G1703">
        <v>2.85</v>
      </c>
      <c r="H1703">
        <v>32.71</v>
      </c>
      <c r="I1703">
        <v>0.78</v>
      </c>
      <c r="J1703">
        <v>89.28</v>
      </c>
      <c r="K1703">
        <f t="shared" si="237"/>
        <v>1249.92</v>
      </c>
      <c r="L1703">
        <f t="shared" si="243"/>
        <v>1249.92</v>
      </c>
      <c r="M1703">
        <f t="shared" si="235"/>
        <v>623.23799999999994</v>
      </c>
      <c r="N1703">
        <f t="shared" si="238"/>
        <v>155.80949999999999</v>
      </c>
      <c r="O1703">
        <f t="shared" si="239"/>
        <v>623.23799999999994</v>
      </c>
      <c r="P1703">
        <f t="shared" si="240"/>
        <v>155.80949999999999</v>
      </c>
      <c r="Q1703">
        <f t="shared" si="241"/>
        <v>158.98801379999998</v>
      </c>
      <c r="R1703">
        <f t="shared" si="242"/>
        <v>357.19319999999999</v>
      </c>
      <c r="S1703">
        <f t="shared" si="236"/>
        <v>1249.92</v>
      </c>
    </row>
    <row r="1704" spans="1:23" x14ac:dyDescent="0.25"/>
    <row r="1705" spans="1:23" x14ac:dyDescent="0.25">
      <c r="H1705" s="40" t="s">
        <v>200</v>
      </c>
      <c r="O1705" t="s">
        <v>201</v>
      </c>
      <c r="P1705" t="s">
        <v>202</v>
      </c>
      <c r="Q1705" t="s">
        <v>203</v>
      </c>
      <c r="R1705" t="s">
        <v>204</v>
      </c>
    </row>
    <row r="1706" spans="1:23" x14ac:dyDescent="0.25">
      <c r="I1706" t="s">
        <v>205</v>
      </c>
      <c r="J1706" s="80">
        <f>SUM(L2:L1703)</f>
        <v>1347316.9999999998</v>
      </c>
      <c r="O1706" s="67">
        <f>SUM(O2:O1703)</f>
        <v>4378234.8709000014</v>
      </c>
      <c r="P1706">
        <f>SUM(P2:P1703)</f>
        <v>1094558.7177250003</v>
      </c>
      <c r="Q1706">
        <f>SUM(Q2:Q1703)</f>
        <v>1116887.7155665888</v>
      </c>
      <c r="R1706">
        <f>SUM(R2:R1703)</f>
        <v>940731.83679999958</v>
      </c>
      <c r="S1706" s="68"/>
    </row>
    <row r="1707" spans="1:23" x14ac:dyDescent="0.25">
      <c r="C1707" t="s">
        <v>206</v>
      </c>
      <c r="D1707">
        <f>COUNTIF(D2:D1703,"JACKET")</f>
        <v>869</v>
      </c>
      <c r="I1707" t="s">
        <v>207</v>
      </c>
      <c r="J1707" s="80">
        <f>SUM(M2:M1703)</f>
        <v>675836.92770000047</v>
      </c>
    </row>
    <row r="1708" spans="1:23" x14ac:dyDescent="0.25">
      <c r="C1708" t="s">
        <v>208</v>
      </c>
      <c r="D1708">
        <f>COUNTIF(D1:D1703,"SHOES")</f>
        <v>833</v>
      </c>
      <c r="I1708" t="s">
        <v>177</v>
      </c>
      <c r="J1708" s="80">
        <f>SUM(N2:N1703)</f>
        <v>168959.23192500012</v>
      </c>
      <c r="O1708" t="s">
        <v>209</v>
      </c>
      <c r="P1708" t="s">
        <v>210</v>
      </c>
      <c r="Q1708" t="s">
        <v>211</v>
      </c>
      <c r="R1708" s="67">
        <f ca="1">SUMIF($C$2:$C$1707,"North",$S$2:$S$1703)</f>
        <v>2186496.7399999984</v>
      </c>
      <c r="S1708" s="67" t="s">
        <v>212</v>
      </c>
      <c r="T1708" s="67"/>
      <c r="U1708" s="67">
        <f ca="1">SUM(SUMIF($C$2:$C$1707,"North",$O$2:$O$1703),SUMIF($C$2:$C$1707,"North",$R$2:$R$1703),SUMIF($C$2:$C$1707,"North",$P$2:$P$1703))</f>
        <v>1889957.3998500006</v>
      </c>
      <c r="V1708" s="67" t="s">
        <v>213</v>
      </c>
      <c r="W1708" s="68">
        <f ca="1">R1708-U1708</f>
        <v>296539.34014999773</v>
      </c>
    </row>
    <row r="1709" spans="1:23" x14ac:dyDescent="0.25">
      <c r="H1709" t="s">
        <v>214</v>
      </c>
      <c r="I1709" t="s">
        <v>215</v>
      </c>
      <c r="J1709" s="80">
        <f>J1708*0.4</f>
        <v>67583.692770000052</v>
      </c>
      <c r="O1709" s="66">
        <v>5756790.4258000003</v>
      </c>
      <c r="P1709">
        <f ca="1">SUMIF(D2:D1707,"SHOES",O2:O1703)</f>
        <v>675836.92770000047</v>
      </c>
      <c r="Q1709" t="s">
        <v>216</v>
      </c>
      <c r="R1709" s="67">
        <f ca="1">SUMIF($C$2:$C$1707,"East",$S$2:$S$1703)</f>
        <v>1215230.5899999992</v>
      </c>
      <c r="S1709" s="67" t="s">
        <v>217</v>
      </c>
      <c r="T1709" s="67"/>
      <c r="U1709" s="67">
        <f ca="1">SUM(SUMIF($C$2:$C$1707,"East",$O$2:$O$1703),SUMIF($C$2:$C$1707,"East",$R$2:$R$1703),SUMIF($C$2:$C$1707,"East",$P$2:$P$1703))</f>
        <v>1048568.9193000003</v>
      </c>
      <c r="V1709" t="s">
        <v>218</v>
      </c>
      <c r="W1709" s="68">
        <f ca="1">R1709-U1709</f>
        <v>166661.67069999885</v>
      </c>
    </row>
    <row r="1710" spans="1:23" x14ac:dyDescent="0.25">
      <c r="I1710" t="s">
        <v>219</v>
      </c>
      <c r="J1710" s="80">
        <f>J1706-(J1707+J1709)</f>
        <v>603896.37952999922</v>
      </c>
      <c r="Q1710" t="s">
        <v>220</v>
      </c>
      <c r="R1710" s="67">
        <f ca="1">SUMIF($C$2:$C$1707,"South",$S$2:$S$1703)</f>
        <v>2051189.2900000003</v>
      </c>
      <c r="S1710" s="67" t="s">
        <v>221</v>
      </c>
      <c r="T1710" s="67"/>
      <c r="U1710" s="67">
        <f ca="1">SUM(SUMIF($C$2:$C$1707,"South",$O$2:$O$1703),SUMIF($C$2:$C$1707,"South",$R$2:$R$1703),SUMIF($C$2:$C$1707,"South",$P$2:$P$1703))</f>
        <v>1783307.7332750014</v>
      </c>
      <c r="V1710" t="s">
        <v>222</v>
      </c>
      <c r="W1710" s="68">
        <f ca="1">R1710-U1710</f>
        <v>267881.55672499887</v>
      </c>
    </row>
    <row r="1711" spans="1:23" x14ac:dyDescent="0.25">
      <c r="I1711" t="s">
        <v>223</v>
      </c>
      <c r="J1711" s="80">
        <f>SUMIF(D2:D1703, "SHOES",E2:E1703)</f>
        <v>16037</v>
      </c>
      <c r="Q1711" t="s">
        <v>224</v>
      </c>
      <c r="R1711" s="67">
        <f ca="1">SUMIF($C$2:$C$1707,"West",$S$2:$S$1703)</f>
        <v>1959864.9799999995</v>
      </c>
      <c r="S1711" s="67" t="s">
        <v>225</v>
      </c>
      <c r="T1711" s="67"/>
      <c r="U1711" s="67">
        <f ca="1">SUM(SUMIF($C$2:$C$1707,"West",$O$2:$O$1703),SUMIF($C$2:$C$1707,"West",$R$2:$R$1703),SUMIF($C$2:$C$1707,"West",$P$2:$P$1703))</f>
        <v>1691691.3729999992</v>
      </c>
      <c r="V1711" t="s">
        <v>226</v>
      </c>
      <c r="W1711" s="68">
        <f ca="1">R1711-U1711</f>
        <v>268173.60700000031</v>
      </c>
    </row>
    <row r="1712" spans="1:23" x14ac:dyDescent="0.25">
      <c r="I1712" t="s">
        <v>227</v>
      </c>
      <c r="J1712" s="80">
        <f>J1710/J1711</f>
        <v>37.656443195734816</v>
      </c>
      <c r="U1712" s="68"/>
    </row>
    <row r="1713" spans="9:18" x14ac:dyDescent="0.25">
      <c r="I1713" s="40" t="s">
        <v>228</v>
      </c>
      <c r="J1713" s="81">
        <v>37.67</v>
      </c>
      <c r="Q1713" t="s">
        <v>229</v>
      </c>
      <c r="R1713">
        <f>14.85 *2.87</f>
        <v>42.619500000000002</v>
      </c>
    </row>
    <row r="1714" spans="9:18" x14ac:dyDescent="0.25">
      <c r="Q1714" t="s">
        <v>230</v>
      </c>
      <c r="R1714">
        <f>19.6*11.04</f>
        <v>216.38399999999999</v>
      </c>
    </row>
    <row r="1716" spans="9:18" x14ac:dyDescent="0.25">
      <c r="O1716" t="s">
        <v>231</v>
      </c>
      <c r="P1716" s="80">
        <f>Q1706-P1706</f>
        <v>22328.997841588454</v>
      </c>
    </row>
  </sheetData>
  <pageMargins left="0.75" right="0.75" top="1" bottom="1" header="0.5" footer="0.5"/>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AD1990-6F2C-450F-85DD-4BAE771AA7B4}">
  <dimension ref="A3:C20"/>
  <sheetViews>
    <sheetView workbookViewId="0">
      <selection activeCell="A3" sqref="A3"/>
    </sheetView>
  </sheetViews>
  <sheetFormatPr defaultColWidth="8.85546875" defaultRowHeight="15" x14ac:dyDescent="0.25"/>
  <cols>
    <col min="1" max="1" width="28" bestFit="1" customWidth="1"/>
    <col min="2" max="3" width="36.42578125" bestFit="1" customWidth="1"/>
    <col min="4" max="5" width="6" bestFit="1" customWidth="1"/>
    <col min="6" max="6" width="12.85546875" bestFit="1" customWidth="1"/>
    <col min="7" max="7" width="5.28515625" customWidth="1"/>
    <col min="8" max="8" width="15.85546875" bestFit="1" customWidth="1"/>
    <col min="9" max="9" width="6" bestFit="1" customWidth="1"/>
    <col min="10" max="10" width="4" bestFit="1" customWidth="1"/>
    <col min="11" max="16" width="6" bestFit="1" customWidth="1"/>
    <col min="17" max="17" width="5" bestFit="1" customWidth="1"/>
    <col min="18" max="25" width="6" bestFit="1" customWidth="1"/>
    <col min="26" max="26" width="5" bestFit="1" customWidth="1"/>
    <col min="27" max="31" width="6" bestFit="1" customWidth="1"/>
    <col min="32" max="32" width="5" bestFit="1" customWidth="1"/>
    <col min="33" max="34" width="6" bestFit="1" customWidth="1"/>
    <col min="35" max="35" width="5" bestFit="1" customWidth="1"/>
    <col min="36" max="36" width="6" bestFit="1" customWidth="1"/>
    <col min="37" max="37" width="4" bestFit="1" customWidth="1"/>
    <col min="38" max="38" width="5" bestFit="1" customWidth="1"/>
    <col min="39" max="39" width="4" bestFit="1" customWidth="1"/>
    <col min="40" max="41" width="6" bestFit="1" customWidth="1"/>
    <col min="42" max="42" width="5" bestFit="1" customWidth="1"/>
    <col min="43" max="50" width="6" bestFit="1" customWidth="1"/>
    <col min="51" max="51" width="5" bestFit="1" customWidth="1"/>
    <col min="52" max="52" width="6" bestFit="1" customWidth="1"/>
    <col min="53" max="53" width="5" bestFit="1" customWidth="1"/>
    <col min="54" max="56" width="6" bestFit="1" customWidth="1"/>
    <col min="57" max="57" width="5" bestFit="1" customWidth="1"/>
    <col min="58" max="81" width="6" bestFit="1" customWidth="1"/>
    <col min="82" max="82" width="5" bestFit="1" customWidth="1"/>
    <col min="83" max="111" width="6" bestFit="1" customWidth="1"/>
    <col min="112" max="112" width="4" bestFit="1" customWidth="1"/>
    <col min="113" max="116" width="6" bestFit="1" customWidth="1"/>
    <col min="117" max="117" width="5" bestFit="1" customWidth="1"/>
    <col min="118" max="125" width="6" bestFit="1" customWidth="1"/>
    <col min="126" max="126" width="5" bestFit="1" customWidth="1"/>
    <col min="127" max="149" width="6" bestFit="1" customWidth="1"/>
    <col min="150" max="150" width="5" bestFit="1" customWidth="1"/>
    <col min="151" max="167" width="6" bestFit="1" customWidth="1"/>
    <col min="168" max="168" width="5" bestFit="1" customWidth="1"/>
    <col min="169" max="171" width="6" bestFit="1" customWidth="1"/>
    <col min="172" max="172" width="5" bestFit="1" customWidth="1"/>
    <col min="173" max="186" width="6" bestFit="1" customWidth="1"/>
    <col min="187" max="187" width="5" bestFit="1" customWidth="1"/>
    <col min="188" max="192" width="6" bestFit="1" customWidth="1"/>
    <col min="193" max="193" width="5" bestFit="1" customWidth="1"/>
    <col min="194" max="195" width="6" bestFit="1" customWidth="1"/>
    <col min="196" max="196" width="5" bestFit="1" customWidth="1"/>
    <col min="197" max="203" width="6" bestFit="1" customWidth="1"/>
    <col min="204" max="204" width="5" bestFit="1" customWidth="1"/>
    <col min="205" max="215" width="6" bestFit="1" customWidth="1"/>
    <col min="216" max="216" width="5" bestFit="1" customWidth="1"/>
    <col min="217" max="225" width="6" bestFit="1" customWidth="1"/>
    <col min="226" max="227" width="5" bestFit="1" customWidth="1"/>
    <col min="228" max="233" width="6" bestFit="1" customWidth="1"/>
    <col min="234" max="234" width="5" bestFit="1" customWidth="1"/>
    <col min="235" max="236" width="6" bestFit="1" customWidth="1"/>
    <col min="237" max="237" width="5" bestFit="1" customWidth="1"/>
    <col min="238" max="241" width="6" bestFit="1" customWidth="1"/>
    <col min="242" max="242" width="5" bestFit="1" customWidth="1"/>
    <col min="243" max="269" width="6" bestFit="1" customWidth="1"/>
    <col min="270" max="270" width="5" bestFit="1" customWidth="1"/>
    <col min="271" max="277" width="6" bestFit="1" customWidth="1"/>
    <col min="278" max="278" width="5" bestFit="1" customWidth="1"/>
    <col min="279" max="279" width="6" bestFit="1" customWidth="1"/>
    <col min="280" max="280" width="5" bestFit="1" customWidth="1"/>
    <col min="281" max="293" width="6" bestFit="1" customWidth="1"/>
    <col min="294" max="294" width="5" bestFit="1" customWidth="1"/>
    <col min="295" max="303" width="6" bestFit="1" customWidth="1"/>
    <col min="304" max="304" width="5" bestFit="1" customWidth="1"/>
    <col min="305" max="323" width="6" bestFit="1" customWidth="1"/>
    <col min="324" max="324" width="5" bestFit="1" customWidth="1"/>
    <col min="325" max="338" width="6" bestFit="1" customWidth="1"/>
    <col min="339" max="340" width="5" bestFit="1" customWidth="1"/>
    <col min="341" max="344" width="6" bestFit="1" customWidth="1"/>
    <col min="345" max="345" width="5" bestFit="1" customWidth="1"/>
    <col min="346" max="350" width="6" bestFit="1" customWidth="1"/>
    <col min="351" max="351" width="5" bestFit="1" customWidth="1"/>
    <col min="352" max="356" width="6" bestFit="1" customWidth="1"/>
    <col min="357" max="357" width="5" bestFit="1" customWidth="1"/>
    <col min="358" max="359" width="6" bestFit="1" customWidth="1"/>
    <col min="360" max="360" width="5" bestFit="1" customWidth="1"/>
    <col min="361" max="386" width="6" bestFit="1" customWidth="1"/>
    <col min="387" max="387" width="5" bestFit="1" customWidth="1"/>
    <col min="388" max="408" width="6" bestFit="1" customWidth="1"/>
    <col min="409" max="409" width="5" bestFit="1" customWidth="1"/>
    <col min="410" max="456" width="6" bestFit="1" customWidth="1"/>
    <col min="457" max="457" width="5" bestFit="1" customWidth="1"/>
    <col min="458" max="460" width="6" bestFit="1" customWidth="1"/>
    <col min="461" max="461" width="5" bestFit="1" customWidth="1"/>
    <col min="462" max="463" width="6" bestFit="1" customWidth="1"/>
    <col min="464" max="464" width="5" bestFit="1" customWidth="1"/>
    <col min="465" max="471" width="6" bestFit="1" customWidth="1"/>
    <col min="472" max="472" width="5" bestFit="1" customWidth="1"/>
    <col min="473" max="481" width="6" bestFit="1" customWidth="1"/>
    <col min="482" max="482" width="5" bestFit="1" customWidth="1"/>
    <col min="483" max="486" width="6" bestFit="1" customWidth="1"/>
    <col min="487" max="487" width="5" bestFit="1" customWidth="1"/>
    <col min="488" max="501" width="6" bestFit="1" customWidth="1"/>
    <col min="502" max="502" width="5" bestFit="1" customWidth="1"/>
    <col min="503" max="510" width="6" bestFit="1" customWidth="1"/>
    <col min="511" max="511" width="5" bestFit="1" customWidth="1"/>
    <col min="512" max="521" width="6" bestFit="1" customWidth="1"/>
    <col min="522" max="522" width="5" bestFit="1" customWidth="1"/>
    <col min="523" max="532" width="6" bestFit="1" customWidth="1"/>
    <col min="533" max="534" width="5" bestFit="1" customWidth="1"/>
    <col min="535" max="544" width="6" bestFit="1" customWidth="1"/>
    <col min="545" max="547" width="5" bestFit="1" customWidth="1"/>
    <col min="548" max="550" width="6" bestFit="1" customWidth="1"/>
    <col min="551" max="551" width="5" bestFit="1" customWidth="1"/>
    <col min="552" max="562" width="6" bestFit="1" customWidth="1"/>
    <col min="563" max="563" width="5" bestFit="1" customWidth="1"/>
    <col min="564" max="583" width="6" bestFit="1" customWidth="1"/>
    <col min="584" max="584" width="5" bestFit="1" customWidth="1"/>
    <col min="585" max="585" width="6" bestFit="1" customWidth="1"/>
    <col min="586" max="586" width="5" bestFit="1" customWidth="1"/>
    <col min="587" max="590" width="6" bestFit="1" customWidth="1"/>
    <col min="591" max="591" width="5" bestFit="1" customWidth="1"/>
    <col min="592" max="601" width="6" bestFit="1" customWidth="1"/>
    <col min="602" max="602" width="5" bestFit="1" customWidth="1"/>
    <col min="603" max="621" width="6" bestFit="1" customWidth="1"/>
    <col min="622" max="622" width="5" bestFit="1" customWidth="1"/>
    <col min="623" max="633" width="6" bestFit="1" customWidth="1"/>
    <col min="634" max="634" width="5" bestFit="1" customWidth="1"/>
    <col min="635" max="652" width="6" bestFit="1" customWidth="1"/>
    <col min="653" max="653" width="4" bestFit="1" customWidth="1"/>
    <col min="654" max="656" width="6" bestFit="1" customWidth="1"/>
    <col min="657" max="657" width="5" bestFit="1" customWidth="1"/>
    <col min="658" max="662" width="6" bestFit="1" customWidth="1"/>
    <col min="663" max="663" width="5" bestFit="1" customWidth="1"/>
    <col min="664" max="691" width="6" bestFit="1" customWidth="1"/>
    <col min="692" max="692" width="5" bestFit="1" customWidth="1"/>
    <col min="693" max="706" width="6" bestFit="1" customWidth="1"/>
    <col min="707" max="707" width="5" bestFit="1" customWidth="1"/>
    <col min="708" max="727" width="6" bestFit="1" customWidth="1"/>
    <col min="728" max="728" width="5" bestFit="1" customWidth="1"/>
    <col min="729" max="736" width="6" bestFit="1" customWidth="1"/>
    <col min="737" max="737" width="5" bestFit="1" customWidth="1"/>
    <col min="738" max="751" width="6" bestFit="1" customWidth="1"/>
    <col min="752" max="752" width="5" bestFit="1" customWidth="1"/>
    <col min="753" max="783" width="6" bestFit="1" customWidth="1"/>
    <col min="784" max="784" width="5" bestFit="1" customWidth="1"/>
    <col min="785" max="792" width="6" bestFit="1" customWidth="1"/>
    <col min="793" max="793" width="5" bestFit="1" customWidth="1"/>
    <col min="794" max="816" width="6" bestFit="1" customWidth="1"/>
    <col min="817" max="817" width="5" bestFit="1" customWidth="1"/>
    <col min="818" max="823" width="6" bestFit="1" customWidth="1"/>
    <col min="824" max="824" width="5" bestFit="1" customWidth="1"/>
    <col min="825" max="830" width="6" bestFit="1" customWidth="1"/>
    <col min="831" max="831" width="5" bestFit="1" customWidth="1"/>
    <col min="832" max="855" width="6" bestFit="1" customWidth="1"/>
    <col min="856" max="856" width="5" bestFit="1" customWidth="1"/>
    <col min="857" max="858" width="6" bestFit="1" customWidth="1"/>
    <col min="859" max="859" width="5" bestFit="1" customWidth="1"/>
    <col min="860" max="866" width="6" bestFit="1" customWidth="1"/>
    <col min="867" max="867" width="5" bestFit="1" customWidth="1"/>
    <col min="868" max="868" width="6" bestFit="1" customWidth="1"/>
    <col min="869" max="869" width="5" bestFit="1" customWidth="1"/>
    <col min="870" max="870" width="6" bestFit="1" customWidth="1"/>
    <col min="871" max="871" width="5" bestFit="1" customWidth="1"/>
    <col min="872" max="875" width="6" bestFit="1" customWidth="1"/>
    <col min="876" max="876" width="5" bestFit="1" customWidth="1"/>
    <col min="877" max="879" width="6" bestFit="1" customWidth="1"/>
    <col min="880" max="880" width="5" bestFit="1" customWidth="1"/>
    <col min="881" max="884" width="6" bestFit="1" customWidth="1"/>
    <col min="885" max="885" width="5" bestFit="1" customWidth="1"/>
    <col min="886" max="890" width="6" bestFit="1" customWidth="1"/>
    <col min="891" max="891" width="5" bestFit="1" customWidth="1"/>
    <col min="892" max="900" width="6" bestFit="1" customWidth="1"/>
    <col min="901" max="902" width="5" bestFit="1" customWidth="1"/>
    <col min="903" max="914" width="6" bestFit="1" customWidth="1"/>
    <col min="915" max="915" width="5" bestFit="1" customWidth="1"/>
    <col min="916" max="921" width="6" bestFit="1" customWidth="1"/>
    <col min="922" max="922" width="5" bestFit="1" customWidth="1"/>
    <col min="923" max="927" width="6" bestFit="1" customWidth="1"/>
    <col min="928" max="928" width="5" bestFit="1" customWidth="1"/>
    <col min="929" max="929" width="6" bestFit="1" customWidth="1"/>
    <col min="930" max="930" width="5" bestFit="1" customWidth="1"/>
    <col min="931" max="931" width="6" bestFit="1" customWidth="1"/>
    <col min="932" max="932" width="5" bestFit="1" customWidth="1"/>
    <col min="933" max="943" width="6" bestFit="1" customWidth="1"/>
    <col min="944" max="944" width="5" bestFit="1" customWidth="1"/>
    <col min="945" max="951" width="6" bestFit="1" customWidth="1"/>
    <col min="952" max="952" width="5" bestFit="1" customWidth="1"/>
    <col min="953" max="975" width="6" bestFit="1" customWidth="1"/>
    <col min="976" max="976" width="5" bestFit="1" customWidth="1"/>
    <col min="977" max="978" width="6" bestFit="1" customWidth="1"/>
    <col min="979" max="979" width="5" bestFit="1" customWidth="1"/>
    <col min="980" max="981" width="6" bestFit="1" customWidth="1"/>
    <col min="982" max="982" width="5" bestFit="1" customWidth="1"/>
    <col min="983" max="993" width="6" bestFit="1" customWidth="1"/>
    <col min="994" max="994" width="5" bestFit="1" customWidth="1"/>
    <col min="995" max="995" width="6" bestFit="1" customWidth="1"/>
    <col min="996" max="997" width="5" bestFit="1" customWidth="1"/>
    <col min="998" max="1001" width="6" bestFit="1" customWidth="1"/>
    <col min="1002" max="1002" width="5" bestFit="1" customWidth="1"/>
    <col min="1003" max="1007" width="6" bestFit="1" customWidth="1"/>
    <col min="1008" max="1009" width="5" bestFit="1" customWidth="1"/>
    <col min="1010" max="1010" width="6" bestFit="1" customWidth="1"/>
    <col min="1011" max="1011" width="5" bestFit="1" customWidth="1"/>
    <col min="1012" max="1018" width="6" bestFit="1" customWidth="1"/>
    <col min="1019" max="1019" width="5" bestFit="1" customWidth="1"/>
    <col min="1020" max="1035" width="6" bestFit="1" customWidth="1"/>
    <col min="1036" max="1036" width="5" bestFit="1" customWidth="1"/>
    <col min="1037" max="1048" width="6" bestFit="1" customWidth="1"/>
    <col min="1049" max="1049" width="5" bestFit="1" customWidth="1"/>
    <col min="1050" max="1057" width="6" bestFit="1" customWidth="1"/>
    <col min="1058" max="1058" width="5" bestFit="1" customWidth="1"/>
    <col min="1059" max="1066" width="6" bestFit="1" customWidth="1"/>
    <col min="1067" max="1067" width="5" bestFit="1" customWidth="1"/>
    <col min="1068" max="1084" width="6" bestFit="1" customWidth="1"/>
    <col min="1085" max="1087" width="5" bestFit="1" customWidth="1"/>
    <col min="1088" max="1089" width="6" bestFit="1" customWidth="1"/>
    <col min="1090" max="1090" width="5" bestFit="1" customWidth="1"/>
    <col min="1091" max="1091" width="6" bestFit="1" customWidth="1"/>
    <col min="1092" max="1092" width="5" bestFit="1" customWidth="1"/>
    <col min="1093" max="1094" width="6" bestFit="1" customWidth="1"/>
    <col min="1095" max="1095" width="5" bestFit="1" customWidth="1"/>
    <col min="1096" max="1108" width="6" bestFit="1" customWidth="1"/>
    <col min="1109" max="1109" width="5" bestFit="1" customWidth="1"/>
    <col min="1110" max="1111" width="6" bestFit="1" customWidth="1"/>
    <col min="1112" max="1113" width="5" bestFit="1" customWidth="1"/>
    <col min="1114" max="1134" width="6" bestFit="1" customWidth="1"/>
    <col min="1135" max="1135" width="5" bestFit="1" customWidth="1"/>
    <col min="1136" max="1142" width="6" bestFit="1" customWidth="1"/>
    <col min="1143" max="1144" width="5" bestFit="1" customWidth="1"/>
    <col min="1145" max="1175" width="6" bestFit="1" customWidth="1"/>
    <col min="1176" max="1176" width="5" bestFit="1" customWidth="1"/>
    <col min="1177" max="1182" width="6" bestFit="1" customWidth="1"/>
    <col min="1183" max="1183" width="5" bestFit="1" customWidth="1"/>
    <col min="1184" max="1192" width="6" bestFit="1" customWidth="1"/>
    <col min="1193" max="1193" width="5" bestFit="1" customWidth="1"/>
    <col min="1194" max="1215" width="6" bestFit="1" customWidth="1"/>
    <col min="1216" max="1216" width="5" bestFit="1" customWidth="1"/>
    <col min="1217" max="1255" width="6" bestFit="1" customWidth="1"/>
    <col min="1256" max="1256" width="5" bestFit="1" customWidth="1"/>
    <col min="1257" max="1273" width="6" bestFit="1" customWidth="1"/>
    <col min="1274" max="1274" width="5" bestFit="1" customWidth="1"/>
    <col min="1275" max="1276" width="6" bestFit="1" customWidth="1"/>
    <col min="1277" max="1277" width="5" bestFit="1" customWidth="1"/>
    <col min="1278" max="1281" width="6" bestFit="1" customWidth="1"/>
    <col min="1282" max="1282" width="5" bestFit="1" customWidth="1"/>
    <col min="1283" max="1288" width="6" bestFit="1" customWidth="1"/>
    <col min="1289" max="1289" width="5" bestFit="1" customWidth="1"/>
    <col min="1290" max="1293" width="6" bestFit="1" customWidth="1"/>
    <col min="1294" max="1294" width="5" bestFit="1" customWidth="1"/>
    <col min="1295" max="1300" width="6" bestFit="1" customWidth="1"/>
    <col min="1301" max="1301" width="5" bestFit="1" customWidth="1"/>
    <col min="1302" max="1310" width="6" bestFit="1" customWidth="1"/>
    <col min="1311" max="1311" width="5" bestFit="1" customWidth="1"/>
    <col min="1312" max="1316" width="6" bestFit="1" customWidth="1"/>
    <col min="1317" max="1317" width="5" bestFit="1" customWidth="1"/>
    <col min="1318" max="1332" width="6" bestFit="1" customWidth="1"/>
    <col min="1333" max="1333" width="5" bestFit="1" customWidth="1"/>
    <col min="1334" max="1341" width="6" bestFit="1" customWidth="1"/>
    <col min="1342" max="1342" width="5" bestFit="1" customWidth="1"/>
    <col min="1343" max="1352" width="6" bestFit="1" customWidth="1"/>
    <col min="1353" max="1353" width="5" bestFit="1" customWidth="1"/>
    <col min="1354" max="1372" width="6" bestFit="1" customWidth="1"/>
    <col min="1373" max="1373" width="5" bestFit="1" customWidth="1"/>
    <col min="1374" max="1393" width="6" bestFit="1" customWidth="1"/>
    <col min="1394" max="1394" width="5" bestFit="1" customWidth="1"/>
    <col min="1395" max="1406" width="6" bestFit="1" customWidth="1"/>
    <col min="1407" max="1407" width="5" bestFit="1" customWidth="1"/>
    <col min="1408" max="1412" width="6" bestFit="1" customWidth="1"/>
    <col min="1413" max="1413" width="5" bestFit="1" customWidth="1"/>
    <col min="1414" max="1432" width="6" bestFit="1" customWidth="1"/>
    <col min="1433" max="1433" width="5" bestFit="1" customWidth="1"/>
    <col min="1434" max="1434" width="6" bestFit="1" customWidth="1"/>
    <col min="1435" max="1435" width="5" bestFit="1" customWidth="1"/>
    <col min="1436" max="1453" width="6" bestFit="1" customWidth="1"/>
    <col min="1454" max="1454" width="5" bestFit="1" customWidth="1"/>
    <col min="1455" max="1459" width="6" bestFit="1" customWidth="1"/>
    <col min="1460" max="1460" width="5" bestFit="1" customWidth="1"/>
    <col min="1461" max="1475" width="6" bestFit="1" customWidth="1"/>
    <col min="1476" max="1476" width="5" bestFit="1" customWidth="1"/>
    <col min="1477" max="1479" width="6" bestFit="1" customWidth="1"/>
    <col min="1480" max="1480" width="5" bestFit="1" customWidth="1"/>
    <col min="1481" max="1481" width="6" bestFit="1" customWidth="1"/>
    <col min="1482" max="1482" width="5" bestFit="1" customWidth="1"/>
    <col min="1483" max="1498" width="6" bestFit="1" customWidth="1"/>
    <col min="1499" max="1499" width="5" bestFit="1" customWidth="1"/>
    <col min="1500" max="1521" width="6" bestFit="1" customWidth="1"/>
    <col min="1522" max="1522" width="5" bestFit="1" customWidth="1"/>
    <col min="1523" max="1534" width="6" bestFit="1" customWidth="1"/>
    <col min="1535" max="1535" width="5" bestFit="1" customWidth="1"/>
    <col min="1536" max="1557" width="6" bestFit="1" customWidth="1"/>
    <col min="1558" max="1558" width="5" bestFit="1" customWidth="1"/>
    <col min="1559" max="1593" width="6" bestFit="1" customWidth="1"/>
    <col min="1594" max="1594" width="5" bestFit="1" customWidth="1"/>
    <col min="1595" max="1598" width="6" bestFit="1" customWidth="1"/>
    <col min="1599" max="1599" width="5" bestFit="1" customWidth="1"/>
    <col min="1600" max="1616" width="6" bestFit="1" customWidth="1"/>
    <col min="1617" max="1618" width="5" bestFit="1" customWidth="1"/>
    <col min="1619" max="1620" width="6" bestFit="1" customWidth="1"/>
    <col min="1621" max="1621" width="5" bestFit="1" customWidth="1"/>
    <col min="1622" max="1625" width="6" bestFit="1" customWidth="1"/>
    <col min="1626" max="1626" width="5" bestFit="1" customWidth="1"/>
    <col min="1627" max="1641" width="6" bestFit="1" customWidth="1"/>
    <col min="1642" max="1642" width="5" bestFit="1" customWidth="1"/>
    <col min="1643" max="1644" width="6" bestFit="1" customWidth="1"/>
    <col min="1645" max="1645" width="5" bestFit="1" customWidth="1"/>
    <col min="1646" max="1679" width="6" bestFit="1" customWidth="1"/>
    <col min="1680" max="1680" width="5" bestFit="1" customWidth="1"/>
    <col min="1681" max="1682" width="6" bestFit="1" customWidth="1"/>
    <col min="1683" max="1683" width="5" bestFit="1" customWidth="1"/>
    <col min="1684" max="1686" width="6" bestFit="1" customWidth="1"/>
    <col min="1687" max="1687" width="5" bestFit="1" customWidth="1"/>
    <col min="1688" max="1703" width="6" bestFit="1" customWidth="1"/>
    <col min="1704" max="1704" width="36.42578125" bestFit="1" customWidth="1"/>
    <col min="1705" max="1705" width="6" bestFit="1" customWidth="1"/>
    <col min="1706" max="1706" width="5" bestFit="1" customWidth="1"/>
    <col min="1707" max="1707" width="4" bestFit="1" customWidth="1"/>
    <col min="1708" max="1710" width="5" bestFit="1" customWidth="1"/>
    <col min="1711" max="1712" width="6" bestFit="1" customWidth="1"/>
    <col min="1713" max="1714" width="5" bestFit="1" customWidth="1"/>
    <col min="1715" max="1716" width="6" bestFit="1" customWidth="1"/>
    <col min="1717" max="1718" width="4" bestFit="1" customWidth="1"/>
    <col min="1719" max="1721" width="6" bestFit="1" customWidth="1"/>
    <col min="1722" max="1723" width="5" bestFit="1" customWidth="1"/>
    <col min="1724" max="1725" width="6" bestFit="1" customWidth="1"/>
    <col min="1726" max="1726" width="5" bestFit="1" customWidth="1"/>
    <col min="1727" max="1727" width="6" bestFit="1" customWidth="1"/>
    <col min="1728" max="1729" width="5" bestFit="1" customWidth="1"/>
    <col min="1730" max="1731" width="6" bestFit="1" customWidth="1"/>
    <col min="1732" max="1732" width="5" bestFit="1" customWidth="1"/>
    <col min="1733" max="1733" width="6" bestFit="1" customWidth="1"/>
    <col min="1734" max="1734" width="5" bestFit="1" customWidth="1"/>
    <col min="1735" max="1735" width="6" bestFit="1" customWidth="1"/>
    <col min="1736" max="1736" width="5" bestFit="1" customWidth="1"/>
    <col min="1737" max="1737" width="6" bestFit="1" customWidth="1"/>
    <col min="1738" max="1738" width="5" bestFit="1" customWidth="1"/>
    <col min="1739" max="1739" width="6" bestFit="1" customWidth="1"/>
    <col min="1740" max="1740" width="5" bestFit="1" customWidth="1"/>
    <col min="1741" max="1741" width="6" bestFit="1" customWidth="1"/>
    <col min="1742" max="1742" width="5" bestFit="1" customWidth="1"/>
    <col min="1743" max="1743" width="6" bestFit="1" customWidth="1"/>
    <col min="1744" max="1745" width="5" bestFit="1" customWidth="1"/>
    <col min="1746" max="1746" width="4" bestFit="1" customWidth="1"/>
    <col min="1747" max="1750" width="5" bestFit="1" customWidth="1"/>
    <col min="1751" max="1751" width="4" bestFit="1" customWidth="1"/>
    <col min="1752" max="1752" width="5" bestFit="1" customWidth="1"/>
    <col min="1753" max="1753" width="6" bestFit="1" customWidth="1"/>
    <col min="1754" max="1754" width="5" bestFit="1" customWidth="1"/>
    <col min="1755" max="1755" width="4" bestFit="1" customWidth="1"/>
    <col min="1756" max="1756" width="5" bestFit="1" customWidth="1"/>
    <col min="1757" max="1758" width="6" bestFit="1" customWidth="1"/>
    <col min="1759" max="1759" width="5" bestFit="1" customWidth="1"/>
    <col min="1760" max="1762" width="6" bestFit="1" customWidth="1"/>
    <col min="1763" max="1763" width="5" bestFit="1" customWidth="1"/>
    <col min="1764" max="1764" width="6" bestFit="1" customWidth="1"/>
    <col min="1765" max="1766" width="5" bestFit="1" customWidth="1"/>
    <col min="1767" max="1767" width="4" bestFit="1" customWidth="1"/>
    <col min="1768" max="1770" width="5" bestFit="1" customWidth="1"/>
    <col min="1771" max="1771" width="6" bestFit="1" customWidth="1"/>
    <col min="1772" max="1774" width="5" bestFit="1" customWidth="1"/>
    <col min="1775" max="1778" width="6" bestFit="1" customWidth="1"/>
    <col min="1779" max="1779" width="4" bestFit="1" customWidth="1"/>
    <col min="1780" max="1780" width="6" bestFit="1" customWidth="1"/>
    <col min="1781" max="1782" width="5" bestFit="1" customWidth="1"/>
    <col min="1783" max="1783" width="6" bestFit="1" customWidth="1"/>
    <col min="1784" max="1785" width="5" bestFit="1" customWidth="1"/>
    <col min="1786" max="1786" width="6" bestFit="1" customWidth="1"/>
    <col min="1787" max="1788" width="5" bestFit="1" customWidth="1"/>
    <col min="1789" max="1789" width="6" bestFit="1" customWidth="1"/>
    <col min="1790" max="1790" width="5" bestFit="1" customWidth="1"/>
    <col min="1791" max="1797" width="6" bestFit="1" customWidth="1"/>
    <col min="1798" max="1801" width="5" bestFit="1" customWidth="1"/>
    <col min="1802" max="1804" width="6" bestFit="1" customWidth="1"/>
    <col min="1805" max="1806" width="5" bestFit="1" customWidth="1"/>
    <col min="1807" max="1808" width="6" bestFit="1" customWidth="1"/>
    <col min="1809" max="1810" width="5" bestFit="1" customWidth="1"/>
    <col min="1811" max="1811" width="6" bestFit="1" customWidth="1"/>
    <col min="1812" max="1814" width="5" bestFit="1" customWidth="1"/>
    <col min="1815" max="1815" width="6" bestFit="1" customWidth="1"/>
    <col min="1816" max="1816" width="5" bestFit="1" customWidth="1"/>
    <col min="1817" max="1817" width="6" bestFit="1" customWidth="1"/>
    <col min="1818" max="1818" width="5" bestFit="1" customWidth="1"/>
    <col min="1819" max="1819" width="6" bestFit="1" customWidth="1"/>
    <col min="1820" max="1820" width="5" bestFit="1" customWidth="1"/>
    <col min="1821" max="1822" width="6" bestFit="1" customWidth="1"/>
    <col min="1823" max="1824" width="4" bestFit="1" customWidth="1"/>
    <col min="1825" max="1825" width="6" bestFit="1" customWidth="1"/>
    <col min="1826" max="1828" width="5" bestFit="1" customWidth="1"/>
    <col min="1829" max="1830" width="6" bestFit="1" customWidth="1"/>
    <col min="1831" max="1831" width="4" bestFit="1" customWidth="1"/>
    <col min="1832" max="1832" width="6" bestFit="1" customWidth="1"/>
    <col min="1833" max="1836" width="5" bestFit="1" customWidth="1"/>
    <col min="1837" max="1837" width="6" bestFit="1" customWidth="1"/>
    <col min="1838" max="1838" width="5" bestFit="1" customWidth="1"/>
    <col min="1839" max="1839" width="6" bestFit="1" customWidth="1"/>
    <col min="1840" max="1844" width="5" bestFit="1" customWidth="1"/>
    <col min="1845" max="1845" width="6" bestFit="1" customWidth="1"/>
    <col min="1846" max="1847" width="5" bestFit="1" customWidth="1"/>
    <col min="1848" max="1848" width="6" bestFit="1" customWidth="1"/>
    <col min="1849" max="1850" width="5" bestFit="1" customWidth="1"/>
    <col min="1851" max="1851" width="6" bestFit="1" customWidth="1"/>
    <col min="1852" max="1852" width="4" bestFit="1" customWidth="1"/>
    <col min="1853" max="1854" width="6" bestFit="1" customWidth="1"/>
    <col min="1855" max="1855" width="5" bestFit="1" customWidth="1"/>
    <col min="1856" max="1856" width="4" bestFit="1" customWidth="1"/>
    <col min="1857" max="1859" width="5" bestFit="1" customWidth="1"/>
    <col min="1860" max="1861" width="6" bestFit="1" customWidth="1"/>
    <col min="1862" max="1863" width="5" bestFit="1" customWidth="1"/>
    <col min="1864" max="1864" width="6" bestFit="1" customWidth="1"/>
    <col min="1865" max="1865" width="5" bestFit="1" customWidth="1"/>
    <col min="1866" max="1866" width="6" bestFit="1" customWidth="1"/>
    <col min="1867" max="1867" width="5" bestFit="1" customWidth="1"/>
    <col min="1868" max="1868" width="4" bestFit="1" customWidth="1"/>
    <col min="1869" max="1870" width="5" bestFit="1" customWidth="1"/>
    <col min="1871" max="1871" width="6" bestFit="1" customWidth="1"/>
    <col min="1872" max="1872" width="5" bestFit="1" customWidth="1"/>
    <col min="1873" max="1873" width="6" bestFit="1" customWidth="1"/>
    <col min="1874" max="1874" width="5" bestFit="1" customWidth="1"/>
    <col min="1875" max="1876" width="6" bestFit="1" customWidth="1"/>
    <col min="1877" max="1879" width="5" bestFit="1" customWidth="1"/>
    <col min="1880" max="1881" width="6" bestFit="1" customWidth="1"/>
    <col min="1882" max="1883" width="5" bestFit="1" customWidth="1"/>
    <col min="1884" max="1888" width="6" bestFit="1" customWidth="1"/>
    <col min="1889" max="1889" width="4" bestFit="1" customWidth="1"/>
    <col min="1890" max="1892" width="6" bestFit="1" customWidth="1"/>
    <col min="1893" max="1894" width="5" bestFit="1" customWidth="1"/>
    <col min="1895" max="1896" width="6" bestFit="1" customWidth="1"/>
    <col min="1897" max="1897" width="5" bestFit="1" customWidth="1"/>
    <col min="1898" max="1898" width="6" bestFit="1" customWidth="1"/>
    <col min="1899" max="1899" width="5" bestFit="1" customWidth="1"/>
    <col min="1900" max="1903" width="6" bestFit="1" customWidth="1"/>
    <col min="1904" max="1904" width="5" bestFit="1" customWidth="1"/>
    <col min="1905" max="1905" width="6" bestFit="1" customWidth="1"/>
    <col min="1906" max="1907" width="5" bestFit="1" customWidth="1"/>
    <col min="1908" max="1910" width="6" bestFit="1" customWidth="1"/>
    <col min="1911" max="1912" width="5" bestFit="1" customWidth="1"/>
    <col min="1913" max="1914" width="6" bestFit="1" customWidth="1"/>
    <col min="1915" max="1915" width="5" bestFit="1" customWidth="1"/>
    <col min="1916" max="1916" width="6" bestFit="1" customWidth="1"/>
    <col min="1917" max="1917" width="5" bestFit="1" customWidth="1"/>
    <col min="1918" max="1919" width="6" bestFit="1" customWidth="1"/>
    <col min="1920" max="1920" width="5" bestFit="1" customWidth="1"/>
    <col min="1921" max="1921" width="6" bestFit="1" customWidth="1"/>
    <col min="1922" max="1922" width="5" bestFit="1" customWidth="1"/>
    <col min="1923" max="1923" width="6" bestFit="1" customWidth="1"/>
    <col min="1924" max="1926" width="5" bestFit="1" customWidth="1"/>
    <col min="1927" max="1929" width="6" bestFit="1" customWidth="1"/>
    <col min="1930" max="1934" width="5" bestFit="1" customWidth="1"/>
    <col min="1935" max="1939" width="6" bestFit="1" customWidth="1"/>
    <col min="1940" max="1940" width="4" bestFit="1" customWidth="1"/>
    <col min="1941" max="1941" width="6" bestFit="1" customWidth="1"/>
    <col min="1942" max="1944" width="5" bestFit="1" customWidth="1"/>
    <col min="1945" max="1945" width="6" bestFit="1" customWidth="1"/>
    <col min="1946" max="1947" width="5" bestFit="1" customWidth="1"/>
    <col min="1948" max="1948" width="6" bestFit="1" customWidth="1"/>
    <col min="1949" max="1950" width="5" bestFit="1" customWidth="1"/>
    <col min="1951" max="1951" width="6" bestFit="1" customWidth="1"/>
    <col min="1952" max="1952" width="5" bestFit="1" customWidth="1"/>
    <col min="1953" max="1953" width="6" bestFit="1" customWidth="1"/>
    <col min="1954" max="1955" width="5" bestFit="1" customWidth="1"/>
    <col min="1956" max="1956" width="6" bestFit="1" customWidth="1"/>
    <col min="1957" max="1959" width="5" bestFit="1" customWidth="1"/>
    <col min="1960" max="1960" width="4" bestFit="1" customWidth="1"/>
    <col min="1961" max="1962" width="5" bestFit="1" customWidth="1"/>
    <col min="1963" max="1963" width="6" bestFit="1" customWidth="1"/>
    <col min="1964" max="1964" width="5" bestFit="1" customWidth="1"/>
    <col min="1965" max="1965" width="6" bestFit="1" customWidth="1"/>
    <col min="1966" max="1966" width="5" bestFit="1" customWidth="1"/>
    <col min="1967" max="1967" width="6" bestFit="1" customWidth="1"/>
    <col min="1968" max="1968" width="4" bestFit="1" customWidth="1"/>
    <col min="1969" max="1969" width="6" bestFit="1" customWidth="1"/>
    <col min="1970" max="1971" width="5" bestFit="1" customWidth="1"/>
    <col min="1972" max="1972" width="6" bestFit="1" customWidth="1"/>
    <col min="1973" max="1974" width="5" bestFit="1" customWidth="1"/>
    <col min="1975" max="1975" width="4" bestFit="1" customWidth="1"/>
    <col min="1976" max="1976" width="6" bestFit="1" customWidth="1"/>
    <col min="1977" max="1977" width="5" bestFit="1" customWidth="1"/>
    <col min="1978" max="1978" width="6" bestFit="1" customWidth="1"/>
    <col min="1979" max="1982" width="5" bestFit="1" customWidth="1"/>
    <col min="1983" max="1983" width="4" bestFit="1" customWidth="1"/>
    <col min="1984" max="1985" width="5" bestFit="1" customWidth="1"/>
    <col min="1986" max="1986" width="6" bestFit="1" customWidth="1"/>
    <col min="1987" max="1987" width="5" bestFit="1" customWidth="1"/>
    <col min="1988" max="1988" width="6" bestFit="1" customWidth="1"/>
    <col min="1989" max="1989" width="5" bestFit="1" customWidth="1"/>
    <col min="1990" max="1993" width="6" bestFit="1" customWidth="1"/>
    <col min="1994" max="1995" width="5" bestFit="1" customWidth="1"/>
    <col min="1996" max="2001" width="6" bestFit="1" customWidth="1"/>
    <col min="2002" max="2002" width="5" bestFit="1" customWidth="1"/>
    <col min="2003" max="2004" width="6" bestFit="1" customWidth="1"/>
    <col min="2005" max="2005" width="4" bestFit="1" customWidth="1"/>
    <col min="2006" max="2006" width="5" bestFit="1" customWidth="1"/>
    <col min="2007" max="2007" width="6" bestFit="1" customWidth="1"/>
    <col min="2008" max="2008" width="5" bestFit="1" customWidth="1"/>
    <col min="2009" max="2009" width="6" bestFit="1" customWidth="1"/>
    <col min="2010" max="2010" width="4" bestFit="1" customWidth="1"/>
    <col min="2011" max="2012" width="5" bestFit="1" customWidth="1"/>
    <col min="2013" max="2013" width="6" bestFit="1" customWidth="1"/>
    <col min="2014" max="2018" width="5" bestFit="1" customWidth="1"/>
    <col min="2019" max="2019" width="6" bestFit="1" customWidth="1"/>
    <col min="2020" max="2020" width="5" bestFit="1" customWidth="1"/>
    <col min="2021" max="2021" width="6" bestFit="1" customWidth="1"/>
    <col min="2022" max="2023" width="5" bestFit="1" customWidth="1"/>
    <col min="2024" max="2027" width="6" bestFit="1" customWidth="1"/>
    <col min="2028" max="2037" width="5" bestFit="1" customWidth="1"/>
    <col min="2038" max="2038" width="6" bestFit="1" customWidth="1"/>
    <col min="2039" max="2039" width="5" bestFit="1" customWidth="1"/>
    <col min="2040" max="2041" width="6" bestFit="1" customWidth="1"/>
    <col min="2042" max="2042" width="5" bestFit="1" customWidth="1"/>
    <col min="2043" max="2045" width="6" bestFit="1" customWidth="1"/>
    <col min="2046" max="2049" width="5" bestFit="1" customWidth="1"/>
    <col min="2050" max="2054" width="6" bestFit="1" customWidth="1"/>
    <col min="2055" max="2056" width="5" bestFit="1" customWidth="1"/>
    <col min="2057" max="2057" width="6" bestFit="1" customWidth="1"/>
    <col min="2058" max="2058" width="5" bestFit="1" customWidth="1"/>
    <col min="2059" max="2060" width="6" bestFit="1" customWidth="1"/>
    <col min="2061" max="2061" width="4" bestFit="1" customWidth="1"/>
    <col min="2062" max="2065" width="5" bestFit="1" customWidth="1"/>
    <col min="2066" max="2066" width="6" bestFit="1" customWidth="1"/>
    <col min="2067" max="2070" width="5" bestFit="1" customWidth="1"/>
    <col min="2071" max="2071" width="6" bestFit="1" customWidth="1"/>
    <col min="2072" max="2072" width="5" bestFit="1" customWidth="1"/>
    <col min="2073" max="2073" width="4" bestFit="1" customWidth="1"/>
    <col min="2074" max="2074" width="6" bestFit="1" customWidth="1"/>
    <col min="2075" max="2075" width="5" bestFit="1" customWidth="1"/>
    <col min="2076" max="2076" width="6" bestFit="1" customWidth="1"/>
    <col min="2077" max="2078" width="5" bestFit="1" customWidth="1"/>
    <col min="2079" max="2079" width="4" bestFit="1" customWidth="1"/>
    <col min="2080" max="2081" width="5" bestFit="1" customWidth="1"/>
    <col min="2082" max="2082" width="6" bestFit="1" customWidth="1"/>
    <col min="2083" max="2083" width="5" bestFit="1" customWidth="1"/>
    <col min="2084" max="2085" width="6" bestFit="1" customWidth="1"/>
    <col min="2086" max="2086" width="5" bestFit="1" customWidth="1"/>
    <col min="2087" max="2088" width="6" bestFit="1" customWidth="1"/>
    <col min="2089" max="2090" width="5" bestFit="1" customWidth="1"/>
    <col min="2091" max="2091" width="4" bestFit="1" customWidth="1"/>
    <col min="2092" max="2094" width="5" bestFit="1" customWidth="1"/>
    <col min="2095" max="2095" width="6" bestFit="1" customWidth="1"/>
    <col min="2096" max="2096" width="5" bestFit="1" customWidth="1"/>
    <col min="2097" max="2098" width="6" bestFit="1" customWidth="1"/>
    <col min="2099" max="2100" width="5" bestFit="1" customWidth="1"/>
    <col min="2101" max="2101" width="4" bestFit="1" customWidth="1"/>
    <col min="2102" max="2106" width="5" bestFit="1" customWidth="1"/>
    <col min="2107" max="2109" width="6" bestFit="1" customWidth="1"/>
    <col min="2110" max="2110" width="5" bestFit="1" customWidth="1"/>
    <col min="2111" max="2113" width="6" bestFit="1" customWidth="1"/>
    <col min="2114" max="2115" width="5" bestFit="1" customWidth="1"/>
    <col min="2116" max="2116" width="6" bestFit="1" customWidth="1"/>
    <col min="2117" max="2118" width="5" bestFit="1" customWidth="1"/>
    <col min="2119" max="2119" width="6" bestFit="1" customWidth="1"/>
    <col min="2120" max="2121" width="5" bestFit="1" customWidth="1"/>
    <col min="2122" max="2126" width="6" bestFit="1" customWidth="1"/>
    <col min="2127" max="2127" width="5" bestFit="1" customWidth="1"/>
    <col min="2128" max="2128" width="6" bestFit="1" customWidth="1"/>
    <col min="2129" max="2129" width="5" bestFit="1" customWidth="1"/>
    <col min="2130" max="2130" width="6" bestFit="1" customWidth="1"/>
    <col min="2131" max="2136" width="5" bestFit="1" customWidth="1"/>
    <col min="2137" max="2137" width="6" bestFit="1" customWidth="1"/>
    <col min="2138" max="2142" width="5" bestFit="1" customWidth="1"/>
    <col min="2143" max="2144" width="6" bestFit="1" customWidth="1"/>
    <col min="2145" max="2145" width="4" bestFit="1" customWidth="1"/>
    <col min="2146" max="2146" width="6" bestFit="1" customWidth="1"/>
    <col min="2147" max="2149" width="5" bestFit="1" customWidth="1"/>
    <col min="2150" max="2151" width="6" bestFit="1" customWidth="1"/>
    <col min="2152" max="2152" width="5" bestFit="1" customWidth="1"/>
    <col min="2153" max="2153" width="6" bestFit="1" customWidth="1"/>
    <col min="2154" max="2154" width="5" bestFit="1" customWidth="1"/>
    <col min="2155" max="2155" width="6" bestFit="1" customWidth="1"/>
    <col min="2156" max="2156" width="5" bestFit="1" customWidth="1"/>
    <col min="2157" max="2157" width="6" bestFit="1" customWidth="1"/>
    <col min="2158" max="2161" width="5" bestFit="1" customWidth="1"/>
    <col min="2162" max="2162" width="6" bestFit="1" customWidth="1"/>
    <col min="2163" max="2167" width="5" bestFit="1" customWidth="1"/>
    <col min="2168" max="2170" width="6" bestFit="1" customWidth="1"/>
    <col min="2171" max="2175" width="5" bestFit="1" customWidth="1"/>
    <col min="2176" max="2179" width="6" bestFit="1" customWidth="1"/>
    <col min="2180" max="2180" width="5" bestFit="1" customWidth="1"/>
    <col min="2181" max="2181" width="6" bestFit="1" customWidth="1"/>
    <col min="2182" max="2182" width="5" bestFit="1" customWidth="1"/>
    <col min="2183" max="2183" width="6" bestFit="1" customWidth="1"/>
    <col min="2184" max="2185" width="5" bestFit="1" customWidth="1"/>
    <col min="2186" max="2186" width="6" bestFit="1" customWidth="1"/>
    <col min="2187" max="2187" width="5" bestFit="1" customWidth="1"/>
    <col min="2188" max="2188" width="6" bestFit="1" customWidth="1"/>
    <col min="2189" max="2189" width="5" bestFit="1" customWidth="1"/>
    <col min="2190" max="2190" width="6" bestFit="1" customWidth="1"/>
    <col min="2191" max="2194" width="5" bestFit="1" customWidth="1"/>
    <col min="2195" max="2196" width="6" bestFit="1" customWidth="1"/>
    <col min="2197" max="2197" width="4" bestFit="1" customWidth="1"/>
    <col min="2198" max="2199" width="5" bestFit="1" customWidth="1"/>
    <col min="2200" max="2201" width="6" bestFit="1" customWidth="1"/>
    <col min="2202" max="2202" width="5" bestFit="1" customWidth="1"/>
    <col min="2203" max="2203" width="6" bestFit="1" customWidth="1"/>
    <col min="2204" max="2205" width="5" bestFit="1" customWidth="1"/>
    <col min="2206" max="2206" width="6" bestFit="1" customWidth="1"/>
    <col min="2207" max="2208" width="5" bestFit="1" customWidth="1"/>
    <col min="2209" max="2209" width="6" bestFit="1" customWidth="1"/>
    <col min="2210" max="2211" width="5" bestFit="1" customWidth="1"/>
    <col min="2212" max="2212" width="6" bestFit="1" customWidth="1"/>
    <col min="2213" max="2213" width="4" bestFit="1" customWidth="1"/>
    <col min="2214" max="2214" width="5" bestFit="1" customWidth="1"/>
    <col min="2215" max="2215" width="6" bestFit="1" customWidth="1"/>
    <col min="2216" max="2216" width="5" bestFit="1" customWidth="1"/>
    <col min="2217" max="2217" width="6" bestFit="1" customWidth="1"/>
    <col min="2218" max="2219" width="5" bestFit="1" customWidth="1"/>
    <col min="2220" max="2223" width="6" bestFit="1" customWidth="1"/>
    <col min="2224" max="2224" width="5" bestFit="1" customWidth="1"/>
    <col min="2225" max="2225" width="6" bestFit="1" customWidth="1"/>
    <col min="2226" max="2226" width="5" bestFit="1" customWidth="1"/>
    <col min="2227" max="2227" width="6" bestFit="1" customWidth="1"/>
    <col min="2228" max="2228" width="5" bestFit="1" customWidth="1"/>
    <col min="2229" max="2230" width="6" bestFit="1" customWidth="1"/>
    <col min="2231" max="2231" width="5" bestFit="1" customWidth="1"/>
    <col min="2232" max="2232" width="6" bestFit="1" customWidth="1"/>
    <col min="2233" max="2233" width="5" bestFit="1" customWidth="1"/>
    <col min="2234" max="2235" width="6" bestFit="1" customWidth="1"/>
    <col min="2236" max="2236" width="5" bestFit="1" customWidth="1"/>
    <col min="2237" max="2237" width="6" bestFit="1" customWidth="1"/>
    <col min="2238" max="2241" width="5" bestFit="1" customWidth="1"/>
    <col min="2242" max="2242" width="6" bestFit="1" customWidth="1"/>
    <col min="2243" max="2243" width="5" bestFit="1" customWidth="1"/>
    <col min="2244" max="2244" width="6" bestFit="1" customWidth="1"/>
    <col min="2245" max="2249" width="5" bestFit="1" customWidth="1"/>
    <col min="2250" max="2251" width="6" bestFit="1" customWidth="1"/>
    <col min="2252" max="2254" width="5" bestFit="1" customWidth="1"/>
    <col min="2255" max="2256" width="6" bestFit="1" customWidth="1"/>
    <col min="2257" max="2257" width="4" bestFit="1" customWidth="1"/>
    <col min="2258" max="2259" width="6" bestFit="1" customWidth="1"/>
    <col min="2260" max="2261" width="5" bestFit="1" customWidth="1"/>
    <col min="2262" max="2262" width="6" bestFit="1" customWidth="1"/>
    <col min="2263" max="2263" width="5" bestFit="1" customWidth="1"/>
    <col min="2264" max="2264" width="6" bestFit="1" customWidth="1"/>
    <col min="2265" max="2266" width="5" bestFit="1" customWidth="1"/>
    <col min="2267" max="2268" width="6" bestFit="1" customWidth="1"/>
    <col min="2269" max="2269" width="4" bestFit="1" customWidth="1"/>
    <col min="2270" max="2270" width="5" bestFit="1" customWidth="1"/>
    <col min="2271" max="2271" width="6" bestFit="1" customWidth="1"/>
    <col min="2272" max="2272" width="5" bestFit="1" customWidth="1"/>
    <col min="2273" max="2276" width="6" bestFit="1" customWidth="1"/>
    <col min="2277" max="2277" width="5" bestFit="1" customWidth="1"/>
    <col min="2278" max="2278" width="6" bestFit="1" customWidth="1"/>
    <col min="2279" max="2279" width="5" bestFit="1" customWidth="1"/>
    <col min="2280" max="2280" width="6" bestFit="1" customWidth="1"/>
    <col min="2281" max="2282" width="5" bestFit="1" customWidth="1"/>
    <col min="2283" max="2283" width="6" bestFit="1" customWidth="1"/>
    <col min="2284" max="2284" width="5" bestFit="1" customWidth="1"/>
    <col min="2285" max="2285" width="6" bestFit="1" customWidth="1"/>
    <col min="2286" max="2286" width="4" bestFit="1" customWidth="1"/>
    <col min="2287" max="2287" width="6" bestFit="1" customWidth="1"/>
    <col min="2288" max="2288" width="5" bestFit="1" customWidth="1"/>
    <col min="2289" max="2290" width="6" bestFit="1" customWidth="1"/>
    <col min="2291" max="2292" width="5" bestFit="1" customWidth="1"/>
    <col min="2293" max="2295" width="6" bestFit="1" customWidth="1"/>
    <col min="2296" max="2297" width="4" bestFit="1" customWidth="1"/>
    <col min="2298" max="2298" width="6" bestFit="1" customWidth="1"/>
    <col min="2299" max="2300" width="5" bestFit="1" customWidth="1"/>
    <col min="2301" max="2301" width="6" bestFit="1" customWidth="1"/>
    <col min="2302" max="2303" width="5" bestFit="1" customWidth="1"/>
    <col min="2304" max="2304" width="6" bestFit="1" customWidth="1"/>
    <col min="2305" max="2305" width="5" bestFit="1" customWidth="1"/>
    <col min="2306" max="2309" width="6" bestFit="1" customWidth="1"/>
    <col min="2310" max="2311" width="5" bestFit="1" customWidth="1"/>
    <col min="2312" max="2312" width="6" bestFit="1" customWidth="1"/>
    <col min="2313" max="2313" width="5" bestFit="1" customWidth="1"/>
    <col min="2314" max="2314" width="6" bestFit="1" customWidth="1"/>
    <col min="2315" max="2317" width="5" bestFit="1" customWidth="1"/>
    <col min="2318" max="2318" width="4" bestFit="1" customWidth="1"/>
    <col min="2319" max="2320" width="6" bestFit="1" customWidth="1"/>
    <col min="2321" max="2321" width="5" bestFit="1" customWidth="1"/>
    <col min="2322" max="2324" width="6" bestFit="1" customWidth="1"/>
    <col min="2325" max="2327" width="5" bestFit="1" customWidth="1"/>
    <col min="2328" max="2329" width="6" bestFit="1" customWidth="1"/>
    <col min="2330" max="2331" width="5" bestFit="1" customWidth="1"/>
    <col min="2332" max="2332" width="6" bestFit="1" customWidth="1"/>
    <col min="2333" max="2333" width="5" bestFit="1" customWidth="1"/>
    <col min="2334" max="2334" width="6" bestFit="1" customWidth="1"/>
    <col min="2335" max="2335" width="4" bestFit="1" customWidth="1"/>
    <col min="2336" max="2336" width="5" bestFit="1" customWidth="1"/>
    <col min="2337" max="2337" width="4" bestFit="1" customWidth="1"/>
    <col min="2338" max="2338" width="6" bestFit="1" customWidth="1"/>
    <col min="2339" max="2339" width="4" bestFit="1" customWidth="1"/>
    <col min="2340" max="2343" width="5" bestFit="1" customWidth="1"/>
    <col min="2344" max="2345" width="6" bestFit="1" customWidth="1"/>
    <col min="2346" max="2346" width="4" bestFit="1" customWidth="1"/>
    <col min="2347" max="2348" width="6" bestFit="1" customWidth="1"/>
    <col min="2349" max="2349" width="5" bestFit="1" customWidth="1"/>
    <col min="2350" max="2351" width="6" bestFit="1" customWidth="1"/>
    <col min="2352" max="2352" width="4" bestFit="1" customWidth="1"/>
    <col min="2353" max="2355" width="5" bestFit="1" customWidth="1"/>
    <col min="2356" max="2356" width="6" bestFit="1" customWidth="1"/>
    <col min="2357" max="2357" width="5" bestFit="1" customWidth="1"/>
    <col min="2358" max="2359" width="6" bestFit="1" customWidth="1"/>
    <col min="2360" max="2362" width="5" bestFit="1" customWidth="1"/>
    <col min="2363" max="2363" width="6" bestFit="1" customWidth="1"/>
    <col min="2364" max="2370" width="5" bestFit="1" customWidth="1"/>
    <col min="2371" max="2371" width="4" bestFit="1" customWidth="1"/>
    <col min="2372" max="2373" width="6" bestFit="1" customWidth="1"/>
    <col min="2374" max="2374" width="4" bestFit="1" customWidth="1"/>
    <col min="2375" max="2376" width="5" bestFit="1" customWidth="1"/>
    <col min="2377" max="2377" width="6" bestFit="1" customWidth="1"/>
    <col min="2378" max="2379" width="5" bestFit="1" customWidth="1"/>
    <col min="2380" max="2381" width="6" bestFit="1" customWidth="1"/>
    <col min="2382" max="2382" width="4" bestFit="1" customWidth="1"/>
    <col min="2383" max="2383" width="5" bestFit="1" customWidth="1"/>
    <col min="2384" max="2388" width="6" bestFit="1" customWidth="1"/>
    <col min="2389" max="2391" width="5" bestFit="1" customWidth="1"/>
    <col min="2392" max="2394" width="6" bestFit="1" customWidth="1"/>
    <col min="2395" max="2396" width="5" bestFit="1" customWidth="1"/>
    <col min="2397" max="2397" width="6" bestFit="1" customWidth="1"/>
    <col min="2398" max="2398" width="4" bestFit="1" customWidth="1"/>
    <col min="2399" max="2399" width="6" bestFit="1" customWidth="1"/>
    <col min="2400" max="2402" width="5" bestFit="1" customWidth="1"/>
    <col min="2403" max="2403" width="6" bestFit="1" customWidth="1"/>
    <col min="2404" max="2404" width="5" bestFit="1" customWidth="1"/>
    <col min="2405" max="2405" width="6" bestFit="1" customWidth="1"/>
    <col min="2406" max="2406" width="5" bestFit="1" customWidth="1"/>
    <col min="2407" max="2407" width="4" bestFit="1" customWidth="1"/>
    <col min="2408" max="2410" width="6" bestFit="1" customWidth="1"/>
    <col min="2411" max="2411" width="5" bestFit="1" customWidth="1"/>
    <col min="2412" max="2412" width="6" bestFit="1" customWidth="1"/>
    <col min="2413" max="2416" width="5" bestFit="1" customWidth="1"/>
    <col min="2417" max="2417" width="4" bestFit="1" customWidth="1"/>
    <col min="2418" max="2418" width="5" bestFit="1" customWidth="1"/>
    <col min="2419" max="2419" width="6" bestFit="1" customWidth="1"/>
    <col min="2420" max="2421" width="5" bestFit="1" customWidth="1"/>
    <col min="2422" max="2422" width="6" bestFit="1" customWidth="1"/>
    <col min="2423" max="2425" width="5" bestFit="1" customWidth="1"/>
    <col min="2426" max="2430" width="6" bestFit="1" customWidth="1"/>
    <col min="2431" max="2431" width="5" bestFit="1" customWidth="1"/>
    <col min="2432" max="2432" width="6" bestFit="1" customWidth="1"/>
    <col min="2433" max="2433" width="5" bestFit="1" customWidth="1"/>
    <col min="2434" max="2435" width="6" bestFit="1" customWidth="1"/>
    <col min="2436" max="2436" width="5" bestFit="1" customWidth="1"/>
    <col min="2437" max="2438" width="6" bestFit="1" customWidth="1"/>
    <col min="2439" max="2440" width="5" bestFit="1" customWidth="1"/>
    <col min="2441" max="2441" width="6" bestFit="1" customWidth="1"/>
    <col min="2442" max="2442" width="5" bestFit="1" customWidth="1"/>
    <col min="2443" max="2443" width="6" bestFit="1" customWidth="1"/>
    <col min="2444" max="2445" width="5" bestFit="1" customWidth="1"/>
    <col min="2446" max="2448" width="6" bestFit="1" customWidth="1"/>
    <col min="2449" max="2449" width="5" bestFit="1" customWidth="1"/>
    <col min="2450" max="2450" width="6" bestFit="1" customWidth="1"/>
    <col min="2451" max="2451" width="5" bestFit="1" customWidth="1"/>
    <col min="2452" max="2452" width="6" bestFit="1" customWidth="1"/>
    <col min="2453" max="2456" width="5" bestFit="1" customWidth="1"/>
    <col min="2457" max="2457" width="6" bestFit="1" customWidth="1"/>
    <col min="2458" max="2458" width="5" bestFit="1" customWidth="1"/>
    <col min="2459" max="2459" width="6" bestFit="1" customWidth="1"/>
    <col min="2460" max="2460" width="5" bestFit="1" customWidth="1"/>
    <col min="2461" max="2461" width="6" bestFit="1" customWidth="1"/>
    <col min="2462" max="2464" width="5" bestFit="1" customWidth="1"/>
    <col min="2465" max="2465" width="6" bestFit="1" customWidth="1"/>
    <col min="2466" max="2466" width="5" bestFit="1" customWidth="1"/>
    <col min="2467" max="2467" width="6" bestFit="1" customWidth="1"/>
    <col min="2468" max="2469" width="5" bestFit="1" customWidth="1"/>
    <col min="2470" max="2470" width="4" bestFit="1" customWidth="1"/>
    <col min="2471" max="2472" width="6" bestFit="1" customWidth="1"/>
    <col min="2473" max="2473" width="4" bestFit="1" customWidth="1"/>
    <col min="2474" max="2476" width="6" bestFit="1" customWidth="1"/>
    <col min="2477" max="2477" width="5" bestFit="1" customWidth="1"/>
    <col min="2478" max="2479" width="6" bestFit="1" customWidth="1"/>
    <col min="2480" max="2480" width="5" bestFit="1" customWidth="1"/>
    <col min="2481" max="2482" width="6" bestFit="1" customWidth="1"/>
    <col min="2483" max="2483" width="5" bestFit="1" customWidth="1"/>
    <col min="2484" max="2484" width="6" bestFit="1" customWidth="1"/>
    <col min="2485" max="2485" width="4" bestFit="1" customWidth="1"/>
    <col min="2486" max="2486" width="6" bestFit="1" customWidth="1"/>
    <col min="2487" max="2488" width="5" bestFit="1" customWidth="1"/>
    <col min="2489" max="2489" width="6" bestFit="1" customWidth="1"/>
    <col min="2490" max="2490" width="5" bestFit="1" customWidth="1"/>
    <col min="2491" max="2491" width="4" bestFit="1" customWidth="1"/>
    <col min="2492" max="2493" width="5" bestFit="1" customWidth="1"/>
    <col min="2494" max="2495" width="6" bestFit="1" customWidth="1"/>
    <col min="2496" max="2498" width="5" bestFit="1" customWidth="1"/>
    <col min="2499" max="2499" width="6" bestFit="1" customWidth="1"/>
    <col min="2500" max="2502" width="5" bestFit="1" customWidth="1"/>
    <col min="2503" max="2504" width="6" bestFit="1" customWidth="1"/>
    <col min="2505" max="2508" width="5" bestFit="1" customWidth="1"/>
    <col min="2509" max="2509" width="6" bestFit="1" customWidth="1"/>
    <col min="2510" max="2515" width="5" bestFit="1" customWidth="1"/>
    <col min="2516" max="2516" width="6" bestFit="1" customWidth="1"/>
    <col min="2517" max="2518" width="5" bestFit="1" customWidth="1"/>
    <col min="2519" max="2519" width="6" bestFit="1" customWidth="1"/>
    <col min="2520" max="2521" width="5" bestFit="1" customWidth="1"/>
    <col min="2522" max="2525" width="6" bestFit="1" customWidth="1"/>
    <col min="2526" max="2527" width="5" bestFit="1" customWidth="1"/>
    <col min="2528" max="2528" width="6" bestFit="1" customWidth="1"/>
    <col min="2529" max="2529" width="4" bestFit="1" customWidth="1"/>
    <col min="2530" max="2531" width="6" bestFit="1" customWidth="1"/>
    <col min="2532" max="2532" width="5" bestFit="1" customWidth="1"/>
    <col min="2533" max="2535" width="6" bestFit="1" customWidth="1"/>
    <col min="2536" max="2536" width="4" bestFit="1" customWidth="1"/>
    <col min="2537" max="2537" width="5" bestFit="1" customWidth="1"/>
    <col min="2538" max="2538" width="6" bestFit="1" customWidth="1"/>
    <col min="2539" max="2539" width="4" bestFit="1" customWidth="1"/>
    <col min="2540" max="2541" width="5" bestFit="1" customWidth="1"/>
    <col min="2542" max="2542" width="6" bestFit="1" customWidth="1"/>
    <col min="2543" max="2543" width="5" bestFit="1" customWidth="1"/>
    <col min="2544" max="2544" width="4" bestFit="1" customWidth="1"/>
    <col min="2545" max="2545" width="6" bestFit="1" customWidth="1"/>
    <col min="2546" max="2546" width="5" bestFit="1" customWidth="1"/>
    <col min="2547" max="2549" width="6" bestFit="1" customWidth="1"/>
    <col min="2550" max="2550" width="5" bestFit="1" customWidth="1"/>
    <col min="2551" max="2551" width="6" bestFit="1" customWidth="1"/>
    <col min="2552" max="2552" width="5" bestFit="1" customWidth="1"/>
    <col min="2553" max="2553" width="6" bestFit="1" customWidth="1"/>
    <col min="2554" max="2554" width="5" bestFit="1" customWidth="1"/>
    <col min="2555" max="2555" width="6" bestFit="1" customWidth="1"/>
    <col min="2556" max="2557" width="5" bestFit="1" customWidth="1"/>
    <col min="2558" max="2558" width="6" bestFit="1" customWidth="1"/>
    <col min="2559" max="2560" width="5" bestFit="1" customWidth="1"/>
    <col min="2561" max="2561" width="6" bestFit="1" customWidth="1"/>
    <col min="2562" max="2562" width="5" bestFit="1" customWidth="1"/>
    <col min="2563" max="2563" width="4" bestFit="1" customWidth="1"/>
    <col min="2564" max="2564" width="5" bestFit="1" customWidth="1"/>
    <col min="2565" max="2566" width="6" bestFit="1" customWidth="1"/>
    <col min="2567" max="2567" width="5" bestFit="1" customWidth="1"/>
    <col min="2568" max="2568" width="6" bestFit="1" customWidth="1"/>
    <col min="2569" max="2574" width="5" bestFit="1" customWidth="1"/>
    <col min="2575" max="2575" width="6" bestFit="1" customWidth="1"/>
    <col min="2576" max="2577" width="5" bestFit="1" customWidth="1"/>
    <col min="2578" max="2578" width="6" bestFit="1" customWidth="1"/>
    <col min="2579" max="2579" width="5" bestFit="1" customWidth="1"/>
    <col min="2580" max="2582" width="6" bestFit="1" customWidth="1"/>
    <col min="2583" max="2583" width="5" bestFit="1" customWidth="1"/>
    <col min="2584" max="2584" width="6" bestFit="1" customWidth="1"/>
    <col min="2585" max="2589" width="5" bestFit="1" customWidth="1"/>
    <col min="2590" max="2591" width="6" bestFit="1" customWidth="1"/>
    <col min="2592" max="2592" width="5" bestFit="1" customWidth="1"/>
    <col min="2593" max="2594" width="6" bestFit="1" customWidth="1"/>
    <col min="2595" max="2595" width="5" bestFit="1" customWidth="1"/>
    <col min="2596" max="2596" width="6" bestFit="1" customWidth="1"/>
    <col min="2597" max="2600" width="5" bestFit="1" customWidth="1"/>
    <col min="2601" max="2601" width="6" bestFit="1" customWidth="1"/>
    <col min="2602" max="2603" width="5" bestFit="1" customWidth="1"/>
    <col min="2604" max="2604" width="6" bestFit="1" customWidth="1"/>
    <col min="2605" max="2609" width="5" bestFit="1" customWidth="1"/>
    <col min="2610" max="2610" width="6" bestFit="1" customWidth="1"/>
    <col min="2611" max="2617" width="5" bestFit="1" customWidth="1"/>
    <col min="2618" max="2619" width="6" bestFit="1" customWidth="1"/>
    <col min="2620" max="2622" width="5" bestFit="1" customWidth="1"/>
    <col min="2623" max="2623" width="6" bestFit="1" customWidth="1"/>
    <col min="2624" max="2624" width="5" bestFit="1" customWidth="1"/>
    <col min="2625" max="2625" width="6" bestFit="1" customWidth="1"/>
    <col min="2626" max="2626" width="5" bestFit="1" customWidth="1"/>
    <col min="2627" max="2627" width="6" bestFit="1" customWidth="1"/>
    <col min="2628" max="2630" width="5" bestFit="1" customWidth="1"/>
    <col min="2631" max="2631" width="6" bestFit="1" customWidth="1"/>
    <col min="2632" max="2633" width="5" bestFit="1" customWidth="1"/>
    <col min="2634" max="2634" width="6" bestFit="1" customWidth="1"/>
    <col min="2635" max="2635" width="5" bestFit="1" customWidth="1"/>
    <col min="2636" max="2636" width="6" bestFit="1" customWidth="1"/>
    <col min="2637" max="2639" width="5" bestFit="1" customWidth="1"/>
    <col min="2640" max="2641" width="6" bestFit="1" customWidth="1"/>
    <col min="2642" max="2645" width="5" bestFit="1" customWidth="1"/>
    <col min="2646" max="2646" width="6" bestFit="1" customWidth="1"/>
    <col min="2647" max="2651" width="5" bestFit="1" customWidth="1"/>
    <col min="2652" max="2652" width="6" bestFit="1" customWidth="1"/>
    <col min="2653" max="2654" width="5" bestFit="1" customWidth="1"/>
    <col min="2655" max="2658" width="6" bestFit="1" customWidth="1"/>
    <col min="2659" max="2663" width="5" bestFit="1" customWidth="1"/>
    <col min="2664" max="2667" width="6" bestFit="1" customWidth="1"/>
    <col min="2668" max="2668" width="5" bestFit="1" customWidth="1"/>
    <col min="2669" max="2670" width="6" bestFit="1" customWidth="1"/>
    <col min="2671" max="2671" width="5" bestFit="1" customWidth="1"/>
    <col min="2672" max="2673" width="6" bestFit="1" customWidth="1"/>
    <col min="2674" max="2674" width="5" bestFit="1" customWidth="1"/>
    <col min="2675" max="2675" width="6" bestFit="1" customWidth="1"/>
    <col min="2676" max="2676" width="5" bestFit="1" customWidth="1"/>
    <col min="2677" max="2681" width="6" bestFit="1" customWidth="1"/>
    <col min="2682" max="2684" width="5" bestFit="1" customWidth="1"/>
    <col min="2685" max="2685" width="6" bestFit="1" customWidth="1"/>
    <col min="2686" max="2687" width="5" bestFit="1" customWidth="1"/>
    <col min="2688" max="2688" width="6" bestFit="1" customWidth="1"/>
    <col min="2689" max="2689" width="5" bestFit="1" customWidth="1"/>
    <col min="2690" max="2692" width="6" bestFit="1" customWidth="1"/>
    <col min="2693" max="2694" width="5" bestFit="1" customWidth="1"/>
    <col min="2695" max="2699" width="6" bestFit="1" customWidth="1"/>
    <col min="2700" max="2700" width="5" bestFit="1" customWidth="1"/>
    <col min="2701" max="2702" width="6" bestFit="1" customWidth="1"/>
    <col min="2703" max="2703" width="5" bestFit="1" customWidth="1"/>
    <col min="2704" max="2704" width="6" bestFit="1" customWidth="1"/>
    <col min="2705" max="2707" width="5" bestFit="1" customWidth="1"/>
    <col min="2708" max="2709" width="6" bestFit="1" customWidth="1"/>
    <col min="2710" max="2711" width="5" bestFit="1" customWidth="1"/>
    <col min="2712" max="2714" width="6" bestFit="1" customWidth="1"/>
    <col min="2715" max="2717" width="5" bestFit="1" customWidth="1"/>
    <col min="2718" max="2718" width="6" bestFit="1" customWidth="1"/>
    <col min="2719" max="2719" width="5" bestFit="1" customWidth="1"/>
    <col min="2720" max="2721" width="6" bestFit="1" customWidth="1"/>
    <col min="2722" max="2724" width="5" bestFit="1" customWidth="1"/>
    <col min="2725" max="2725" width="6" bestFit="1" customWidth="1"/>
    <col min="2726" max="2726" width="5" bestFit="1" customWidth="1"/>
    <col min="2727" max="2727" width="6" bestFit="1" customWidth="1"/>
    <col min="2728" max="2734" width="5" bestFit="1" customWidth="1"/>
    <col min="2735" max="2735" width="6" bestFit="1" customWidth="1"/>
    <col min="2736" max="2738" width="5" bestFit="1" customWidth="1"/>
    <col min="2739" max="2742" width="6" bestFit="1" customWidth="1"/>
    <col min="2743" max="2744" width="5" bestFit="1" customWidth="1"/>
    <col min="2745" max="2745" width="6" bestFit="1" customWidth="1"/>
    <col min="2746" max="2747" width="5" bestFit="1" customWidth="1"/>
    <col min="2748" max="2749" width="6" bestFit="1" customWidth="1"/>
    <col min="2750" max="2752" width="5" bestFit="1" customWidth="1"/>
    <col min="2753" max="2753" width="6" bestFit="1" customWidth="1"/>
    <col min="2754" max="2755" width="5" bestFit="1" customWidth="1"/>
    <col min="2756" max="2756" width="6" bestFit="1" customWidth="1"/>
    <col min="2757" max="2758" width="5" bestFit="1" customWidth="1"/>
    <col min="2759" max="2759" width="6" bestFit="1" customWidth="1"/>
    <col min="2760" max="2761" width="5" bestFit="1" customWidth="1"/>
    <col min="2762" max="2763" width="6" bestFit="1" customWidth="1"/>
    <col min="2764" max="2764" width="5" bestFit="1" customWidth="1"/>
    <col min="2765" max="2766" width="6" bestFit="1" customWidth="1"/>
    <col min="2767" max="2769" width="5" bestFit="1" customWidth="1"/>
    <col min="2770" max="2771" width="6" bestFit="1" customWidth="1"/>
    <col min="2772" max="2773" width="5" bestFit="1" customWidth="1"/>
    <col min="2774" max="2779" width="6" bestFit="1" customWidth="1"/>
    <col min="2780" max="2780" width="5" bestFit="1" customWidth="1"/>
    <col min="2781" max="2783" width="6" bestFit="1" customWidth="1"/>
    <col min="2784" max="2785" width="5" bestFit="1" customWidth="1"/>
    <col min="2786" max="2786" width="6" bestFit="1" customWidth="1"/>
    <col min="2787" max="2787" width="5" bestFit="1" customWidth="1"/>
    <col min="2788" max="2791" width="6" bestFit="1" customWidth="1"/>
    <col min="2792" max="2793" width="5" bestFit="1" customWidth="1"/>
    <col min="2794" max="2794" width="6" bestFit="1" customWidth="1"/>
    <col min="2795" max="2796" width="5" bestFit="1" customWidth="1"/>
    <col min="2797" max="2798" width="6" bestFit="1" customWidth="1"/>
    <col min="2799" max="2800" width="5" bestFit="1" customWidth="1"/>
    <col min="2801" max="2801" width="6" bestFit="1" customWidth="1"/>
    <col min="2802" max="2803" width="5" bestFit="1" customWidth="1"/>
    <col min="2804" max="2804" width="6" bestFit="1" customWidth="1"/>
    <col min="2805" max="2805" width="5" bestFit="1" customWidth="1"/>
    <col min="2806" max="2808" width="6" bestFit="1" customWidth="1"/>
    <col min="2809" max="2809" width="5" bestFit="1" customWidth="1"/>
    <col min="2810" max="2813" width="6" bestFit="1" customWidth="1"/>
    <col min="2814" max="2815" width="5" bestFit="1" customWidth="1"/>
    <col min="2816" max="2816" width="6" bestFit="1" customWidth="1"/>
    <col min="2817" max="2818" width="5" bestFit="1" customWidth="1"/>
    <col min="2819" max="2819" width="6" bestFit="1" customWidth="1"/>
    <col min="2820" max="2821" width="5" bestFit="1" customWidth="1"/>
    <col min="2822" max="2822" width="6" bestFit="1" customWidth="1"/>
    <col min="2823" max="2823" width="5" bestFit="1" customWidth="1"/>
    <col min="2824" max="2824" width="6" bestFit="1" customWidth="1"/>
    <col min="2825" max="2826" width="5" bestFit="1" customWidth="1"/>
    <col min="2827" max="2828" width="6" bestFit="1" customWidth="1"/>
    <col min="2829" max="2830" width="5" bestFit="1" customWidth="1"/>
    <col min="2831" max="2832" width="6" bestFit="1" customWidth="1"/>
    <col min="2833" max="2833" width="5" bestFit="1" customWidth="1"/>
    <col min="2834" max="2834" width="6" bestFit="1" customWidth="1"/>
    <col min="2835" max="2837" width="5" bestFit="1" customWidth="1"/>
    <col min="2838" max="2841" width="6" bestFit="1" customWidth="1"/>
    <col min="2842" max="2842" width="5" bestFit="1" customWidth="1"/>
    <col min="2843" max="2844" width="6" bestFit="1" customWidth="1"/>
    <col min="2845" max="2845" width="5" bestFit="1" customWidth="1"/>
    <col min="2846" max="2846" width="6" bestFit="1" customWidth="1"/>
    <col min="2847" max="2849" width="5" bestFit="1" customWidth="1"/>
    <col min="2850" max="2850" width="6" bestFit="1" customWidth="1"/>
    <col min="2851" max="2853" width="5" bestFit="1" customWidth="1"/>
    <col min="2854" max="2854" width="6" bestFit="1" customWidth="1"/>
    <col min="2855" max="2856" width="5" bestFit="1" customWidth="1"/>
    <col min="2857" max="2857" width="6" bestFit="1" customWidth="1"/>
    <col min="2858" max="2859" width="5" bestFit="1" customWidth="1"/>
    <col min="2860" max="2860" width="6" bestFit="1" customWidth="1"/>
    <col min="2861" max="2862" width="5" bestFit="1" customWidth="1"/>
    <col min="2863" max="2864" width="6" bestFit="1" customWidth="1"/>
    <col min="2865" max="2865" width="5" bestFit="1" customWidth="1"/>
    <col min="2866" max="2871" width="6" bestFit="1" customWidth="1"/>
    <col min="2872" max="2872" width="5" bestFit="1" customWidth="1"/>
    <col min="2873" max="2874" width="6" bestFit="1" customWidth="1"/>
    <col min="2875" max="2878" width="5" bestFit="1" customWidth="1"/>
    <col min="2879" max="2880" width="6" bestFit="1" customWidth="1"/>
    <col min="2881" max="2882" width="5" bestFit="1" customWidth="1"/>
    <col min="2883" max="2884" width="6" bestFit="1" customWidth="1"/>
    <col min="2885" max="2886" width="5" bestFit="1" customWidth="1"/>
    <col min="2887" max="2889" width="6" bestFit="1" customWidth="1"/>
    <col min="2890" max="2893" width="5" bestFit="1" customWidth="1"/>
    <col min="2894" max="2894" width="6" bestFit="1" customWidth="1"/>
    <col min="2895" max="2895" width="5" bestFit="1" customWidth="1"/>
    <col min="2896" max="2896" width="6" bestFit="1" customWidth="1"/>
    <col min="2897" max="2902" width="5" bestFit="1" customWidth="1"/>
    <col min="2903" max="2903" width="6" bestFit="1" customWidth="1"/>
    <col min="2904" max="2904" width="5" bestFit="1" customWidth="1"/>
    <col min="2905" max="2906" width="6" bestFit="1" customWidth="1"/>
    <col min="2907" max="2907" width="5" bestFit="1" customWidth="1"/>
    <col min="2908" max="2909" width="6" bestFit="1" customWidth="1"/>
    <col min="2910" max="2911" width="5" bestFit="1" customWidth="1"/>
    <col min="2912" max="2912" width="6" bestFit="1" customWidth="1"/>
    <col min="2913" max="2913" width="5" bestFit="1" customWidth="1"/>
    <col min="2914" max="2914" width="6" bestFit="1" customWidth="1"/>
    <col min="2915" max="2916" width="5" bestFit="1" customWidth="1"/>
    <col min="2917" max="2918" width="6" bestFit="1" customWidth="1"/>
    <col min="2919" max="2923" width="5" bestFit="1" customWidth="1"/>
    <col min="2924" max="2924" width="6" bestFit="1" customWidth="1"/>
    <col min="2925" max="2926" width="5" bestFit="1" customWidth="1"/>
    <col min="2927" max="2928" width="6" bestFit="1" customWidth="1"/>
    <col min="2929" max="2930" width="5" bestFit="1" customWidth="1"/>
    <col min="2931" max="2931" width="6" bestFit="1" customWidth="1"/>
    <col min="2932" max="2933" width="5" bestFit="1" customWidth="1"/>
    <col min="2934" max="2935" width="6" bestFit="1" customWidth="1"/>
    <col min="2936" max="2937" width="5" bestFit="1" customWidth="1"/>
    <col min="2938" max="2938" width="6" bestFit="1" customWidth="1"/>
    <col min="2939" max="2939" width="5" bestFit="1" customWidth="1"/>
    <col min="2940" max="2941" width="6" bestFit="1" customWidth="1"/>
    <col min="2942" max="2943" width="5" bestFit="1" customWidth="1"/>
    <col min="2944" max="2944" width="6" bestFit="1" customWidth="1"/>
    <col min="2945" max="2950" width="5" bestFit="1" customWidth="1"/>
    <col min="2951" max="2951" width="6" bestFit="1" customWidth="1"/>
    <col min="2952" max="2953" width="5" bestFit="1" customWidth="1"/>
    <col min="2954" max="2956" width="6" bestFit="1" customWidth="1"/>
    <col min="2957" max="2957" width="5" bestFit="1" customWidth="1"/>
    <col min="2958" max="2958" width="6" bestFit="1" customWidth="1"/>
    <col min="2959" max="2959" width="5" bestFit="1" customWidth="1"/>
    <col min="2960" max="2960" width="6" bestFit="1" customWidth="1"/>
    <col min="2961" max="2963" width="5" bestFit="1" customWidth="1"/>
    <col min="2964" max="2964" width="6" bestFit="1" customWidth="1"/>
    <col min="2965" max="2968" width="5" bestFit="1" customWidth="1"/>
    <col min="2969" max="2972" width="6" bestFit="1" customWidth="1"/>
    <col min="2973" max="2975" width="5" bestFit="1" customWidth="1"/>
    <col min="2976" max="2976" width="6" bestFit="1" customWidth="1"/>
    <col min="2977" max="2979" width="5" bestFit="1" customWidth="1"/>
    <col min="2980" max="2981" width="6" bestFit="1" customWidth="1"/>
    <col min="2982" max="2982" width="5" bestFit="1" customWidth="1"/>
    <col min="2983" max="2983" width="6" bestFit="1" customWidth="1"/>
    <col min="2984" max="2985" width="5" bestFit="1" customWidth="1"/>
    <col min="2986" max="2986" width="6" bestFit="1" customWidth="1"/>
    <col min="2987" max="2987" width="5" bestFit="1" customWidth="1"/>
    <col min="2988" max="2988" width="6" bestFit="1" customWidth="1"/>
    <col min="2989" max="2991" width="5" bestFit="1" customWidth="1"/>
    <col min="2992" max="2992" width="6" bestFit="1" customWidth="1"/>
    <col min="2993" max="2994" width="5" bestFit="1" customWidth="1"/>
    <col min="2995" max="2995" width="6" bestFit="1" customWidth="1"/>
    <col min="2996" max="2996" width="5" bestFit="1" customWidth="1"/>
    <col min="2997" max="2998" width="6" bestFit="1" customWidth="1"/>
    <col min="2999" max="2999" width="5" bestFit="1" customWidth="1"/>
    <col min="3000" max="3000" width="6" bestFit="1" customWidth="1"/>
    <col min="3001" max="3002" width="5" bestFit="1" customWidth="1"/>
    <col min="3003" max="3007" width="6" bestFit="1" customWidth="1"/>
    <col min="3008" max="3008" width="5" bestFit="1" customWidth="1"/>
    <col min="3009" max="3009" width="6" bestFit="1" customWidth="1"/>
    <col min="3010" max="3019" width="5" bestFit="1" customWidth="1"/>
    <col min="3020" max="3022" width="6" bestFit="1" customWidth="1"/>
    <col min="3023" max="3023" width="5" bestFit="1" customWidth="1"/>
    <col min="3024" max="3024" width="6" bestFit="1" customWidth="1"/>
    <col min="3025" max="3026" width="5" bestFit="1" customWidth="1"/>
    <col min="3027" max="3030" width="6" bestFit="1" customWidth="1"/>
    <col min="3031" max="3032" width="5" bestFit="1" customWidth="1"/>
    <col min="3033" max="3036" width="6" bestFit="1" customWidth="1"/>
    <col min="3037" max="3037" width="5" bestFit="1" customWidth="1"/>
    <col min="3038" max="3038" width="6" bestFit="1" customWidth="1"/>
    <col min="3039" max="3039" width="5" bestFit="1" customWidth="1"/>
    <col min="3040" max="3041" width="6" bestFit="1" customWidth="1"/>
    <col min="3042" max="3043" width="5" bestFit="1" customWidth="1"/>
    <col min="3044" max="3045" width="6" bestFit="1" customWidth="1"/>
    <col min="3046" max="3047" width="5" bestFit="1" customWidth="1"/>
    <col min="3048" max="3049" width="6" bestFit="1" customWidth="1"/>
    <col min="3050" max="3050" width="5" bestFit="1" customWidth="1"/>
    <col min="3051" max="3054" width="6" bestFit="1" customWidth="1"/>
    <col min="3055" max="3057" width="5" bestFit="1" customWidth="1"/>
    <col min="3058" max="3058" width="6" bestFit="1" customWidth="1"/>
    <col min="3059" max="3063" width="5" bestFit="1" customWidth="1"/>
    <col min="3064" max="3064" width="6" bestFit="1" customWidth="1"/>
    <col min="3065" max="3067" width="5" bestFit="1" customWidth="1"/>
    <col min="3068" max="3070" width="6" bestFit="1" customWidth="1"/>
    <col min="3071" max="3071" width="5" bestFit="1" customWidth="1"/>
    <col min="3072" max="3072" width="6" bestFit="1" customWidth="1"/>
    <col min="3073" max="3073" width="5" bestFit="1" customWidth="1"/>
    <col min="3074" max="3074" width="6" bestFit="1" customWidth="1"/>
    <col min="3075" max="3077" width="5" bestFit="1" customWidth="1"/>
    <col min="3078" max="3078" width="6" bestFit="1" customWidth="1"/>
    <col min="3079" max="3079" width="5" bestFit="1" customWidth="1"/>
    <col min="3080" max="3080" width="6" bestFit="1" customWidth="1"/>
    <col min="3081" max="3082" width="5" bestFit="1" customWidth="1"/>
    <col min="3083" max="3083" width="6" bestFit="1" customWidth="1"/>
    <col min="3084" max="3085" width="5" bestFit="1" customWidth="1"/>
    <col min="3086" max="3086" width="6" bestFit="1" customWidth="1"/>
    <col min="3087" max="3087" width="5" bestFit="1" customWidth="1"/>
    <col min="3088" max="3089" width="6" bestFit="1" customWidth="1"/>
    <col min="3090" max="3090" width="5" bestFit="1" customWidth="1"/>
    <col min="3091" max="3091" width="6" bestFit="1" customWidth="1"/>
    <col min="3092" max="3092" width="5" bestFit="1" customWidth="1"/>
    <col min="3093" max="3093" width="6" bestFit="1" customWidth="1"/>
    <col min="3094" max="3095" width="5" bestFit="1" customWidth="1"/>
    <col min="3096" max="3096" width="6" bestFit="1" customWidth="1"/>
    <col min="3097" max="3099" width="5" bestFit="1" customWidth="1"/>
    <col min="3100" max="3100" width="6" bestFit="1" customWidth="1"/>
    <col min="3101" max="3102" width="5" bestFit="1" customWidth="1"/>
    <col min="3103" max="3104" width="6" bestFit="1" customWidth="1"/>
    <col min="3105" max="3106" width="5" bestFit="1" customWidth="1"/>
    <col min="3107" max="3109" width="6" bestFit="1" customWidth="1"/>
    <col min="3110" max="3110" width="5" bestFit="1" customWidth="1"/>
    <col min="3111" max="3113" width="6" bestFit="1" customWidth="1"/>
    <col min="3114" max="3114" width="5" bestFit="1" customWidth="1"/>
    <col min="3115" max="3116" width="6" bestFit="1" customWidth="1"/>
    <col min="3117" max="3117" width="5" bestFit="1" customWidth="1"/>
    <col min="3118" max="3118" width="6" bestFit="1" customWidth="1"/>
    <col min="3119" max="3119" width="5" bestFit="1" customWidth="1"/>
    <col min="3120" max="3122" width="6" bestFit="1" customWidth="1"/>
    <col min="3123" max="3123" width="5" bestFit="1" customWidth="1"/>
    <col min="3124" max="3128" width="6" bestFit="1" customWidth="1"/>
    <col min="3129" max="3129" width="5" bestFit="1" customWidth="1"/>
    <col min="3130" max="3130" width="6" bestFit="1" customWidth="1"/>
    <col min="3131" max="3131" width="5" bestFit="1" customWidth="1"/>
    <col min="3132" max="3133" width="6" bestFit="1" customWidth="1"/>
    <col min="3134" max="3136" width="5" bestFit="1" customWidth="1"/>
    <col min="3137" max="3137" width="6" bestFit="1" customWidth="1"/>
    <col min="3138" max="3138" width="5" bestFit="1" customWidth="1"/>
    <col min="3139" max="3139" width="6" bestFit="1" customWidth="1"/>
    <col min="3140" max="3140" width="5" bestFit="1" customWidth="1"/>
    <col min="3141" max="3141" width="6" bestFit="1" customWidth="1"/>
    <col min="3142" max="3144" width="5" bestFit="1" customWidth="1"/>
    <col min="3145" max="3145" width="6" bestFit="1" customWidth="1"/>
    <col min="3146" max="3146" width="5" bestFit="1" customWidth="1"/>
    <col min="3147" max="3147" width="6" bestFit="1" customWidth="1"/>
    <col min="3148" max="3150" width="5" bestFit="1" customWidth="1"/>
    <col min="3151" max="3151" width="6" bestFit="1" customWidth="1"/>
    <col min="3152" max="3154" width="5" bestFit="1" customWidth="1"/>
    <col min="3155" max="3155" width="6" bestFit="1" customWidth="1"/>
    <col min="3156" max="3156" width="5" bestFit="1" customWidth="1"/>
    <col min="3157" max="3158" width="6" bestFit="1" customWidth="1"/>
    <col min="3159" max="3159" width="5" bestFit="1" customWidth="1"/>
    <col min="3160" max="3160" width="6" bestFit="1" customWidth="1"/>
    <col min="3161" max="3161" width="5" bestFit="1" customWidth="1"/>
    <col min="3162" max="3162" width="6" bestFit="1" customWidth="1"/>
    <col min="3163" max="3163" width="5" bestFit="1" customWidth="1"/>
    <col min="3164" max="3170" width="6" bestFit="1" customWidth="1"/>
    <col min="3171" max="3171" width="5" bestFit="1" customWidth="1"/>
    <col min="3172" max="3172" width="6" bestFit="1" customWidth="1"/>
    <col min="3173" max="3173" width="5" bestFit="1" customWidth="1"/>
    <col min="3174" max="3174" width="6" bestFit="1" customWidth="1"/>
    <col min="3175" max="3177" width="5" bestFit="1" customWidth="1"/>
    <col min="3178" max="3179" width="6" bestFit="1" customWidth="1"/>
    <col min="3180" max="3180" width="5" bestFit="1" customWidth="1"/>
    <col min="3181" max="3181" width="6" bestFit="1" customWidth="1"/>
    <col min="3182" max="3183" width="5" bestFit="1" customWidth="1"/>
    <col min="3184" max="3184" width="6" bestFit="1" customWidth="1"/>
    <col min="3185" max="3187" width="5" bestFit="1" customWidth="1"/>
    <col min="3188" max="3188" width="6" bestFit="1" customWidth="1"/>
    <col min="3189" max="3196" width="5" bestFit="1" customWidth="1"/>
    <col min="3197" max="3198" width="6" bestFit="1" customWidth="1"/>
    <col min="3199" max="3199" width="5" bestFit="1" customWidth="1"/>
    <col min="3200" max="3201" width="6" bestFit="1" customWidth="1"/>
    <col min="3202" max="3202" width="5" bestFit="1" customWidth="1"/>
    <col min="3203" max="3204" width="6" bestFit="1" customWidth="1"/>
    <col min="3205" max="3205" width="5" bestFit="1" customWidth="1"/>
    <col min="3206" max="3213" width="6" bestFit="1" customWidth="1"/>
    <col min="3214" max="3214" width="5" bestFit="1" customWidth="1"/>
    <col min="3215" max="3215" width="6" bestFit="1" customWidth="1"/>
    <col min="3216" max="3216" width="5" bestFit="1" customWidth="1"/>
    <col min="3217" max="3218" width="6" bestFit="1" customWidth="1"/>
    <col min="3219" max="3223" width="5" bestFit="1" customWidth="1"/>
    <col min="3224" max="3225" width="6" bestFit="1" customWidth="1"/>
    <col min="3226" max="3231" width="5" bestFit="1" customWidth="1"/>
    <col min="3232" max="3236" width="6" bestFit="1" customWidth="1"/>
    <col min="3237" max="3237" width="5" bestFit="1" customWidth="1"/>
    <col min="3238" max="3238" width="6" bestFit="1" customWidth="1"/>
    <col min="3239" max="3241" width="5" bestFit="1" customWidth="1"/>
    <col min="3242" max="3242" width="6" bestFit="1" customWidth="1"/>
    <col min="3243" max="3243" width="5" bestFit="1" customWidth="1"/>
    <col min="3244" max="3244" width="6" bestFit="1" customWidth="1"/>
    <col min="3245" max="3245" width="5" bestFit="1" customWidth="1"/>
    <col min="3246" max="3247" width="6" bestFit="1" customWidth="1"/>
    <col min="3248" max="3248" width="5" bestFit="1" customWidth="1"/>
    <col min="3249" max="3250" width="6" bestFit="1" customWidth="1"/>
    <col min="3251" max="3255" width="5" bestFit="1" customWidth="1"/>
    <col min="3256" max="3256" width="6" bestFit="1" customWidth="1"/>
    <col min="3257" max="3257" width="5" bestFit="1" customWidth="1"/>
    <col min="3258" max="3258" width="6" bestFit="1" customWidth="1"/>
    <col min="3259" max="3262" width="5" bestFit="1" customWidth="1"/>
    <col min="3263" max="3264" width="6" bestFit="1" customWidth="1"/>
    <col min="3265" max="3266" width="5" bestFit="1" customWidth="1"/>
    <col min="3267" max="3268" width="6" bestFit="1" customWidth="1"/>
    <col min="3269" max="3269" width="5" bestFit="1" customWidth="1"/>
    <col min="3270" max="3271" width="6" bestFit="1" customWidth="1"/>
    <col min="3272" max="3273" width="5" bestFit="1" customWidth="1"/>
    <col min="3274" max="3276" width="6" bestFit="1" customWidth="1"/>
    <col min="3277" max="3280" width="5" bestFit="1" customWidth="1"/>
    <col min="3281" max="3282" width="6" bestFit="1" customWidth="1"/>
    <col min="3283" max="3283" width="5" bestFit="1" customWidth="1"/>
    <col min="3284" max="3284" width="6" bestFit="1" customWidth="1"/>
    <col min="3285" max="3290" width="5" bestFit="1" customWidth="1"/>
    <col min="3291" max="3291" width="6" bestFit="1" customWidth="1"/>
    <col min="3292" max="3299" width="5" bestFit="1" customWidth="1"/>
    <col min="3300" max="3300" width="6" bestFit="1" customWidth="1"/>
    <col min="3301" max="3302" width="5" bestFit="1" customWidth="1"/>
    <col min="3303" max="3303" width="6" bestFit="1" customWidth="1"/>
    <col min="3304" max="3304" width="5" bestFit="1" customWidth="1"/>
    <col min="3305" max="3305" width="6" bestFit="1" customWidth="1"/>
    <col min="3306" max="3307" width="5" bestFit="1" customWidth="1"/>
    <col min="3308" max="3308" width="6" bestFit="1" customWidth="1"/>
    <col min="3309" max="3309" width="5" bestFit="1" customWidth="1"/>
    <col min="3310" max="3310" width="6" bestFit="1" customWidth="1"/>
    <col min="3311" max="3314" width="5" bestFit="1" customWidth="1"/>
    <col min="3315" max="3316" width="6" bestFit="1" customWidth="1"/>
    <col min="3317" max="3319" width="5" bestFit="1" customWidth="1"/>
    <col min="3320" max="3320" width="6" bestFit="1" customWidth="1"/>
    <col min="3321" max="3321" width="5" bestFit="1" customWidth="1"/>
    <col min="3322" max="3323" width="6" bestFit="1" customWidth="1"/>
    <col min="3324" max="3325" width="5" bestFit="1" customWidth="1"/>
    <col min="3326" max="3326" width="6" bestFit="1" customWidth="1"/>
    <col min="3327" max="3328" width="5" bestFit="1" customWidth="1"/>
    <col min="3329" max="3332" width="6" bestFit="1" customWidth="1"/>
    <col min="3333" max="3336" width="5" bestFit="1" customWidth="1"/>
    <col min="3337" max="3337" width="6" bestFit="1" customWidth="1"/>
    <col min="3338" max="3340" width="5" bestFit="1" customWidth="1"/>
    <col min="3341" max="3341" width="6" bestFit="1" customWidth="1"/>
    <col min="3342" max="3347" width="5" bestFit="1" customWidth="1"/>
    <col min="3348" max="3349" width="6" bestFit="1" customWidth="1"/>
    <col min="3350" max="3350" width="5" bestFit="1" customWidth="1"/>
    <col min="3351" max="3352" width="6" bestFit="1" customWidth="1"/>
    <col min="3353" max="3353" width="5" bestFit="1" customWidth="1"/>
    <col min="3354" max="3355" width="6" bestFit="1" customWidth="1"/>
    <col min="3356" max="3356" width="5" bestFit="1" customWidth="1"/>
    <col min="3357" max="3357" width="6" bestFit="1" customWidth="1"/>
    <col min="3358" max="3358" width="5" bestFit="1" customWidth="1"/>
    <col min="3359" max="3360" width="6" bestFit="1" customWidth="1"/>
    <col min="3361" max="3361" width="5" bestFit="1" customWidth="1"/>
    <col min="3362" max="3364" width="6" bestFit="1" customWidth="1"/>
    <col min="3365" max="3366" width="5" bestFit="1" customWidth="1"/>
    <col min="3367" max="3368" width="6" bestFit="1" customWidth="1"/>
    <col min="3369" max="3371" width="5" bestFit="1" customWidth="1"/>
    <col min="3372" max="3373" width="6" bestFit="1" customWidth="1"/>
    <col min="3374" max="3376" width="5" bestFit="1" customWidth="1"/>
    <col min="3377" max="3378" width="6" bestFit="1" customWidth="1"/>
    <col min="3379" max="3381" width="5" bestFit="1" customWidth="1"/>
    <col min="3382" max="3382" width="6" bestFit="1" customWidth="1"/>
    <col min="3383" max="3383" width="5" bestFit="1" customWidth="1"/>
    <col min="3384" max="3386" width="6" bestFit="1" customWidth="1"/>
    <col min="3387" max="3392" width="5" bestFit="1" customWidth="1"/>
    <col min="3393" max="3394" width="6" bestFit="1" customWidth="1"/>
    <col min="3395" max="3398" width="5" bestFit="1" customWidth="1"/>
    <col min="3399" max="3400" width="6" bestFit="1" customWidth="1"/>
    <col min="3401" max="3405" width="5" bestFit="1" customWidth="1"/>
    <col min="3406" max="3406" width="32.7109375" bestFit="1" customWidth="1"/>
    <col min="3407" max="3407" width="41.28515625" bestFit="1" customWidth="1"/>
  </cols>
  <sheetData>
    <row r="3" spans="1:3" x14ac:dyDescent="0.25">
      <c r="A3" s="70"/>
      <c r="B3" s="71"/>
      <c r="C3" s="72"/>
    </row>
    <row r="4" spans="1:3" x14ac:dyDescent="0.25">
      <c r="A4" s="73"/>
      <c r="B4" s="74"/>
      <c r="C4" s="75"/>
    </row>
    <row r="5" spans="1:3" x14ac:dyDescent="0.25">
      <c r="A5" s="73"/>
      <c r="B5" s="74"/>
      <c r="C5" s="75"/>
    </row>
    <row r="6" spans="1:3" x14ac:dyDescent="0.25">
      <c r="A6" s="73"/>
      <c r="B6" s="74"/>
      <c r="C6" s="75"/>
    </row>
    <row r="7" spans="1:3" x14ac:dyDescent="0.25">
      <c r="A7" s="73"/>
      <c r="B7" s="74"/>
      <c r="C7" s="75"/>
    </row>
    <row r="8" spans="1:3" x14ac:dyDescent="0.25">
      <c r="A8" s="73"/>
      <c r="B8" s="74"/>
      <c r="C8" s="75"/>
    </row>
    <row r="9" spans="1:3" x14ac:dyDescent="0.25">
      <c r="A9" s="73"/>
      <c r="B9" s="74"/>
      <c r="C9" s="75"/>
    </row>
    <row r="10" spans="1:3" x14ac:dyDescent="0.25">
      <c r="A10" s="73"/>
      <c r="B10" s="74"/>
      <c r="C10" s="75"/>
    </row>
    <row r="11" spans="1:3" x14ac:dyDescent="0.25">
      <c r="A11" s="73"/>
      <c r="B11" s="74"/>
      <c r="C11" s="75"/>
    </row>
    <row r="12" spans="1:3" x14ac:dyDescent="0.25">
      <c r="A12" s="73"/>
      <c r="B12" s="74"/>
      <c r="C12" s="75"/>
    </row>
    <row r="13" spans="1:3" x14ac:dyDescent="0.25">
      <c r="A13" s="73"/>
      <c r="B13" s="74"/>
      <c r="C13" s="75"/>
    </row>
    <row r="14" spans="1:3" x14ac:dyDescent="0.25">
      <c r="A14" s="73"/>
      <c r="B14" s="74"/>
      <c r="C14" s="75"/>
    </row>
    <row r="15" spans="1:3" x14ac:dyDescent="0.25">
      <c r="A15" s="73"/>
      <c r="B15" s="74"/>
      <c r="C15" s="75"/>
    </row>
    <row r="16" spans="1:3" x14ac:dyDescent="0.25">
      <c r="A16" s="73"/>
      <c r="B16" s="74"/>
      <c r="C16" s="75"/>
    </row>
    <row r="17" spans="1:3" x14ac:dyDescent="0.25">
      <c r="A17" s="73"/>
      <c r="B17" s="74"/>
      <c r="C17" s="75"/>
    </row>
    <row r="18" spans="1:3" x14ac:dyDescent="0.25">
      <c r="A18" s="73"/>
      <c r="B18" s="74"/>
      <c r="C18" s="75"/>
    </row>
    <row r="19" spans="1:3" x14ac:dyDescent="0.25">
      <c r="A19" s="73"/>
      <c r="B19" s="74"/>
      <c r="C19" s="75"/>
    </row>
    <row r="20" spans="1:3" x14ac:dyDescent="0.25">
      <c r="A20" s="76"/>
      <c r="B20" s="77"/>
      <c r="C20" s="78"/>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Cover Sheet</vt:lpstr>
      <vt:lpstr>Additional Instructions</vt:lpstr>
      <vt:lpstr>Data</vt:lpstr>
      <vt:lpstr>Pivot Table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Hailey Gomez</cp:lastModifiedBy>
  <cp:revision/>
  <dcterms:created xsi:type="dcterms:W3CDTF">2015-06-05T18:17:20Z</dcterms:created>
  <dcterms:modified xsi:type="dcterms:W3CDTF">2026-10-03T00:28:31Z</dcterms:modified>
  <cp:category/>
  <cp:contentStatus/>
</cp:coreProperties>
</file>